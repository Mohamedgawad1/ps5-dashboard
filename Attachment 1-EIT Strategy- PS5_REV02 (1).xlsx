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copworkplace-my.sharepoint.com/personal/sumesh_nair_eacop_com/Documents/Desktop/Moussa updates on CMT/"/>
    </mc:Choice>
  </mc:AlternateContent>
  <xr:revisionPtr revIDLastSave="298" documentId="13_ncr:1_{9421586B-DCC7-4DB3-8CAF-472962281A02}" xr6:coauthVersionLast="47" xr6:coauthVersionMax="47" xr10:uidLastSave="{874C9B56-BCAB-4DB0-861C-FD0DD8490FDC}"/>
  <bookViews>
    <workbookView xWindow="-108" yWindow="-108" windowWidth="23256" windowHeight="12456" xr2:uid="{40D7374F-EBDF-47F8-928F-1CA2EC0FEE34}"/>
  </bookViews>
  <sheets>
    <sheet name="KPI Plan" sheetId="4" r:id="rId1"/>
    <sheet name="Manpower" sheetId="3" r:id="rId2"/>
    <sheet name="Sheet1" sheetId="6" state="hidden" r:id="rId3"/>
    <sheet name="EIT CMT Tasks" sheetId="5" r:id="rId4"/>
  </sheets>
  <definedNames>
    <definedName name="_xlnm._FilterDatabase" localSheetId="3" hidden="1">'EIT CMT Tasks'!$A$1:$AG$2193</definedName>
  </definedNames>
  <calcPr calcId="191028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1" i="3" l="1"/>
  <c r="N30" i="3"/>
  <c r="N29" i="3"/>
  <c r="N28" i="3"/>
  <c r="N27" i="3"/>
  <c r="N26" i="3"/>
  <c r="N24" i="3"/>
  <c r="N18" i="3"/>
  <c r="N19" i="3"/>
  <c r="N21" i="3"/>
  <c r="N22" i="3"/>
  <c r="N17" i="3"/>
  <c r="K21" i="3"/>
  <c r="K20" i="3"/>
  <c r="AB10" i="4" l="1"/>
  <c r="AB11" i="4"/>
  <c r="AB12" i="4"/>
  <c r="AB13" i="4"/>
  <c r="AB14" i="4"/>
  <c r="AB15" i="4"/>
  <c r="AB16" i="4"/>
  <c r="AB17" i="4"/>
  <c r="AB18" i="4"/>
  <c r="AB20" i="4"/>
  <c r="AB21" i="4"/>
  <c r="AB22" i="4"/>
  <c r="AB23" i="4"/>
  <c r="AB24" i="4"/>
  <c r="AB25" i="4"/>
  <c r="AB26" i="4"/>
  <c r="AB27" i="4"/>
  <c r="AB28" i="4"/>
  <c r="AB29" i="4"/>
  <c r="AB30" i="4"/>
  <c r="AB9" i="4"/>
  <c r="D4" i="4"/>
  <c r="E4" i="4"/>
  <c r="F4" i="4"/>
  <c r="G4" i="4"/>
  <c r="H4" i="4"/>
  <c r="I4" i="4"/>
  <c r="J4" i="4"/>
  <c r="K4" i="4"/>
  <c r="L4" i="4"/>
  <c r="M4" i="4"/>
  <c r="N4" i="4"/>
  <c r="C4" i="4"/>
  <c r="S4" i="4"/>
  <c r="T4" i="4"/>
  <c r="U4" i="4"/>
  <c r="V4" i="4"/>
  <c r="W4" i="4"/>
  <c r="X4" i="4"/>
  <c r="Y4" i="4"/>
  <c r="Z4" i="4"/>
  <c r="AA4" i="4"/>
  <c r="AC4" i="4"/>
  <c r="R4" i="4"/>
  <c r="M10" i="4"/>
  <c r="M11" i="4"/>
  <c r="M12" i="4"/>
  <c r="M13" i="4"/>
  <c r="M14" i="4"/>
  <c r="M15" i="4"/>
  <c r="M16" i="4"/>
  <c r="M17" i="4"/>
  <c r="M18" i="4"/>
  <c r="M20" i="4"/>
  <c r="M21" i="4"/>
  <c r="M22" i="4"/>
  <c r="M23" i="4"/>
  <c r="M24" i="4"/>
  <c r="M25" i="4"/>
  <c r="M26" i="4"/>
  <c r="M27" i="4"/>
  <c r="M28" i="4"/>
  <c r="M29" i="4"/>
  <c r="M30" i="4"/>
  <c r="M9" i="4"/>
  <c r="AC31" i="4"/>
  <c r="AA31" i="4"/>
  <c r="Z31" i="4"/>
  <c r="Y31" i="4"/>
  <c r="X31" i="4"/>
  <c r="W31" i="4"/>
  <c r="V31" i="4"/>
  <c r="U31" i="4"/>
  <c r="T31" i="4"/>
  <c r="S31" i="4"/>
  <c r="R31" i="4"/>
  <c r="AB8" i="4"/>
  <c r="AB7" i="4"/>
  <c r="AB6" i="4"/>
  <c r="AB4" i="4" l="1"/>
  <c r="AB31" i="4"/>
  <c r="K31" i="4" l="1"/>
  <c r="L31" i="4"/>
  <c r="M6" i="4"/>
  <c r="M7" i="4"/>
  <c r="M8" i="4"/>
  <c r="C31" i="4"/>
  <c r="D31" i="4"/>
  <c r="F31" i="4"/>
  <c r="G31" i="4"/>
  <c r="H31" i="4"/>
  <c r="I31" i="4"/>
  <c r="J31" i="4"/>
  <c r="N31" i="4"/>
  <c r="L25" i="3"/>
  <c r="N25" i="3" s="1"/>
  <c r="L20" i="3"/>
  <c r="N20" i="3" l="1"/>
  <c r="N31" i="3" s="1"/>
  <c r="L31" i="3"/>
  <c r="K25" i="3"/>
  <c r="K31" i="3" s="1"/>
  <c r="D10" i="3"/>
  <c r="E10" i="3"/>
  <c r="F10" i="3"/>
  <c r="G10" i="3"/>
  <c r="H10" i="3"/>
  <c r="I10" i="3"/>
  <c r="J10" i="3"/>
  <c r="C10" i="3"/>
  <c r="K7" i="3"/>
  <c r="K8" i="3"/>
  <c r="K9" i="3"/>
  <c r="K6" i="3"/>
  <c r="K10" i="3" l="1"/>
  <c r="E31" i="4" l="1"/>
  <c r="M31" i="4" l="1"/>
</calcChain>
</file>

<file path=xl/sharedStrings.xml><?xml version="1.0" encoding="utf-8"?>
<sst xmlns="http://schemas.openxmlformats.org/spreadsheetml/2006/main" count="47252" uniqueCount="4342">
  <si>
    <t>Description</t>
  </si>
  <si>
    <t>PGB A</t>
  </si>
  <si>
    <t>PGB B</t>
  </si>
  <si>
    <t xml:space="preserve">Fuel Treatment </t>
  </si>
  <si>
    <t>PG Electrical Room</t>
  </si>
  <si>
    <t>Electrical Earthing (Power Dist, PG &amp; Cooling tower)</t>
  </si>
  <si>
    <t>Outside PG</t>
  </si>
  <si>
    <t>ELECTRICAL ACTIVITIES</t>
  </si>
  <si>
    <t>INSTRUMENTATION ACTIVITIES</t>
  </si>
  <si>
    <t xml:space="preserve">Cable Testing (STATIC ITRS) </t>
  </si>
  <si>
    <t>1. Cable tray &amp; support installtion (incl. secondary routing). Support painting;
2. Cable installation (dressing, tagging, fixation) + branch cables;
3. Trench backfilling under PG EL BLD. Soil removing
4. Glanding &amp; Cable termination;
5. Cable testing;
6. PL clereance</t>
  </si>
  <si>
    <t>1. Cable tray &amp; support installtion (incl. secondary routing). Support painting;
2. Cable installation (dressing, tagging, fixation) + branch cables;
3. Instrument Impulse Tubing and Control Valve Impulse Lines;
4. Flushing and Pressure Testing;
5. Glanding &amp; Cable termination;
6. Cable testing;
7. PL clereance</t>
  </si>
  <si>
    <t>Glanding &amp; Termination (Confirmity ITR)</t>
  </si>
  <si>
    <t>MANPOWER</t>
  </si>
  <si>
    <t>Completion Lead-Site Follow up</t>
  </si>
  <si>
    <t>Completions- CMT Office</t>
  </si>
  <si>
    <t>ELECTRICAL</t>
  </si>
  <si>
    <t>QC Inspector-Electrical</t>
  </si>
  <si>
    <t>INS Supervisor</t>
  </si>
  <si>
    <t>Foreman</t>
  </si>
  <si>
    <t>Technician (expats+chinese)</t>
  </si>
  <si>
    <t>Helpers (local)</t>
  </si>
  <si>
    <t>INSTRUMENTATION</t>
  </si>
  <si>
    <t>QC Inspector-Instrument</t>
  </si>
  <si>
    <t>PGB C</t>
  </si>
  <si>
    <t>PGB D</t>
  </si>
  <si>
    <t>Electrical Others</t>
  </si>
  <si>
    <t>Instrumentation Other</t>
  </si>
  <si>
    <t>Total</t>
  </si>
  <si>
    <t xml:space="preserve">Total </t>
  </si>
  <si>
    <t>EIT General</t>
  </si>
  <si>
    <t>Supervisor</t>
  </si>
  <si>
    <t>Impulse Tubing Team</t>
  </si>
  <si>
    <t>LOT2 PS5 - EIT PENDING ITR &amp; MANPOWER STRATEGY</t>
  </si>
  <si>
    <t>-</t>
  </si>
  <si>
    <t>ACTUAL</t>
  </si>
  <si>
    <t>PLAN</t>
  </si>
  <si>
    <t>REMARKS</t>
  </si>
  <si>
    <t>DATE</t>
  </si>
  <si>
    <t>RFC</t>
  </si>
  <si>
    <t>Instrumentation Others</t>
  </si>
  <si>
    <t>Punch List Team</t>
  </si>
  <si>
    <t>Task ID</t>
  </si>
  <si>
    <t>Asset - Tag</t>
  </si>
  <si>
    <t>Asset Pack ID</t>
  </si>
  <si>
    <t>Cable Pack ID</t>
  </si>
  <si>
    <t>Pipe Pack ID</t>
  </si>
  <si>
    <t>Loop Name</t>
  </si>
  <si>
    <t>Category (Summary)</t>
  </si>
  <si>
    <t>Discipline</t>
  </si>
  <si>
    <t>Task Type (Name)</t>
  </si>
  <si>
    <t>Discipline (Summary)</t>
  </si>
  <si>
    <t>Asset - Description</t>
  </si>
  <si>
    <t>Systemization - Process Plant ID</t>
  </si>
  <si>
    <t>Responsible Company (Summary)</t>
  </si>
  <si>
    <t>Actual Duration</t>
  </si>
  <si>
    <t>Scheduled Duration</t>
  </si>
  <si>
    <t>Task Duration</t>
  </si>
  <si>
    <t>Title - Actual MH/Person</t>
  </si>
  <si>
    <t>Title - Planned MH/Person</t>
  </si>
  <si>
    <t>Field005 (Custom)</t>
  </si>
  <si>
    <t>Physical Location - Area (Summary)</t>
  </si>
  <si>
    <t>Systemization - Subsystem (Summary)</t>
  </si>
  <si>
    <t>Closing Date</t>
  </si>
  <si>
    <t>Subsystem ID</t>
  </si>
  <si>
    <t>Task Priority</t>
  </si>
  <si>
    <t>Priority</t>
  </si>
  <si>
    <t>Test Form - Description</t>
  </si>
  <si>
    <t>Asset Discipline</t>
  </si>
  <si>
    <t>Task State</t>
  </si>
  <si>
    <t>Subsystem Priority</t>
  </si>
  <si>
    <t>Task Model</t>
  </si>
  <si>
    <t>Closed By</t>
  </si>
  <si>
    <t>Document - Name</t>
  </si>
  <si>
    <t>T-00018-0192</t>
  </si>
  <si>
    <t>PS5-61-IU-0001A</t>
  </si>
  <si>
    <t>CPX02 - Power transformer</t>
  </si>
  <si>
    <t>PCOM - Precommissioning</t>
  </si>
  <si>
    <t>E</t>
  </si>
  <si>
    <t>Conformity Check</t>
  </si>
  <si>
    <t>E - Electrical</t>
  </si>
  <si>
    <t>11/33kV Transformer - 6.8 MVA</t>
  </si>
  <si>
    <t>EACOP</t>
  </si>
  <si>
    <t>CPP AGI</t>
  </si>
  <si>
    <t>16</t>
  </si>
  <si>
    <t>PS5 - TZA - PS5 - Tanzania</t>
  </si>
  <si>
    <t>PS5-60-01 - Power Generation Package A</t>
  </si>
  <si>
    <t>PS5-60-01</t>
  </si>
  <si>
    <t>Priority-1</t>
  </si>
  <si>
    <t>Power Transformer</t>
  </si>
  <si>
    <t>To be completed</t>
  </si>
  <si>
    <t>PS5 - Milestone B</t>
  </si>
  <si>
    <t>TM-00018</t>
  </si>
  <si>
    <t>T-00018-0193</t>
  </si>
  <si>
    <t>PS5-61-IU-0001B</t>
  </si>
  <si>
    <t>PS5-60-04 - Power Generation Package B</t>
  </si>
  <si>
    <t>PS5-60-04</t>
  </si>
  <si>
    <t>T-00018-0194</t>
  </si>
  <si>
    <t>PS5-61-IU-0001C</t>
  </si>
  <si>
    <t>PS5-60-07 - Power Generation Package C</t>
  </si>
  <si>
    <t>PS5-60-07</t>
  </si>
  <si>
    <t>Priority-2</t>
  </si>
  <si>
    <t>PS5 - Milestone D</t>
  </si>
  <si>
    <t>T-00018-0195</t>
  </si>
  <si>
    <t>PS5-61-IU-0001D</t>
  </si>
  <si>
    <t>PS5-60-10 - Power Generation Package D</t>
  </si>
  <si>
    <t>PS5-60-10</t>
  </si>
  <si>
    <t>T-00022-3334</t>
  </si>
  <si>
    <t>PS5-60-IJ-0001A-CH04</t>
  </si>
  <si>
    <t>CPX08 - HV Power Cable</t>
  </si>
  <si>
    <t>Cable FROM PS5-60-GE-8100A TO PS5-60-IJ-0001A</t>
  </si>
  <si>
    <t>4</t>
  </si>
  <si>
    <t>TZ-MID-68-WPR2-150101</t>
  </si>
  <si>
    <t>HV Power Cable</t>
  </si>
  <si>
    <t>Closed</t>
  </si>
  <si>
    <t>TM-00022</t>
  </si>
  <si>
    <t>arun, jabesteen</t>
  </si>
  <si>
    <t>T-00022-3335</t>
  </si>
  <si>
    <t>PS5-60-IJ-0001B-CH04</t>
  </si>
  <si>
    <t>Cable FROM PS5-60-GE-8100B TO PS5-60-IJ-0001B</t>
  </si>
  <si>
    <t>T-00022-3336</t>
  </si>
  <si>
    <t>PS5-60-IJ-0001C-CH04</t>
  </si>
  <si>
    <t>Cable FROM PS5-60-GE-8100C TO PS5-60-IJ-0001C</t>
  </si>
  <si>
    <t>T-00022-3337</t>
  </si>
  <si>
    <t>PS5-60-IJ-0001D-CH04</t>
  </si>
  <si>
    <t>Cable FROM PS5-60-GE-8100D TO PS5-60-IJ-0001D</t>
  </si>
  <si>
    <t>T-00022-3377</t>
  </si>
  <si>
    <t>PS5-61-IJ-0001-CH01</t>
  </si>
  <si>
    <t>Cable FROM PS5-61-IU-0001A TO PS5-61-IJ-0001</t>
  </si>
  <si>
    <t>ovchinnikov, konstantin</t>
  </si>
  <si>
    <t>T-00022-3378</t>
  </si>
  <si>
    <t>PS5-61-IJ-0001-CH02</t>
  </si>
  <si>
    <t>Mohamed, Amira</t>
  </si>
  <si>
    <t>T-00022-3379</t>
  </si>
  <si>
    <t>PS5-61-IJ-0001-CH03</t>
  </si>
  <si>
    <t>T-00022-3380</t>
  </si>
  <si>
    <t>PS5-61-IJ-0001-CH04</t>
  </si>
  <si>
    <t>Cable FROM PS5-61-IU-0001B TO PS5-61-IJ-0001</t>
  </si>
  <si>
    <t>T-00022-3381</t>
  </si>
  <si>
    <t>PS5-61-IJ-0001-CH05</t>
  </si>
  <si>
    <t>T-00022-3382</t>
  </si>
  <si>
    <t>PS5-61-IJ-0001-CH06</t>
  </si>
  <si>
    <t>T-00022-3383</t>
  </si>
  <si>
    <t>PS5-61-IJ-0001-CH07</t>
  </si>
  <si>
    <t>Cable FROM PS5-61-IU-0001C TO PS5-61-IJ-0001</t>
  </si>
  <si>
    <t>T-00022-3384</t>
  </si>
  <si>
    <t>PS5-61-IJ-0001-CH08</t>
  </si>
  <si>
    <t>T-00022-3385</t>
  </si>
  <si>
    <t>PS5-61-IJ-0001-CH09</t>
  </si>
  <si>
    <t>T-00022-3386</t>
  </si>
  <si>
    <t>PS5-61-IJ-0001-CH10</t>
  </si>
  <si>
    <t>Cable FROM PS5-61-IU-0001D TO PS5-61-IJ-0001</t>
  </si>
  <si>
    <t>T-00022-3387</t>
  </si>
  <si>
    <t>PS5-61-IJ-0001-CH11</t>
  </si>
  <si>
    <t>T-00022-3388</t>
  </si>
  <si>
    <t>PS5-61-IJ-0001-CH12</t>
  </si>
  <si>
    <t>T-00022-3410</t>
  </si>
  <si>
    <t>PS5-61-IU-0001A-CH01</t>
  </si>
  <si>
    <t>Cable FROM PS5-60-GE-8100A TO PS5-61-IU-0001A</t>
  </si>
  <si>
    <t>T-00022-3411</t>
  </si>
  <si>
    <t>PS5-61-IU-0001A-CH02</t>
  </si>
  <si>
    <t>T-00022-3412</t>
  </si>
  <si>
    <t>PS5-61-IU-0001A-CH03</t>
  </si>
  <si>
    <t>T-00022-3413</t>
  </si>
  <si>
    <t>PS5-61-IU-0001B-CH01</t>
  </si>
  <si>
    <t>Cable FROM PS5-60-GE-8100B TO PS5-61-IU-0001B</t>
  </si>
  <si>
    <t>T-00022-3414</t>
  </si>
  <si>
    <t>PS5-61-IU-0001B-CH02</t>
  </si>
  <si>
    <t>T-00022-3415</t>
  </si>
  <si>
    <t>PS5-61-IU-0001B-CH03</t>
  </si>
  <si>
    <t>T-00022-3416</t>
  </si>
  <si>
    <t>PS5-61-IU-0001C-CH01</t>
  </si>
  <si>
    <t>Cable FROM PS5-60-GE-8100C TO PS5-61-IU-0001C</t>
  </si>
  <si>
    <t>T-00022-3417</t>
  </si>
  <si>
    <t>PS5-61-IU-0001C-CH02</t>
  </si>
  <si>
    <t>T-00022-3418</t>
  </si>
  <si>
    <t>PS5-61-IU-0001C-CH03</t>
  </si>
  <si>
    <t>T-00022-3419</t>
  </si>
  <si>
    <t>PS5-61-IU-0001D-CH01</t>
  </si>
  <si>
    <t>Cable FROM PS5-60-GE-8100D TO PS5-61-IU-0001D</t>
  </si>
  <si>
    <t>T-00022-3420</t>
  </si>
  <si>
    <t>PS5-61-IU-0001D-CH02</t>
  </si>
  <si>
    <t>T-00022-3421</t>
  </si>
  <si>
    <t>PS5-61-IU-0001D-CH03</t>
  </si>
  <si>
    <t>T-00023-10536</t>
  </si>
  <si>
    <t>PS5-60-IN-0002A-CG01</t>
  </si>
  <si>
    <t>CPX09 - LV Power Cable</t>
  </si>
  <si>
    <t>Cable FROM PS5-60-IH-0001A TO PS5-60-IN-0002A</t>
  </si>
  <si>
    <t>1</t>
  </si>
  <si>
    <t>PS5-60-57 - Fuel Conditioning Module PS5-60-UZ-8900A (UCP)</t>
  </si>
  <si>
    <t>PS5-60-57</t>
  </si>
  <si>
    <t>LV Power Cable</t>
  </si>
  <si>
    <t>TM-00023</t>
  </si>
  <si>
    <t>T-00023-10537</t>
  </si>
  <si>
    <t>PS5-60-IN-0002B-CG01</t>
  </si>
  <si>
    <t>Cable FROM PS5-60-IH-0001B TO PS5-60-IN-0002B</t>
  </si>
  <si>
    <t>PS5-60-59 - Fuel Conditioning Module PS5-60-UZ-8900B (UCP)</t>
  </si>
  <si>
    <t>PS5-60-59</t>
  </si>
  <si>
    <t>T-00023-10538</t>
  </si>
  <si>
    <t>PS5-60-IN-0002C-CG01</t>
  </si>
  <si>
    <t>Cable FROM PS5-60-IH-0001C TO PS5-60-IN-0002C</t>
  </si>
  <si>
    <t>PS5-60-61 - Fuel Conditioning Module PS5-60-UZ-8900C (UCP)</t>
  </si>
  <si>
    <t>PS5-60-61</t>
  </si>
  <si>
    <t>T-00023-10539</t>
  </si>
  <si>
    <t>PS5-60-IN-0002D-CG01</t>
  </si>
  <si>
    <t>Cable FROM PS5-60-IH-0001D TO PS5-60-IN-0002D</t>
  </si>
  <si>
    <t>PS5-60-63 - Fuel Conditioning Module PS5-60-UZ-8900D (UCP)</t>
  </si>
  <si>
    <t>PS5-60-63</t>
  </si>
  <si>
    <t>T-00023-10593</t>
  </si>
  <si>
    <t>PS5-60-IH-0001A-CG01</t>
  </si>
  <si>
    <t>Cable FROM PS5-61-IK-0003 TO PS5-60-IH-0001A</t>
  </si>
  <si>
    <t>PS5-60-03 - Power Gen Package A Generator Auxiliary MCCs &amp; DBs</t>
  </si>
  <si>
    <t>PS5-60-03</t>
  </si>
  <si>
    <t>T-00023-10594</t>
  </si>
  <si>
    <t>PS5-60-IH-0001B-CG01</t>
  </si>
  <si>
    <t>Cable FROM PS5-61-IK-0003 TO PS5-60-IH-0001B</t>
  </si>
  <si>
    <t>PS5-60-06 - Power Gen Package B Generator Auxiliary MCCs &amp; DBs</t>
  </si>
  <si>
    <t>PS5-60-06</t>
  </si>
  <si>
    <t>T-00023-10595</t>
  </si>
  <si>
    <t>PS5-60-IH-0001C-CG01</t>
  </si>
  <si>
    <t>Cable FROM PS5-61-IK-0003 TO PS5-60-IH-0001C</t>
  </si>
  <si>
    <t>PS5-60-09 - Power Gen Package C Generator Auxiliary MCCs &amp; DBs</t>
  </si>
  <si>
    <t>PS5-60-09</t>
  </si>
  <si>
    <t>T-00023-10596</t>
  </si>
  <si>
    <t>PS5-60-IH-0001D-CG01</t>
  </si>
  <si>
    <t>Cable FROM PS5-61-IK-0003 TO PS5-60-IH-0001D</t>
  </si>
  <si>
    <t>PS5-60-12 - Power Gen Package D Generator Auxiliary MCCs &amp; DBs</t>
  </si>
  <si>
    <t>PS5-60-12</t>
  </si>
  <si>
    <t>T-00023-10600</t>
  </si>
  <si>
    <t>PS5-60-IH-0002-CG01</t>
  </si>
  <si>
    <t>Cable FROM PS5-61-IK-0003 TO PS5-60-IH-0002</t>
  </si>
  <si>
    <t>PS5-60-22 - Power Gen Master UCP</t>
  </si>
  <si>
    <t>PS5-60-22</t>
  </si>
  <si>
    <t>T-00023-10601</t>
  </si>
  <si>
    <t>PS5-60-IH-0002-CG02</t>
  </si>
  <si>
    <t>T-00023-10887</t>
  </si>
  <si>
    <t>PS5-60-BE-0007A-CL02</t>
  </si>
  <si>
    <t>Cable FROM PS5-60-IN-0002A TO PS5-60-BE-0007A</t>
  </si>
  <si>
    <t>PS5-60-56 - Fuel Conditioning Module PS5-60-UZ-8900A</t>
  </si>
  <si>
    <t>PS5-60-56</t>
  </si>
  <si>
    <t>T-00023-10888</t>
  </si>
  <si>
    <t>PS5-60-BE-0007A-CL03</t>
  </si>
  <si>
    <t>T-00023-10889</t>
  </si>
  <si>
    <t>PS5-60-BE-0007B-CL02</t>
  </si>
  <si>
    <t>Cable FROM PS5-60-IN-0002B TO PS5-60-BE-0007B</t>
  </si>
  <si>
    <t>PS5-60-58 - Fuel Conditioning Module PS5-60-UZ-8900B</t>
  </si>
  <si>
    <t>PS5-60-58</t>
  </si>
  <si>
    <t>T-00023-10890</t>
  </si>
  <si>
    <t>PS5-60-BE-0007B-CL03</t>
  </si>
  <si>
    <t>T-00023-10891</t>
  </si>
  <si>
    <t>PS5-60-BE-0007C-CL02</t>
  </si>
  <si>
    <t>Cable FROM PS5-60-IN-0002C TO PS5-60-BE-0007C</t>
  </si>
  <si>
    <t>PS5-60-60 - Fuel Conditioning Module PS5-60-UZ-8900C</t>
  </si>
  <si>
    <t>PS5-60-60</t>
  </si>
  <si>
    <t>T-00023-10892</t>
  </si>
  <si>
    <t>PS5-60-BE-0007C-CL03</t>
  </si>
  <si>
    <t>T-00023-10893</t>
  </si>
  <si>
    <t>PS5-60-BE-0007D-CL02</t>
  </si>
  <si>
    <t>Cable FROM PS5-60-IN-0002D TO PS5-60-BE-0007D</t>
  </si>
  <si>
    <t>PS5-60-62 - Fuel Conditioning Module PS5-60-UZ-8900D</t>
  </si>
  <si>
    <t>PS5-60-62</t>
  </si>
  <si>
    <t>T-00023-10894</t>
  </si>
  <si>
    <t>PS5-60-BE-0007D-CL03</t>
  </si>
  <si>
    <t>T-00023-10901</t>
  </si>
  <si>
    <t>PS5-60-ISO-62800A-CL01</t>
  </si>
  <si>
    <t>Cable FROM PS5-60-IH-0001A TO PS5-60-ISO-62800A</t>
  </si>
  <si>
    <t>T-00023-10902</t>
  </si>
  <si>
    <t>PS5-60-ISO-62800C-CL01</t>
  </si>
  <si>
    <t>Cable FROM PS5-60-IH-0001C TO PS5-60-ISO-62800C</t>
  </si>
  <si>
    <t>T-00023-11250</t>
  </si>
  <si>
    <t>PS5-71-BE-0001A-CL01</t>
  </si>
  <si>
    <t>Cable FROM PS5-71-IN-0004A TO PS5-71-BE-0001A</t>
  </si>
  <si>
    <t>PS5-71-07 - Crude Fuel Separation Module (UCP)</t>
  </si>
  <si>
    <t>PS5-71-07</t>
  </si>
  <si>
    <t>PS5 - Milestone H</t>
  </si>
  <si>
    <t>T-00023-11251</t>
  </si>
  <si>
    <t>PS5-71-BE-0001A-CL02</t>
  </si>
  <si>
    <t>T-00023-11252</t>
  </si>
  <si>
    <t>PS5-71-BE-0001A-CL03</t>
  </si>
  <si>
    <t>T-00023-11253</t>
  </si>
  <si>
    <t>PS5-71-BE-0001A-CL04</t>
  </si>
  <si>
    <t>T-00023-11254</t>
  </si>
  <si>
    <t>PS5-71-BE-0001A-CL05</t>
  </si>
  <si>
    <t>T-00023-11255</t>
  </si>
  <si>
    <t>PS5-71-BE-0001A-CL06</t>
  </si>
  <si>
    <t>T-00023-11256</t>
  </si>
  <si>
    <t>PS5-71-BE-0001A-CL07</t>
  </si>
  <si>
    <t>T-00023-11257</t>
  </si>
  <si>
    <t>PS5-71-BE-0001A-CL08</t>
  </si>
  <si>
    <t>T-00023-11258</t>
  </si>
  <si>
    <t>PS5-71-BE-0001A-CL09</t>
  </si>
  <si>
    <t>T-00023-11259</t>
  </si>
  <si>
    <t>PS5-71-BE-0001A-CL10</t>
  </si>
  <si>
    <t>T-00023-11260</t>
  </si>
  <si>
    <t>PS5-71-BE-0001A-CL11</t>
  </si>
  <si>
    <t>T-00023-11261</t>
  </si>
  <si>
    <t>PS5-71-BE-0001A-CL12</t>
  </si>
  <si>
    <t>T-00023-11262</t>
  </si>
  <si>
    <t>PS5-71-BE-0001B-CL01</t>
  </si>
  <si>
    <t>Cable FROM PS5-71-IN-0004B TO PS5-71-BE-0001B</t>
  </si>
  <si>
    <t>T-00023-11263</t>
  </si>
  <si>
    <t>PS5-71-BE-0001B-CL02</t>
  </si>
  <si>
    <t>T-00023-11264</t>
  </si>
  <si>
    <t>PS5-71-BE-0001B-CL03</t>
  </si>
  <si>
    <t>T-00023-11265</t>
  </si>
  <si>
    <t>PS5-71-BE-0001B-CL04</t>
  </si>
  <si>
    <t>T-00023-11266</t>
  </si>
  <si>
    <t>PS5-71-BE-0001B-CL05</t>
  </si>
  <si>
    <t>T-00023-11267</t>
  </si>
  <si>
    <t>PS5-71-BE-0001B-CL06</t>
  </si>
  <si>
    <t>T-00023-11268</t>
  </si>
  <si>
    <t>PS5-71-BE-0001B-CL07</t>
  </si>
  <si>
    <t>T-00023-11269</t>
  </si>
  <si>
    <t>PS5-71-BE-0001B-CL08</t>
  </si>
  <si>
    <t>T-00023-11270</t>
  </si>
  <si>
    <t>PS5-71-BE-0001B-CL09</t>
  </si>
  <si>
    <t>T-00023-11271</t>
  </si>
  <si>
    <t>PS5-71-BE-0001B-CL10</t>
  </si>
  <si>
    <t>T-00023-11272</t>
  </si>
  <si>
    <t>PS5-71-BE-0001B-CL11</t>
  </si>
  <si>
    <t>T-00023-11273</t>
  </si>
  <si>
    <t>PS5-71-BE-0001B-CL12</t>
  </si>
  <si>
    <t>T-00023-4725</t>
  </si>
  <si>
    <t>PS5-03-SEA-0003-CL01</t>
  </si>
  <si>
    <t>Cable FROM PS5-06-IG-0004A TO PS5-03-SEA-0003</t>
  </si>
  <si>
    <t>PS5-03-14 - FZ-14 - Power Generation Building - Switchgear Room</t>
  </si>
  <si>
    <t>PS5-03-14</t>
  </si>
  <si>
    <t>PS5 - Milestone E</t>
  </si>
  <si>
    <t>T-00023-4978</t>
  </si>
  <si>
    <t>PS5-60-BE-0001-CL01</t>
  </si>
  <si>
    <t>Cable FROM PS5-60-IH-0002 TO PS5-60-BE-0001</t>
  </si>
  <si>
    <t>PS5-60-27 - Compressed Air Starting Skid</t>
  </si>
  <si>
    <t>PS5-60-27</t>
  </si>
  <si>
    <t>T-00023-4979</t>
  </si>
  <si>
    <t>PS5-60-BE-0001-CL02</t>
  </si>
  <si>
    <t>T-00023-4981</t>
  </si>
  <si>
    <t>PS5-60-BE-0001-CL04</t>
  </si>
  <si>
    <t>Cable FROM PS5-06-IG-0004B TO PS5-60-BE-0001</t>
  </si>
  <si>
    <t>T-00023-4982</t>
  </si>
  <si>
    <t>PS5-60-BE-0002-CL01</t>
  </si>
  <si>
    <t>Cable FROM PS5-60-IH-0002 TO PS5-60-BE-0002</t>
  </si>
  <si>
    <t>PS5-60-26 - Instrument Air Compressor Skid</t>
  </si>
  <si>
    <t>PS5-60-26</t>
  </si>
  <si>
    <t>T-00023-4983</t>
  </si>
  <si>
    <t>PS5-60-BE-0002-CL02</t>
  </si>
  <si>
    <t>T-00023-4984</t>
  </si>
  <si>
    <t>PS5-60-BE-0002-CL03</t>
  </si>
  <si>
    <t>T-00023-4986</t>
  </si>
  <si>
    <t>PS5-60-BE-0002-CL05</t>
  </si>
  <si>
    <t>Cable FROM PS5-06-IG-0004B TO PS5-60-BE-0002</t>
  </si>
  <si>
    <t>T-00023-4987</t>
  </si>
  <si>
    <t>PS5-60-BE-0003A-CL01</t>
  </si>
  <si>
    <t>Cable FROM PS5-60-IH-0001A TO PS5-60-BE-0003A</t>
  </si>
  <si>
    <t>T-00023-4988</t>
  </si>
  <si>
    <t>PS5-60-BE-0003B-CL01</t>
  </si>
  <si>
    <t>Cable FROM PS5-60-IH-0001B TO PS5-60-BE-0003B</t>
  </si>
  <si>
    <t>T-00023-4989</t>
  </si>
  <si>
    <t>PS5-60-BE-0003C-CL01</t>
  </si>
  <si>
    <t>Cable FROM PS5-60-IH-0001C TO PS5-60-BE-0003C</t>
  </si>
  <si>
    <t>T-00023-4990</t>
  </si>
  <si>
    <t>PS5-60-BE-0003D-CL01</t>
  </si>
  <si>
    <t>Cable FROM PS5-60-IH-0001D TO PS5-60-BE-0003D</t>
  </si>
  <si>
    <t>T-00023-4994</t>
  </si>
  <si>
    <t>PS5-60-BE-0004A-CL01</t>
  </si>
  <si>
    <t>Cable FROM PS5-60-IH-0001A TO PS5-60-BE-0004A</t>
  </si>
  <si>
    <t>PS5-60-49 - Lube Oil Separator Module PS5-60-UO-81100A</t>
  </si>
  <si>
    <t>PS5-60-49</t>
  </si>
  <si>
    <t>T-00023-4995</t>
  </si>
  <si>
    <t>PS5-60-BE-0004B-CL01</t>
  </si>
  <si>
    <t>Cable FROM PS5-60-IH-0001B TO PS5-60-BE-0004B</t>
  </si>
  <si>
    <t>PS5-60-50 - Lube Oil Separator Module PS5-60-UO-81100B</t>
  </si>
  <si>
    <t>PS5-60-50</t>
  </si>
  <si>
    <t>T-00023-4996</t>
  </si>
  <si>
    <t>PS5-60-BE-0004C-CL01</t>
  </si>
  <si>
    <t>Cable FROM PS5-60-IH-0001C TO PS5-60-BE-0004C</t>
  </si>
  <si>
    <t>PS5-60-51 - Lube Oil Separator Module PS5-60-UO-81100C</t>
  </si>
  <si>
    <t>PS5-60-51</t>
  </si>
  <si>
    <t>T-00023-4997</t>
  </si>
  <si>
    <t>PS5-60-BE-0004D-CL01</t>
  </si>
  <si>
    <t>Cable FROM PS5-60-IH-0001D TO PS5-60-BE-0004D</t>
  </si>
  <si>
    <t>PS5-60-52 - Lube Oil Separator Module PS5-60-UO-81100D</t>
  </si>
  <si>
    <t>PS5-60-52</t>
  </si>
  <si>
    <t>T-00023-5001</t>
  </si>
  <si>
    <t>PS5-60-BE-0005A-CL01</t>
  </si>
  <si>
    <t>Cable FROM PS5-60-IH-0001A TO PS5-60-BE-0005A</t>
  </si>
  <si>
    <t>T-00023-5002</t>
  </si>
  <si>
    <t>PS5-60-BE-0005B-CL01</t>
  </si>
  <si>
    <t>Cable FROM PS5-60-IH-0001B TO PS5-60-BE-0005B</t>
  </si>
  <si>
    <t>T-00023-5003</t>
  </si>
  <si>
    <t>PS5-60-BE-0005C-CL01</t>
  </si>
  <si>
    <t>Cable FROM PS5-60-IH-0001C TO PS5-60-BE-0005C</t>
  </si>
  <si>
    <t>T-00023-5004</t>
  </si>
  <si>
    <t>PS5-60-BE-0005D-CL01</t>
  </si>
  <si>
    <t>Cable FROM PS5-60-IH-0001D TO PS5-60-BE-0005D</t>
  </si>
  <si>
    <t>T-00023-5008</t>
  </si>
  <si>
    <t>PS5-60-BE-0011A-CL01</t>
  </si>
  <si>
    <t>Cable FROM PS5-60-IH-0001A TO PS5-60-BE-0011A</t>
  </si>
  <si>
    <t>T-00023-5009</t>
  </si>
  <si>
    <t>PS5-60-BE-0011A-CL02</t>
  </si>
  <si>
    <t>T-00023-5010</t>
  </si>
  <si>
    <t>PS5-60-BE-0011A-CL03</t>
  </si>
  <si>
    <t>T-00023-5011</t>
  </si>
  <si>
    <t>PS5-60-BE-0011A-CL04</t>
  </si>
  <si>
    <t>T-00023-5012</t>
  </si>
  <si>
    <t>PS5-60-BE-0011A-CL05</t>
  </si>
  <si>
    <t>T-00023-5013</t>
  </si>
  <si>
    <t>PS5-60-BE-0011A-CL06</t>
  </si>
  <si>
    <t>T-00023-5014</t>
  </si>
  <si>
    <t>PS5-60-BE-0011B-CL01</t>
  </si>
  <si>
    <t>Cable FROM PS5-60-IH-0001A TO PS5-60-BE-0011B</t>
  </si>
  <si>
    <t>T-00023-5015</t>
  </si>
  <si>
    <t>PS5-60-BE-0011B-CL02</t>
  </si>
  <si>
    <t>T-00023-5016</t>
  </si>
  <si>
    <t>PS5-60-BE-0011B-CL03</t>
  </si>
  <si>
    <t>T-00023-5017</t>
  </si>
  <si>
    <t>PS5-60-BE-0011B-CL04</t>
  </si>
  <si>
    <t>T-00023-5018</t>
  </si>
  <si>
    <t>PS5-60-BE-0011B-CL05</t>
  </si>
  <si>
    <t>T-00023-5019</t>
  </si>
  <si>
    <t>PS5-60-BE-0011B-CL06</t>
  </si>
  <si>
    <t>T-00023-5020</t>
  </si>
  <si>
    <t>PS5-60-BE-0012A-CL01</t>
  </si>
  <si>
    <t>Cable FROM PS5-60-IH-0001B TO PS5-60-BE-0012A</t>
  </si>
  <si>
    <t>T-00023-5021</t>
  </si>
  <si>
    <t>PS5-60-BE-0012A-CL02</t>
  </si>
  <si>
    <t>T-00023-5022</t>
  </si>
  <si>
    <t>PS5-60-BE-0012A-CL03</t>
  </si>
  <si>
    <t>T-00023-5023</t>
  </si>
  <si>
    <t>PS5-60-BE-0012A-CL04</t>
  </si>
  <si>
    <t>T-00023-5024</t>
  </si>
  <si>
    <t>PS5-60-BE-0012A-CL05</t>
  </si>
  <si>
    <t>T-00023-5025</t>
  </si>
  <si>
    <t>PS5-60-BE-0012A-CL06</t>
  </si>
  <si>
    <t>T-00023-5026</t>
  </si>
  <si>
    <t>PS5-60-BE-0012B-CL01</t>
  </si>
  <si>
    <t>Cable FROM PS5-60-IH-0001B TO PS5-60-BE-0012B</t>
  </si>
  <si>
    <t>T-00023-5027</t>
  </si>
  <si>
    <t>PS5-60-BE-0012B-CL02</t>
  </si>
  <si>
    <t>T-00023-5028</t>
  </si>
  <si>
    <t>PS5-60-BE-0012B-CL03</t>
  </si>
  <si>
    <t>T-00023-5029</t>
  </si>
  <si>
    <t>PS5-60-BE-0012B-CL04</t>
  </si>
  <si>
    <t>T-00023-5030</t>
  </si>
  <si>
    <t>PS5-60-BE-0012B-CL05</t>
  </si>
  <si>
    <t>T-00023-5031</t>
  </si>
  <si>
    <t>PS5-60-BE-0012B-CL06</t>
  </si>
  <si>
    <t>T-00023-5032</t>
  </si>
  <si>
    <t>PS5-60-BE-0013A-CL01</t>
  </si>
  <si>
    <t>Cable FROM PS5-60-IH-0001C TO PS5-60-BE-0013A</t>
  </si>
  <si>
    <t>T-00023-5033</t>
  </si>
  <si>
    <t>PS5-60-BE-0013A-CL02</t>
  </si>
  <si>
    <t>T-00023-5034</t>
  </si>
  <si>
    <t>PS5-60-BE-0013A-CL03</t>
  </si>
  <si>
    <t>T-00023-5035</t>
  </si>
  <si>
    <t>PS5-60-BE-0013A-CL04</t>
  </si>
  <si>
    <t>T-00023-5036</t>
  </si>
  <si>
    <t>PS5-60-BE-0013A-CL05</t>
  </si>
  <si>
    <t>T-00023-5037</t>
  </si>
  <si>
    <t>PS5-60-BE-0013A-CL06</t>
  </si>
  <si>
    <t>T-00023-5038</t>
  </si>
  <si>
    <t>PS5-60-BE-0013B-CL01</t>
  </si>
  <si>
    <t>Cable FROM PS5-60-IH-0001C TO PS5-60-BE-0013B</t>
  </si>
  <si>
    <t>T-00023-5039</t>
  </si>
  <si>
    <t>PS5-60-BE-0013B-CL02</t>
  </si>
  <si>
    <t>T-00023-5040</t>
  </si>
  <si>
    <t>PS5-60-BE-0013B-CL03</t>
  </si>
  <si>
    <t>T-00023-5041</t>
  </si>
  <si>
    <t>PS5-60-BE-0013B-CL04</t>
  </si>
  <si>
    <t>T-00023-5042</t>
  </si>
  <si>
    <t>PS5-60-BE-0013B-CL05</t>
  </si>
  <si>
    <t>T-00023-5043</t>
  </si>
  <si>
    <t>PS5-60-BE-0013B-CL06</t>
  </si>
  <si>
    <t>T-00023-5044</t>
  </si>
  <si>
    <t>PS5-60-BE-0014A-CL01</t>
  </si>
  <si>
    <t>Cable FROM PS5-60-IH-0001D TO PS5-60-BE-0014A</t>
  </si>
  <si>
    <t>T-00023-5045</t>
  </si>
  <si>
    <t>PS5-60-BE-0014A-CL02</t>
  </si>
  <si>
    <t>T-00023-5046</t>
  </si>
  <si>
    <t>PS5-60-BE-0014A-CL03</t>
  </si>
  <si>
    <t>T-00023-5047</t>
  </si>
  <si>
    <t>PS5-60-BE-0014A-CL04</t>
  </si>
  <si>
    <t>T-00023-5048</t>
  </si>
  <si>
    <t>PS5-60-BE-0014A-CL05</t>
  </si>
  <si>
    <t>T-00023-5049</t>
  </si>
  <si>
    <t>PS5-60-BE-0014A-CL06</t>
  </si>
  <si>
    <t>T-00023-5050</t>
  </si>
  <si>
    <t>PS5-60-BE-0014B-CL01</t>
  </si>
  <si>
    <t>Cable FROM PS5-60-IH-0001D TO PS5-60-BE-0014B</t>
  </si>
  <si>
    <t>T-00023-5051</t>
  </si>
  <si>
    <t>PS5-60-BE-0014B-CL02</t>
  </si>
  <si>
    <t>T-00023-5052</t>
  </si>
  <si>
    <t>PS5-60-BE-0014B-CL03</t>
  </si>
  <si>
    <t>T-00023-5053</t>
  </si>
  <si>
    <t>PS5-60-BE-0014B-CL04</t>
  </si>
  <si>
    <t>T-00023-5054</t>
  </si>
  <si>
    <t>PS5-60-BE-0014B-CL05</t>
  </si>
  <si>
    <t>T-00023-5055</t>
  </si>
  <si>
    <t>PS5-60-BE-0014B-CL06</t>
  </si>
  <si>
    <t>T-00023-5092</t>
  </si>
  <si>
    <t>PS5-60-BE-0021A-CL01</t>
  </si>
  <si>
    <t>Cable FROM PS5-60-IH-0002 TO PS5-60-BE-0021A</t>
  </si>
  <si>
    <t>T-00023-5093</t>
  </si>
  <si>
    <t>PS5-60-BE-0021B-CL01</t>
  </si>
  <si>
    <t>Cable FROM PS5-60-IH-0002 TO PS5-60-BE-0021B</t>
  </si>
  <si>
    <t>T-00023-5094</t>
  </si>
  <si>
    <t>PS5-60-BE-0024A-CL01</t>
  </si>
  <si>
    <t>Cable FROM PS5-60-IH-0001A TO PS5-60-BE-0024A</t>
  </si>
  <si>
    <t>PS5-60-35 - Injector Tip Cooling Module A</t>
  </si>
  <si>
    <t>PS5-60-35</t>
  </si>
  <si>
    <t>T-00023-5095</t>
  </si>
  <si>
    <t>PS5-60-BE-0024A-CL02</t>
  </si>
  <si>
    <t>T-00023-5096</t>
  </si>
  <si>
    <t>PS5-60-BE-0024B-CL01</t>
  </si>
  <si>
    <t>Cable FROM PS5-60-IH-0001B TO PS5-60-BE-0024B</t>
  </si>
  <si>
    <t>PS5-60-36 - Injector Tip Cooling Module B</t>
  </si>
  <si>
    <t>PS5-60-36</t>
  </si>
  <si>
    <t>T-00023-5097</t>
  </si>
  <si>
    <t>PS5-60-BE-0024B-CL02</t>
  </si>
  <si>
    <t>T-00023-5098</t>
  </si>
  <si>
    <t>PS5-60-BE-0024C-CL01</t>
  </si>
  <si>
    <t>Cable FROM PS5-60-IH-0001C TO PS5-60-BE-0024C</t>
  </si>
  <si>
    <t>PS5-60-37 - Injector Tip Cooling Module C</t>
  </si>
  <si>
    <t>PS5-60-37</t>
  </si>
  <si>
    <t>T-00023-5099</t>
  </si>
  <si>
    <t>PS5-60-BE-0024C-CL02</t>
  </si>
  <si>
    <t>T-00023-5100</t>
  </si>
  <si>
    <t>PS5-60-BE-0024D-CL01</t>
  </si>
  <si>
    <t>Cable FROM PS5-60-IH-0001D TO PS5-60-BE-0024D</t>
  </si>
  <si>
    <t>PS5-60-38 - Injector Tip Cooling Module D</t>
  </si>
  <si>
    <t>PS5-60-38</t>
  </si>
  <si>
    <t>T-00023-5101</t>
  </si>
  <si>
    <t>PS5-60-BE-0024D-CL02</t>
  </si>
  <si>
    <t>T-00023-5108</t>
  </si>
  <si>
    <t>PS5-60-BE-0025A-CL01</t>
  </si>
  <si>
    <t>Cable FROM PS5-60-IH-0001A TO PS5-60-BE-0025A</t>
  </si>
  <si>
    <t>T-00023-5109</t>
  </si>
  <si>
    <t>PS5-60-BE-0025B-CL01</t>
  </si>
  <si>
    <t>Cable FROM PS5-60-IH-0001B TO PS5-60-BE-0025B</t>
  </si>
  <si>
    <t>T-00023-5110</t>
  </si>
  <si>
    <t>PS5-60-BE-0025C-CL01</t>
  </si>
  <si>
    <t>Cable FROM PS5-60-IH-0001C TO PS5-60-BE-0025C</t>
  </si>
  <si>
    <t>T-00023-5111</t>
  </si>
  <si>
    <t>PS5-60-BE-0025D-CL01</t>
  </si>
  <si>
    <t>Cable FROM PS5-60-IH-0001D TO PS5-60-BE-0025D</t>
  </si>
  <si>
    <t>T-00023-5115</t>
  </si>
  <si>
    <t>PS5-60-BE-0026A-CL01</t>
  </si>
  <si>
    <t>Cable FROM PS5-60-IH-0001A TO PS5-60-BE-0026A</t>
  </si>
  <si>
    <t>PS5-60-70 - Engine A Cooling system</t>
  </si>
  <si>
    <t>PS5-60-70</t>
  </si>
  <si>
    <t>T-00023-5116</t>
  </si>
  <si>
    <t>PS5-60-BE-0026A-CL02</t>
  </si>
  <si>
    <t>T-00023-5117</t>
  </si>
  <si>
    <t>PS5-60-BE-0026B-CL01</t>
  </si>
  <si>
    <t>Cable FROM PS5-60-IH-0001B TO PS5-60-BE-0026B</t>
  </si>
  <si>
    <t>PS5-60-71 - Engine B Cooling system</t>
  </si>
  <si>
    <t>PS5-60-71</t>
  </si>
  <si>
    <t>T-00023-5118</t>
  </si>
  <si>
    <t>PS5-60-BE-0026B-CL02</t>
  </si>
  <si>
    <t>T-00023-5119</t>
  </si>
  <si>
    <t>PS5-60-BE-0026C-CL01</t>
  </si>
  <si>
    <t>Cable FROM PS5-60-IH-0001C TO PS5-60-BE-0026C</t>
  </si>
  <si>
    <t>PS5-60-72 - Engine C Cooling system</t>
  </si>
  <si>
    <t>PS5-60-72</t>
  </si>
  <si>
    <t>T-00023-5120</t>
  </si>
  <si>
    <t>PS5-60-BE-0026C-CL02</t>
  </si>
  <si>
    <t>T-00023-5121</t>
  </si>
  <si>
    <t>PS5-60-BE-0026D-CL01</t>
  </si>
  <si>
    <t>Cable FROM PS5-60-IH-0001D TO PS5-60-BE-0026D</t>
  </si>
  <si>
    <t>PS5-60-73 - Engine D Cooling system</t>
  </si>
  <si>
    <t>PS5-60-73</t>
  </si>
  <si>
    <t>T-00023-5122</t>
  </si>
  <si>
    <t>PS5-60-BE-0026D-CL02</t>
  </si>
  <si>
    <t>T-00023-5129</t>
  </si>
  <si>
    <t>PS5-60-BI-0005A-CL01</t>
  </si>
  <si>
    <t>Cable FROM PS5-60-IH-0001A TO PS5-60-BI-0005A</t>
  </si>
  <si>
    <t>T-00023-5130</t>
  </si>
  <si>
    <t>PS5-60-BI-0005B-CL01</t>
  </si>
  <si>
    <t>Cable FROM PS5-60-IH-0001B TO PS5-60-BI-0005B</t>
  </si>
  <si>
    <t>T-00023-5131</t>
  </si>
  <si>
    <t>PS5-60-BI-0005C-CL01</t>
  </si>
  <si>
    <t>Cable FROM PS5-60-IH-0001C TO PS5-60-BI-0005C</t>
  </si>
  <si>
    <t>T-00023-5132</t>
  </si>
  <si>
    <t>PS5-60-BI-0005D-CL01</t>
  </si>
  <si>
    <t>Cable FROM PS5-60-IH-0001D TO PS5-60-BI-0005D</t>
  </si>
  <si>
    <t>T-00023-5136</t>
  </si>
  <si>
    <t>PS5-60-BI-0015A-CL01</t>
  </si>
  <si>
    <t>Cable FROM PS5-60-IH-0001A TO PS5-60-BI-0015A</t>
  </si>
  <si>
    <t>T-00023-5137</t>
  </si>
  <si>
    <t>PS5-60-BI-0015A-CL02</t>
  </si>
  <si>
    <t>T-00023-5138</t>
  </si>
  <si>
    <t>PS5-60-BI-0015A-CL03</t>
  </si>
  <si>
    <t>T-00023-5139</t>
  </si>
  <si>
    <t>PS5-60-BI-0015B-CL01</t>
  </si>
  <si>
    <t>Cable FROM PS5-60-IH-0001B TO PS5-60-BI-0015B</t>
  </si>
  <si>
    <t>T-00023-5140</t>
  </si>
  <si>
    <t>PS5-60-BI-0015B-CL02</t>
  </si>
  <si>
    <t>T-00023-5141</t>
  </si>
  <si>
    <t>PS5-60-BI-0015B-CL03</t>
  </si>
  <si>
    <t>T-00023-5142</t>
  </si>
  <si>
    <t>PS5-60-BI-0015C-CL01</t>
  </si>
  <si>
    <t>Cable FROM PS5-60-IH-0001C TO PS5-60-BI-0015C</t>
  </si>
  <si>
    <t>T-00023-5143</t>
  </si>
  <si>
    <t>PS5-60-BI-0015C-CL02</t>
  </si>
  <si>
    <t>T-00023-5144</t>
  </si>
  <si>
    <t>PS5-60-BI-0015C-CL03</t>
  </si>
  <si>
    <t>T-00023-5145</t>
  </si>
  <si>
    <t>PS5-60-BI-0015D-CL01</t>
  </si>
  <si>
    <t>Cable FROM PS5-60-IH-0001D TO PS5-60-BI-0015D</t>
  </si>
  <si>
    <t>T-00023-5146</t>
  </si>
  <si>
    <t>PS5-60-BI-0015D-CL02</t>
  </si>
  <si>
    <t>T-00023-5147</t>
  </si>
  <si>
    <t>PS5-60-BI-0015D-CL03</t>
  </si>
  <si>
    <t>T-00023-5157</t>
  </si>
  <si>
    <t>PS5-60-DD-62800A-CL01</t>
  </si>
  <si>
    <t>Cable FROM PS5-60-IH-0001A TO PS5-60-DD-62800A</t>
  </si>
  <si>
    <t>T-00023-5159</t>
  </si>
  <si>
    <t>PS5-60-DD-62800C-CL01</t>
  </si>
  <si>
    <t>Cable FROM PS5-60-IH-0001C TO PS5-60-DD-62800C</t>
  </si>
  <si>
    <t>T-00023-5166</t>
  </si>
  <si>
    <t>PS5-60-IE-0002A-CL01</t>
  </si>
  <si>
    <t>Cable FROM PS5-06-IG-0004A TO PS5-60-IE-0002A</t>
  </si>
  <si>
    <t>T-00023-5167</t>
  </si>
  <si>
    <t>PS5-60-IE-0002A-CL02</t>
  </si>
  <si>
    <t>Cable FROM PS5-06-IG-0004B TO PS5-60-IE-0002A</t>
  </si>
  <si>
    <t>T-00023-5168</t>
  </si>
  <si>
    <t>PS5-60-IE-0002A-CL03</t>
  </si>
  <si>
    <t>Cable FROM PS5-60-BI-0015A TO PS5-60-IE-0002A</t>
  </si>
  <si>
    <t>T-00023-5169</t>
  </si>
  <si>
    <t>PS5-60-IE-0002B-CL01</t>
  </si>
  <si>
    <t>Cable FROM PS5-06-IG-0004A TO PS5-60-IE-0002B</t>
  </si>
  <si>
    <t>T-00023-5170</t>
  </si>
  <si>
    <t>PS5-60-IE-0002B-CL02</t>
  </si>
  <si>
    <t>Cable FROM PS5-06-IG-0004B TO PS5-60-IE-0002B</t>
  </si>
  <si>
    <t>T-00023-5171</t>
  </si>
  <si>
    <t>PS5-60-IE-0002B-CL03</t>
  </si>
  <si>
    <t>Cable FROM PS5-60-BI-0015B TO PS5-60-IE-0002B</t>
  </si>
  <si>
    <t>T-00023-5172</t>
  </si>
  <si>
    <t>PS5-60-IE-0002C-CL01</t>
  </si>
  <si>
    <t>Cable FROM PS5-06-IG-0004A TO PS5-60-IE-0002C</t>
  </si>
  <si>
    <t>T-00023-5173</t>
  </si>
  <si>
    <t>PS5-60-IE-0002C-CL02</t>
  </si>
  <si>
    <t>Cable FROM PS5-06-IG-0004B TO PS5-60-IE-0002C</t>
  </si>
  <si>
    <t>T-00023-5174</t>
  </si>
  <si>
    <t>PS5-60-IE-0002C-CL03</t>
  </si>
  <si>
    <t>Cable FROM PS5-60-BI-0015C TO PS5-60-IE-0002C</t>
  </si>
  <si>
    <t>T-00023-5175</t>
  </si>
  <si>
    <t>PS5-60-IE-0002D-CL01</t>
  </si>
  <si>
    <t>Cable FROM PS5-06-IG-0004A TO PS5-60-IE-0002D</t>
  </si>
  <si>
    <t>T-00023-5176</t>
  </si>
  <si>
    <t>PS5-60-IE-0002D-CL02</t>
  </si>
  <si>
    <t>Cable FROM PS5-06-IG-0004B TO PS5-60-IE-0002D</t>
  </si>
  <si>
    <t>T-00023-5177</t>
  </si>
  <si>
    <t>PS5-60-IE-0002D-CL03</t>
  </si>
  <si>
    <t>Cable FROM PS5-60-BI-0015D TO PS5-60-IE-0002D</t>
  </si>
  <si>
    <t>T-00023-5187</t>
  </si>
  <si>
    <t>PS5-60-IE-0003A-CL01</t>
  </si>
  <si>
    <t>Cable FROM PS5-06-IG-0004A TO PS5-60-IE-0003A</t>
  </si>
  <si>
    <t>PS5-60-02 - Power Gen Package A (UCP)</t>
  </si>
  <si>
    <t>PS5-60-02</t>
  </si>
  <si>
    <t>T-00023-5188</t>
  </si>
  <si>
    <t>PS5-60-IE-0003A-CL02</t>
  </si>
  <si>
    <t>Cable FROM PS5-06-IG-0004B TO PS5-60-IE-0003A</t>
  </si>
  <si>
    <t>T-00023-5189</t>
  </si>
  <si>
    <t>PS5-60-IE-0003B-CL01</t>
  </si>
  <si>
    <t>Cable FROM PS5-06-IG-0004A TO PS5-60-IE-0003B</t>
  </si>
  <si>
    <t>PS5-60-05 - Power Gen Package B (UCP)</t>
  </si>
  <si>
    <t>PS5-60-05</t>
  </si>
  <si>
    <t>T-00023-5190</t>
  </si>
  <si>
    <t>PS5-60-IE-0003B-CL02</t>
  </si>
  <si>
    <t>Cable FROM PS5-06-IG-0004B TO PS5-60-IE-0003B</t>
  </si>
  <si>
    <t>T-00023-5191</t>
  </si>
  <si>
    <t>PS5-60-IE-0003C-CL01</t>
  </si>
  <si>
    <t>Cable FROM PS5-06-IG-0004A TO PS5-60-IE-0003C</t>
  </si>
  <si>
    <t>PS5-60-08 - Power Gen Package C (UCP)</t>
  </si>
  <si>
    <t>PS5-60-08</t>
  </si>
  <si>
    <t>T-00023-5192</t>
  </si>
  <si>
    <t>PS5-60-IE-0003C-CL02</t>
  </si>
  <si>
    <t>Cable FROM PS5-06-IG-0004B TO PS5-60-IE-0003C</t>
  </si>
  <si>
    <t>T-00023-5193</t>
  </si>
  <si>
    <t>PS5-60-IE-0003D-CL01</t>
  </si>
  <si>
    <t>Cable FROM PS5-06-IG-0004A TO PS5-60-IE-0003D</t>
  </si>
  <si>
    <t>PS5-60-11 - Power Gen Package D (UCP)</t>
  </si>
  <si>
    <t>PS5-60-11</t>
  </si>
  <si>
    <t>T-00023-5194</t>
  </si>
  <si>
    <t>PS5-60-IE-0003D-CL02</t>
  </si>
  <si>
    <t>Cable FROM PS5-06-IG-0004B TO PS5-60-IE-0003D</t>
  </si>
  <si>
    <t>T-00023-5201</t>
  </si>
  <si>
    <t>PS5-60-IE-0004-CL01</t>
  </si>
  <si>
    <t>Cable FROM PS5-06-IG-0004A TO PS5-60-IE-0004</t>
  </si>
  <si>
    <t>T-00023-5202</t>
  </si>
  <si>
    <t>PS5-60-IE-0004-CL02</t>
  </si>
  <si>
    <t>Cable FROM PS5-06-IG-0004B TO PS5-60-IE-0004</t>
  </si>
  <si>
    <t>T-00023-5204</t>
  </si>
  <si>
    <t>PS5-60-IH-0001A-CL01</t>
  </si>
  <si>
    <t>T-00023-5205</t>
  </si>
  <si>
    <t>PS5-60-IH-0001A-CL02</t>
  </si>
  <si>
    <t>T-00023-5206</t>
  </si>
  <si>
    <t>PS5-60-IH-0001A-CL03</t>
  </si>
  <si>
    <t>T-00023-5207</t>
  </si>
  <si>
    <t>PS5-60-IH-0001A-CL04</t>
  </si>
  <si>
    <t>T-00023-5208</t>
  </si>
  <si>
    <t>PS5-60-IH-0001A-CL05</t>
  </si>
  <si>
    <t>Cable FROM PS5-06-IG-0004A TO PS5-60-IH-0001A</t>
  </si>
  <si>
    <t>T-00023-5209</t>
  </si>
  <si>
    <t>PS5-60-IH-0001A-CL06</t>
  </si>
  <si>
    <t>Cable FROM PS5-06-IG-0004B TO PS5-60-IH-0001A</t>
  </si>
  <si>
    <t>T-00023-5211</t>
  </si>
  <si>
    <t>PS5-60-IH-0001B-CL01</t>
  </si>
  <si>
    <t>T-00023-5212</t>
  </si>
  <si>
    <t>PS5-60-IH-0001B-CL02</t>
  </si>
  <si>
    <t>T-00023-5213</t>
  </si>
  <si>
    <t>PS5-60-IH-0001B-CL03</t>
  </si>
  <si>
    <t>T-00023-5214</t>
  </si>
  <si>
    <t>PS5-60-IH-0001B-CL04</t>
  </si>
  <si>
    <t>T-00023-5215</t>
  </si>
  <si>
    <t>PS5-60-IH-0001B-CL05</t>
  </si>
  <si>
    <t>Cable FROM PS5-06-IG-0004A TO PS5-60-IH-0001B</t>
  </si>
  <si>
    <t>T-00023-5216</t>
  </si>
  <si>
    <t>PS5-60-IH-0001B-CL06</t>
  </si>
  <si>
    <t>Cable FROM PS5-06-IG-0004B TO PS5-60-IH-0001B</t>
  </si>
  <si>
    <t>T-00023-5218</t>
  </si>
  <si>
    <t>PS5-60-IH-0001C-CL01</t>
  </si>
  <si>
    <t>T-00023-5219</t>
  </si>
  <si>
    <t>PS5-60-IH-0001C-CL02</t>
  </si>
  <si>
    <t>T-00023-5220</t>
  </si>
  <si>
    <t>PS5-60-IH-0001C-CL03</t>
  </si>
  <si>
    <t>T-00023-5221</t>
  </si>
  <si>
    <t>PS5-60-IH-0001C-CL04</t>
  </si>
  <si>
    <t>T-00023-5222</t>
  </si>
  <si>
    <t>PS5-60-IH-0001C-CL05</t>
  </si>
  <si>
    <t>Cable FROM PS5-06-IG-0004B TO PS5-60-IH-0001C</t>
  </si>
  <si>
    <t>T-00023-5223</t>
  </si>
  <si>
    <t>PS5-60-IH-0001C-CL06</t>
  </si>
  <si>
    <t>Cable FROM PS5-06-IG-0004A TO PS5-60-IH-0001C</t>
  </si>
  <si>
    <t>T-00023-5225</t>
  </si>
  <si>
    <t>PS5-60-IH-0001D-CL01</t>
  </si>
  <si>
    <t>T-00023-5226</t>
  </si>
  <si>
    <t>PS5-60-IH-0001D-CL02</t>
  </si>
  <si>
    <t>T-00023-5227</t>
  </si>
  <si>
    <t>PS5-60-IH-0001D-CL03</t>
  </si>
  <si>
    <t>T-00023-5228</t>
  </si>
  <si>
    <t>PS5-60-IH-0001D-CL04</t>
  </si>
  <si>
    <t>T-00023-5229</t>
  </si>
  <si>
    <t>PS5-60-IH-0001D-CL05</t>
  </si>
  <si>
    <t>Cable FROM PS5-06-IG-0004B TO PS5-60-IH-0001D</t>
  </si>
  <si>
    <t>T-00023-5230</t>
  </si>
  <si>
    <t>PS5-60-IH-0001D-CL06</t>
  </si>
  <si>
    <t>Cable FROM PS5-06-IG-0004A TO PS5-60-IH-0001D</t>
  </si>
  <si>
    <t>T-00023-5254</t>
  </si>
  <si>
    <t>PS5-60-IH-0002-CL01</t>
  </si>
  <si>
    <t>Cable FROM PS5-06-IG-0004A TO PS5-60-IH-0002</t>
  </si>
  <si>
    <t>T-00023-5255</t>
  </si>
  <si>
    <t>PS5-60-IH-0002-CL02</t>
  </si>
  <si>
    <t>Cable FROM PS5-06-IG-0004B TO PS5-60-IH-0002</t>
  </si>
  <si>
    <t>T-00023-5256</t>
  </si>
  <si>
    <t>PS5-60-IH-0002-CL03</t>
  </si>
  <si>
    <t>T-00023-5257</t>
  </si>
  <si>
    <t>PS5-60-IH-0002-CL04</t>
  </si>
  <si>
    <t>T-00023-5258</t>
  </si>
  <si>
    <t>PS5-60-IH-0002-CL05</t>
  </si>
  <si>
    <t>T-00023-5259</t>
  </si>
  <si>
    <t>PS5-60-IH-0002-CL06</t>
  </si>
  <si>
    <t>T-00023-5260</t>
  </si>
  <si>
    <t>PS5-60-IH-0002-CL07</t>
  </si>
  <si>
    <t>T-00023-5261</t>
  </si>
  <si>
    <t>PS5-60-IH-0002-CL08</t>
  </si>
  <si>
    <t>T-00023-5262</t>
  </si>
  <si>
    <t>PS5-60-IH-0002-CL09</t>
  </si>
  <si>
    <t>T-00023-5263</t>
  </si>
  <si>
    <t>PS5-60-IH-0002-CL10</t>
  </si>
  <si>
    <t>T-00023-5264</t>
  </si>
  <si>
    <t>PS5-60-IN-0001A-CL01</t>
  </si>
  <si>
    <t>Cable FROM PS5-60-IH-0001A TO PS5-60-IN-0001A</t>
  </si>
  <si>
    <t>T-00023-5265</t>
  </si>
  <si>
    <t>PS5-60-IN-0001B-CL01</t>
  </si>
  <si>
    <t>Cable FROM PS5-60-IH-0001B TO PS5-60-IN-0001B</t>
  </si>
  <si>
    <t>T-00023-5266</t>
  </si>
  <si>
    <t>PS5-60-IN-0001C-CL01</t>
  </si>
  <si>
    <t>Cable FROM PS5-60-IH-0001C TO PS5-60-IN-0001C</t>
  </si>
  <si>
    <t>T-00023-5267</t>
  </si>
  <si>
    <t>PS5-60-IN-0001D-CL01</t>
  </si>
  <si>
    <t>Cable FROM PS5-60-IH-0001D TO PS5-60-IN-0001D</t>
  </si>
  <si>
    <t>T-00023-5271</t>
  </si>
  <si>
    <t>PS5-60-IN-0002A-CL01</t>
  </si>
  <si>
    <t>T-00023-5272</t>
  </si>
  <si>
    <t>PS5-60-IN-0002A-CL02</t>
  </si>
  <si>
    <t>Cable FROM PS5-06-IG-0004A TO PS5-60-IN-0002A</t>
  </si>
  <si>
    <t>T-00023-5273</t>
  </si>
  <si>
    <t>PS5-60-IN-0002A-CL03</t>
  </si>
  <si>
    <t>Cable FROM PS5-06-IG-0004B TO PS5-60-IN-0002A</t>
  </si>
  <si>
    <t>T-00023-5274</t>
  </si>
  <si>
    <t>PS5-60-IN-0002B-CL01</t>
  </si>
  <si>
    <t>T-00023-5275</t>
  </si>
  <si>
    <t>PS5-60-IN-0002B-CL02</t>
  </si>
  <si>
    <t>Cable FROM PS5-06-IG-0004A TO PS5-60-IN-0002B</t>
  </si>
  <si>
    <t>T-00023-5276</t>
  </si>
  <si>
    <t>PS5-60-IN-0002B-CL03</t>
  </si>
  <si>
    <t>Cable FROM PS5-06-IG-0004B TO PS5-60-IN-0002B</t>
  </si>
  <si>
    <t>T-00023-5277</t>
  </si>
  <si>
    <t>PS5-60-IN-0002C-CL01</t>
  </si>
  <si>
    <t>T-00023-5278</t>
  </si>
  <si>
    <t>PS5-60-IN-0002C-CL02</t>
  </si>
  <si>
    <t>Cable FROM PS5-06-IG-0004A TO PS5-60-IN-0002C</t>
  </si>
  <si>
    <t>T-00023-5279</t>
  </si>
  <si>
    <t>PS5-60-IN-0002C-CL03</t>
  </si>
  <si>
    <t>Cable FROM PS5-06-IG-0004B TO PS5-60-IN-0002C</t>
  </si>
  <si>
    <t>T-00023-5280</t>
  </si>
  <si>
    <t>PS5-60-IN-0002D-CL01</t>
  </si>
  <si>
    <t>T-00023-5281</t>
  </si>
  <si>
    <t>PS5-60-IN-0002D-CL02</t>
  </si>
  <si>
    <t>Cable FROM PS5-06-IG-0004A TO PS5-60-IN-0002D</t>
  </si>
  <si>
    <t>T-00023-5282</t>
  </si>
  <si>
    <t>PS5-60-IN-0002D-CL03</t>
  </si>
  <si>
    <t>Cable FROM PS5-06-IG-0004B TO PS5-60-IN-0002D</t>
  </si>
  <si>
    <t>T-00023-5292</t>
  </si>
  <si>
    <t>PS5-60-IWK-0001A-CL01</t>
  </si>
  <si>
    <t>Cable FROM PS5-06-IG-0004A TO PS5-60-IWK-0001A</t>
  </si>
  <si>
    <t>T-00023-5293</t>
  </si>
  <si>
    <t>PS5-60-IWK-0001A-CL02</t>
  </si>
  <si>
    <t>Cable FROM PS5-06-IG-0004B TO PS5-60-IWK-0001A</t>
  </si>
  <si>
    <t>T-00023-5294</t>
  </si>
  <si>
    <t>PS5-60-IWK-0001B-CL01</t>
  </si>
  <si>
    <t>Cable FROM PS5-06-IG-0004A TO PS5-60-IWK-0001B</t>
  </si>
  <si>
    <t>T-00023-5295</t>
  </si>
  <si>
    <t>PS5-60-IWK-0001B-CL02</t>
  </si>
  <si>
    <t>Cable FROM PS5-06-IG-0004B TO PS5-60-IWK-0001B</t>
  </si>
  <si>
    <t>T-00023-5296</t>
  </si>
  <si>
    <t>PS5-60-IWK-0001C-CL01</t>
  </si>
  <si>
    <t>Cable FROM PS5-06-IG-0004A TO PS5-60-IWK-0001C</t>
  </si>
  <si>
    <t>T-00023-5297</t>
  </si>
  <si>
    <t>PS5-60-IWK-0001C-CL02</t>
  </si>
  <si>
    <t>Cable FROM PS5-06-IG-0004B TO PS5-60-IWK-0001C</t>
  </si>
  <si>
    <t>T-00023-5298</t>
  </si>
  <si>
    <t>PS5-60-LA-0002A-CL01</t>
  </si>
  <si>
    <t>Cable FROM PS5-06-IG-0004A TO PS5-60-LA-0002A</t>
  </si>
  <si>
    <t>T-00023-5299</t>
  </si>
  <si>
    <t>PS5-60-LA-0002A-CL02</t>
  </si>
  <si>
    <t>Cable FROM PS5-06-IG-0004B TO PS5-60-LA-0002A</t>
  </si>
  <si>
    <t>T-00023-5300</t>
  </si>
  <si>
    <t>PS5-60-LA-0002B-CL01</t>
  </si>
  <si>
    <t>Cable FROM PS5-06-IG-0004A TO PS5-60-LA-0002B</t>
  </si>
  <si>
    <t>T-00023-5301</t>
  </si>
  <si>
    <t>PS5-60-LA-0002B-CL02</t>
  </si>
  <si>
    <t>Cable FROM PS5-06-IG-0004B TO PS5-60-LA-0002B</t>
  </si>
  <si>
    <t>T-00023-5304</t>
  </si>
  <si>
    <t>PS5-60-LA-0003-CL01</t>
  </si>
  <si>
    <t>Cable FROM PS5-06-IG-0004A TO PS5-60-LA-0003</t>
  </si>
  <si>
    <t>T-00023-5305</t>
  </si>
  <si>
    <t>PS5-60-LA-0003-CL02</t>
  </si>
  <si>
    <t>Cable FROM PS5-06-IG-0004B TO PS5-60-LA-0003</t>
  </si>
  <si>
    <t>T-00023-5310</t>
  </si>
  <si>
    <t>PS5-60-SEA-0001-CL01</t>
  </si>
  <si>
    <t>Cable FROM PS5-06-IG-0004A TO PS5-60-SEA-0001</t>
  </si>
  <si>
    <t>T-00023-5311</t>
  </si>
  <si>
    <t>PS5-60-SEA-0001-CL02</t>
  </si>
  <si>
    <t>Cable FROM PS5-06-IG-0004B TO PS5-60-SEA-0001</t>
  </si>
  <si>
    <t>T-00023-5312</t>
  </si>
  <si>
    <t>PS5-60-VS-9100A-CL01</t>
  </si>
  <si>
    <t>Cable FROM PS5-60-IH-0001A TO PS5-60-VS-9100A</t>
  </si>
  <si>
    <t>PS5-60-42 - Oil Mist Separator Skid PS5-60-VS-9100A</t>
  </si>
  <si>
    <t>PS5-60-42</t>
  </si>
  <si>
    <t>T-00023-5313</t>
  </si>
  <si>
    <t>PS5-60-VS-9100B-CL01</t>
  </si>
  <si>
    <t>Cable FROM PS5-60-IH-0001B TO PS5-60-VS-9100B</t>
  </si>
  <si>
    <t>PS5-60-43 - Oil Mist Separator Skid PS5-60-VS-9100B</t>
  </si>
  <si>
    <t>PS5-60-43</t>
  </si>
  <si>
    <t>T-00023-5314</t>
  </si>
  <si>
    <t>PS5-60-VS-9100C-CL01</t>
  </si>
  <si>
    <t>Cable FROM PS5-60-IH-0001C TO PS5-60-VS-9100C</t>
  </si>
  <si>
    <t>PS5-60-44 - Oil Mist Separator Skid PS5-60-VS-9100C</t>
  </si>
  <si>
    <t>PS5-60-44</t>
  </si>
  <si>
    <t>T-00023-5315</t>
  </si>
  <si>
    <t>PS5-60-VS-9100D-CL01</t>
  </si>
  <si>
    <t>Cable FROM PS5-60-IH-0001D TO PS5-60-VS-9100D</t>
  </si>
  <si>
    <t>PS5-60-45 - Oil Mist Separator Skid PS5-60-VS-9100D</t>
  </si>
  <si>
    <t>PS5-60-45</t>
  </si>
  <si>
    <t>T-00023-5319</t>
  </si>
  <si>
    <t>PS5-61-BI-0001-CL01</t>
  </si>
  <si>
    <t>Cable FROM PS5-60-IH-0001A TO PS5-61-BI-0001</t>
  </si>
  <si>
    <t>T-00023-5320</t>
  </si>
  <si>
    <t>PS5-61-BI-0002-CL01</t>
  </si>
  <si>
    <t>Cable FROM PS5-60-IH-0001B TO PS5-61-BI-0002</t>
  </si>
  <si>
    <t>T-00023-5321</t>
  </si>
  <si>
    <t>PS5-61-BI-0003-CL01</t>
  </si>
  <si>
    <t>Cable FROM PS5-60-IH-0001C TO PS5-61-BI-0003</t>
  </si>
  <si>
    <t>T-00023-5322</t>
  </si>
  <si>
    <t>PS5-61-BI-0004-CL01</t>
  </si>
  <si>
    <t>Cable FROM PS5-60-IH-0001D TO PS5-61-BI-0004</t>
  </si>
  <si>
    <t>T-00023-5562</t>
  </si>
  <si>
    <t>PS5-71-FCV-0019-CL01</t>
  </si>
  <si>
    <t>Cable FROM PS5-61-IG-0043 TO PS5-71-FCV-0019</t>
  </si>
  <si>
    <t>PS5-71-21 - Diesel Transfer Pump A/B</t>
  </si>
  <si>
    <t>PS5-71-21</t>
  </si>
  <si>
    <t>T-00023-5584</t>
  </si>
  <si>
    <t>PS5-71-IN-0003-CL01</t>
  </si>
  <si>
    <t>Cable FROM PS5-06-IG-0004A TO PS5-71-IN-0003</t>
  </si>
  <si>
    <t>PS5-71-23 - Diesel Fuel Pre Pressure Module (UCP)</t>
  </si>
  <si>
    <t>PS5-71-23</t>
  </si>
  <si>
    <t>T-00023-5585</t>
  </si>
  <si>
    <t>PS5-71-IN-0003-CL02</t>
  </si>
  <si>
    <t>Cable FROM PS5-06-IG-0004B TO PS5-71-IN-0003</t>
  </si>
  <si>
    <t>T-00023-5586</t>
  </si>
  <si>
    <t>PS5-71-IN-0003-CL03</t>
  </si>
  <si>
    <t>Cable FROM PS5-60-IH-0002 TO PS5-71-IN-0003</t>
  </si>
  <si>
    <t>T-00023-5587</t>
  </si>
  <si>
    <t>PS5-71-IN-0004A-CL01</t>
  </si>
  <si>
    <t>Cable FROM PS5-06-IG-0004A TO PS5-71-IN-0004A</t>
  </si>
  <si>
    <t>T-00023-5588</t>
  </si>
  <si>
    <t>PS5-71-IN-0004A-CL02</t>
  </si>
  <si>
    <t>Cable FROM PS5-06-IG-0004B TO PS5-71-IN-0004A</t>
  </si>
  <si>
    <t>T-00023-5589</t>
  </si>
  <si>
    <t>PS5-71-IN-0004A-CL03</t>
  </si>
  <si>
    <t>Cable FROM PS5-60-IH-0002 TO PS5-71-IN-0004A</t>
  </si>
  <si>
    <t>T-00023-5590</t>
  </si>
  <si>
    <t>PS5-71-IN-0004B-CL01</t>
  </si>
  <si>
    <t>Cable FROM PS5-06-IG-0004A TO PS5-71-IN-0004B</t>
  </si>
  <si>
    <t>T-00023-5591</t>
  </si>
  <si>
    <t>PS5-71-IN-0004B-CL02</t>
  </si>
  <si>
    <t>Cable FROM PS5-06-IG-0004B TO PS5-71-IN-0004B</t>
  </si>
  <si>
    <t>T-00023-5592</t>
  </si>
  <si>
    <t>PS5-71-IN-0004B-CL03</t>
  </si>
  <si>
    <t>Cable FROM PS5-60-IH-0002 TO PS5-71-IN-0004B</t>
  </si>
  <si>
    <t>T-00023-5594</t>
  </si>
  <si>
    <t>PS5-71-MOV-0001-CL01</t>
  </si>
  <si>
    <t>Cable FROM PS5-61-IG-0042 TO PS5-71-MOV-0001</t>
  </si>
  <si>
    <t>PS5-71-08 - CFO Pre-Pressure Modules</t>
  </si>
  <si>
    <t>PS5-71-08</t>
  </si>
  <si>
    <t>T-00023-5595</t>
  </si>
  <si>
    <t>PS5-71-MOV-0002-CL01</t>
  </si>
  <si>
    <t>Cable FROM PS5-61-IG-0042 TO PS5-71-MOV-0002</t>
  </si>
  <si>
    <t>PS5-71-22 - Diesel Fuel Pre Pressure Module</t>
  </si>
  <si>
    <t>PS5-71-22</t>
  </si>
  <si>
    <t>T-00023-5596</t>
  </si>
  <si>
    <t>PS5-71-MOV-0003-CL01</t>
  </si>
  <si>
    <t>Cable FROM PS5-61-IG-0042 TO PS5-71-MOV-0003</t>
  </si>
  <si>
    <t>T-00023-5597</t>
  </si>
  <si>
    <t>PS5-71-MOV-0004-CL01</t>
  </si>
  <si>
    <t>Cable FROM PS5-61-IG-0042 TO PS5-71-MOV-0004</t>
  </si>
  <si>
    <t>T-00023-5599</t>
  </si>
  <si>
    <t>PS5-71-MOV-0008-CL01</t>
  </si>
  <si>
    <t>Cable FROM PS5-61-IG-0042 TO PS5-71-MOV-0008</t>
  </si>
  <si>
    <t>T-00023-5601</t>
  </si>
  <si>
    <t>PS5-71-MOV-0010-CL01</t>
  </si>
  <si>
    <t>Cable FROM PS5-61-IG-0042 TO PS5-71-MOV-0010</t>
  </si>
  <si>
    <t>T-00023-5602</t>
  </si>
  <si>
    <t>PS5-71-SDV-0001-CL01</t>
  </si>
  <si>
    <t>Cable FROM PS5-61-IG-0043 TO PS5-71-SDV-0001</t>
  </si>
  <si>
    <t>PS5-71-20 - Diesel Fuel Day Tank</t>
  </si>
  <si>
    <t>PS5-71-20</t>
  </si>
  <si>
    <t>T-00023-5609</t>
  </si>
  <si>
    <t>PS5-71-XV-0091-CL01</t>
  </si>
  <si>
    <t>Cable FROM PS5-61-IG-0042 TO PS5-71-XV-0091</t>
  </si>
  <si>
    <t>PS5-71-18 - Diesel Separator Module</t>
  </si>
  <si>
    <t>PS5-71-18</t>
  </si>
  <si>
    <t>PS5 - Milestone F</t>
  </si>
  <si>
    <t>T-00023-5610</t>
  </si>
  <si>
    <t>PS5-71-XV-0092-CL01</t>
  </si>
  <si>
    <t>Cable FROM PS5-61-IG-0042 TO PS5-71-XV-0092</t>
  </si>
  <si>
    <t>T-00023-9131</t>
  </si>
  <si>
    <t>PS5-60-BE-0007A-CL01</t>
  </si>
  <si>
    <t>T-00023-9132</t>
  </si>
  <si>
    <t>PS5-60-BE-0007B-CL01</t>
  </si>
  <si>
    <t>T-00023-9133</t>
  </si>
  <si>
    <t>PS5-60-BE-0007C-CL01</t>
  </si>
  <si>
    <t>T-00023-9134</t>
  </si>
  <si>
    <t>PS5-60-BE-0007D-CL01</t>
  </si>
  <si>
    <t>T-00023-9138</t>
  </si>
  <si>
    <t>PS5-60-BE-0027A-CL01</t>
  </si>
  <si>
    <t>Cable FROM PS5-60-IN-0002A TO PS5-60-BE-0027A</t>
  </si>
  <si>
    <t>T-00023-9139</t>
  </si>
  <si>
    <t>PS5-60-BE-0027B-CL01</t>
  </si>
  <si>
    <t>Cable FROM PS5-60-IN-0002B TO PS5-60-BE-0027B</t>
  </si>
  <si>
    <t>T-00023-9140</t>
  </si>
  <si>
    <t>PS5-60-BE-0027C-CL01</t>
  </si>
  <si>
    <t>Cable FROM PS5-60-IN-0002C TO PS5-60-BE-0027C</t>
  </si>
  <si>
    <t>T-00023-9141</t>
  </si>
  <si>
    <t>PS5-60-BE-0027D-CL01</t>
  </si>
  <si>
    <t>Cable FROM PS5-60-IN-0002D TO PS5-60-BE-0027D</t>
  </si>
  <si>
    <t>T-00023-9145</t>
  </si>
  <si>
    <t>PS5-60-BE-0028A-CL01</t>
  </si>
  <si>
    <t>Cable FROM PS5-60-IN-0002A TO PS5-60-BE-0028A</t>
  </si>
  <si>
    <t>T-00023-9146</t>
  </si>
  <si>
    <t>PS5-60-BE-0028B-CL01</t>
  </si>
  <si>
    <t>Cable FROM PS5-60-IN-0002B TO PS5-60-BE-0028B</t>
  </si>
  <si>
    <t>T-00023-9147</t>
  </si>
  <si>
    <t>PS5-60-BE-0028C-CL01</t>
  </si>
  <si>
    <t>Cable FROM PS5-60-IN-0002C TO PS5-60-BE-0028C</t>
  </si>
  <si>
    <t>T-00023-9148</t>
  </si>
  <si>
    <t>PS5-60-BE-0028D-CL01</t>
  </si>
  <si>
    <t>Cable FROM PS5-60-IN-0002D TO PS5-60-BE-0028D</t>
  </si>
  <si>
    <t>T-00023-9152</t>
  </si>
  <si>
    <t>PS5-60-BI-0006A-CL01</t>
  </si>
  <si>
    <t>Cable FROM PS5-60-IN-0002A TO PS5-60-BI-0006A</t>
  </si>
  <si>
    <t>T-00023-9153</t>
  </si>
  <si>
    <t>PS5-60-BI-0006A-CL02</t>
  </si>
  <si>
    <t>T-00023-9154</t>
  </si>
  <si>
    <t>PS5-60-BI-0006A-CL03</t>
  </si>
  <si>
    <t>T-00023-9155</t>
  </si>
  <si>
    <t>PS5-60-BI-0006A-CL04</t>
  </si>
  <si>
    <t>T-00023-9156</t>
  </si>
  <si>
    <t>PS5-60-BI-0006A-CL05</t>
  </si>
  <si>
    <t>T-00023-9157</t>
  </si>
  <si>
    <t>PS5-60-BI-0006A-CL06</t>
  </si>
  <si>
    <t>T-00023-9158</t>
  </si>
  <si>
    <t>PS5-60-BI-0006A-CL07</t>
  </si>
  <si>
    <t>T-00023-9159</t>
  </si>
  <si>
    <t>PS5-60-BI-0006A-CL08</t>
  </si>
  <si>
    <t>T-00023-9160</t>
  </si>
  <si>
    <t>PS5-60-BI-0006A-CL09</t>
  </si>
  <si>
    <t>T-00023-9161</t>
  </si>
  <si>
    <t>PS5-60-BI-0006A-CL10</t>
  </si>
  <si>
    <t>T-00023-9162</t>
  </si>
  <si>
    <t>PS5-60-BI-0006A-CL11</t>
  </si>
  <si>
    <t>T-00023-9163</t>
  </si>
  <si>
    <t>PS5-60-BI-0006B-CL01</t>
  </si>
  <si>
    <t>Cable FROM PS5-60-IN-0002B TO PS5-60-BI-0006B</t>
  </si>
  <si>
    <t>T-00023-9164</t>
  </si>
  <si>
    <t>PS5-60-BI-0006B-CL02</t>
  </si>
  <si>
    <t>T-00023-9165</t>
  </si>
  <si>
    <t>PS5-60-BI-0006B-CL03</t>
  </si>
  <si>
    <t>T-00023-9166</t>
  </si>
  <si>
    <t>PS5-60-BI-0006B-CL04</t>
  </si>
  <si>
    <t>T-00023-9167</t>
  </si>
  <si>
    <t>PS5-60-BI-0006B-CL05</t>
  </si>
  <si>
    <t>T-00023-9168</t>
  </si>
  <si>
    <t>PS5-60-BI-0006B-CL06</t>
  </si>
  <si>
    <t>T-00023-9169</t>
  </si>
  <si>
    <t>PS5-60-BI-0006B-CL07</t>
  </si>
  <si>
    <t>T-00023-9170</t>
  </si>
  <si>
    <t>PS5-60-BI-0006B-CL08</t>
  </si>
  <si>
    <t>T-00023-9171</t>
  </si>
  <si>
    <t>PS5-60-BI-0006B-CL09</t>
  </si>
  <si>
    <t>T-00023-9172</t>
  </si>
  <si>
    <t>PS5-60-BI-0006B-CL10</t>
  </si>
  <si>
    <t>T-00023-9173</t>
  </si>
  <si>
    <t>PS5-60-BI-0006B-CL11</t>
  </si>
  <si>
    <t>T-00023-9174</t>
  </si>
  <si>
    <t>PS5-60-BI-0006C-CL01</t>
  </si>
  <si>
    <t>Cable FROM PS5-60-IN-0002C TO PS5-60-BI-0006C</t>
  </si>
  <si>
    <t>T-00023-9175</t>
  </si>
  <si>
    <t>PS5-60-BI-0006C-CL02</t>
  </si>
  <si>
    <t>T-00023-9176</t>
  </si>
  <si>
    <t>PS5-60-BI-0006C-CL03</t>
  </si>
  <si>
    <t>T-00023-9177</t>
  </si>
  <si>
    <t>PS5-60-BI-0006C-CL04</t>
  </si>
  <si>
    <t>T-00023-9178</t>
  </si>
  <si>
    <t>PS5-60-BI-0006C-CL05</t>
  </si>
  <si>
    <t>T-00023-9179</t>
  </si>
  <si>
    <t>PS5-60-BI-0006C-CL06</t>
  </si>
  <si>
    <t>T-00023-9180</t>
  </si>
  <si>
    <t>PS5-60-BI-0006C-CL07</t>
  </si>
  <si>
    <t>T-00023-9181</t>
  </si>
  <si>
    <t>PS5-60-BI-0006C-CL08</t>
  </si>
  <si>
    <t>T-00023-9182</t>
  </si>
  <si>
    <t>PS5-60-BI-0006C-CL09</t>
  </si>
  <si>
    <t>T-00023-9183</t>
  </si>
  <si>
    <t>PS5-60-BI-0006C-CL10</t>
  </si>
  <si>
    <t>T-00023-9184</t>
  </si>
  <si>
    <t>PS5-60-BI-0006C-CL11</t>
  </si>
  <si>
    <t>T-00023-9185</t>
  </si>
  <si>
    <t>PS5-60-BI-0006D-CL01</t>
  </si>
  <si>
    <t>Cable FROM PS5-60-IN-0002D TO PS5-60-BI-0006D</t>
  </si>
  <si>
    <t>T-00023-9186</t>
  </si>
  <si>
    <t>PS5-60-BI-0006D-CL02</t>
  </si>
  <si>
    <t>T-00023-9187</t>
  </si>
  <si>
    <t>PS5-60-BI-0006D-CL03</t>
  </si>
  <si>
    <t>T-00023-9188</t>
  </si>
  <si>
    <t>PS5-60-BI-0006D-CL04</t>
  </si>
  <si>
    <t>T-00023-9189</t>
  </si>
  <si>
    <t>PS5-60-BI-0006D-CL05</t>
  </si>
  <si>
    <t>T-00023-9190</t>
  </si>
  <si>
    <t>PS5-60-BI-0006D-CL06</t>
  </si>
  <si>
    <t>T-00023-9191</t>
  </si>
  <si>
    <t>PS5-60-BI-0006D-CL07</t>
  </si>
  <si>
    <t>T-00023-9192</t>
  </si>
  <si>
    <t>PS5-60-BI-0006D-CL08</t>
  </si>
  <si>
    <t>T-00023-9193</t>
  </si>
  <si>
    <t>PS5-60-BI-0006D-CL09</t>
  </si>
  <si>
    <t>T-00023-9194</t>
  </si>
  <si>
    <t>PS5-60-BI-0006D-CL10</t>
  </si>
  <si>
    <t>T-00023-9195</t>
  </si>
  <si>
    <t>PS5-60-BI-0006D-CL11</t>
  </si>
  <si>
    <t>T-00023-9229</t>
  </si>
  <si>
    <t>PS5-60-BI-0017A-CL01</t>
  </si>
  <si>
    <t>Cable FROM PS5-60-IN-0002A TO PS5-60-BI-0017A</t>
  </si>
  <si>
    <t>T-00023-9230</t>
  </si>
  <si>
    <t>PS5-60-BI-0017B-CL01</t>
  </si>
  <si>
    <t>Cable FROM PS5-60-IN-0002B TO PS5-60-BI-0017B</t>
  </si>
  <si>
    <t>T-00023-9231</t>
  </si>
  <si>
    <t>PS5-60-BI-0017C-CL01</t>
  </si>
  <si>
    <t>Cable FROM PS5-60-IN-0002C TO PS5-60-BI-0017C</t>
  </si>
  <si>
    <t>T-00023-9232</t>
  </si>
  <si>
    <t>PS5-60-BI-0017D-CL01</t>
  </si>
  <si>
    <t>Cable FROM PS5-60-IN-0002D TO PS5-60-BI-0017D</t>
  </si>
  <si>
    <t>T-00023-9236</t>
  </si>
  <si>
    <t>PS5-60-EA-2900A-CL01</t>
  </si>
  <si>
    <t>Cable FROM PS5-60-IN-0002A TO PS5-60-EA-2900A</t>
  </si>
  <si>
    <t>T-00023-9237</t>
  </si>
  <si>
    <t>PS5-60-EA-2900B-CL01</t>
  </si>
  <si>
    <t>Cable FROM PS5-60-IN-0002B TO PS5-60-EA-2900B</t>
  </si>
  <si>
    <t>T-00023-9238</t>
  </si>
  <si>
    <t>PS5-60-EA-2900C-CL01</t>
  </si>
  <si>
    <t>Cable FROM PS5-60-IN-0002C TO PS5-60-EA-2900C</t>
  </si>
  <si>
    <t>T-00023-9239</t>
  </si>
  <si>
    <t>PS5-60-EA-2900D-CL01</t>
  </si>
  <si>
    <t>Cable FROM PS5-60-IN-0002D TO PS5-60-EA-2900D</t>
  </si>
  <si>
    <t>T-00023-9244</t>
  </si>
  <si>
    <t>PS5-71-BE-0004-CL01</t>
  </si>
  <si>
    <t>Cable FROM PS5-71-IN-0002 TO PS5-71-BE-0004</t>
  </si>
  <si>
    <t>T-00023-9245</t>
  </si>
  <si>
    <t>PS5-71-BE-0004-CL02</t>
  </si>
  <si>
    <t>T-00023-9246</t>
  </si>
  <si>
    <t>PS5-71-BE-0004-CL03</t>
  </si>
  <si>
    <t>T-00023-9247</t>
  </si>
  <si>
    <t>PS5-71-BI-0003-CL01</t>
  </si>
  <si>
    <t>Cable FROM PS5-71-IN-0002 TO PS5-71-BI-0003</t>
  </si>
  <si>
    <t>T-00023-9248</t>
  </si>
  <si>
    <t>PS5-71-BI-0003-CL02</t>
  </si>
  <si>
    <t>T-00023-9249</t>
  </si>
  <si>
    <t>PS5-71-BI-0003-CL03</t>
  </si>
  <si>
    <t>T-00023-9250</t>
  </si>
  <si>
    <t>PS5-71-BI-0003-CL04</t>
  </si>
  <si>
    <t>T-00023-9251</t>
  </si>
  <si>
    <t>PS5-71-BI-0004-CL01</t>
  </si>
  <si>
    <t>Cable FROM PS5-71-IN-0002 TO PS5-71-BI-0004</t>
  </si>
  <si>
    <t>T-00023-9252</t>
  </si>
  <si>
    <t>PS5-71-BI-0005-CL01</t>
  </si>
  <si>
    <t>Cable FROM PS5-71-IN-0003 TO PS5-71-BI-0005</t>
  </si>
  <si>
    <t>T-00023-9253</t>
  </si>
  <si>
    <t>PS5-71-BI-0005-CL02</t>
  </si>
  <si>
    <t>T-00023-9254</t>
  </si>
  <si>
    <t>PS5-71-BI-0005-CL03</t>
  </si>
  <si>
    <t>T-00023-9255</t>
  </si>
  <si>
    <t>PS5-71-BI-0006-CL01</t>
  </si>
  <si>
    <t>Cable FROM PS5-71-IN-0003 TO PS5-71-BI-0006</t>
  </si>
  <si>
    <t>T-00024-2101</t>
  </si>
  <si>
    <t>PS5-60-IE-0002A-CD01</t>
  </si>
  <si>
    <t>CPX10 - Multicore Electrical Control Cable</t>
  </si>
  <si>
    <t>Multicore Electrical Control Cable</t>
  </si>
  <si>
    <t>TM-00024</t>
  </si>
  <si>
    <t>T-00024-2102</t>
  </si>
  <si>
    <t>PS5-60-IE-0002A-CD02</t>
  </si>
  <si>
    <t>T-00024-2103</t>
  </si>
  <si>
    <t>PS5-60-IE-0002A-CD03</t>
  </si>
  <si>
    <t>T-00024-2104</t>
  </si>
  <si>
    <t>PS5-60-IE-0002B-CD01</t>
  </si>
  <si>
    <t>T-00024-2105</t>
  </si>
  <si>
    <t>PS5-60-IE-0002B-CD02</t>
  </si>
  <si>
    <t>T-00024-2106</t>
  </si>
  <si>
    <t>PS5-60-IE-0002B-CD03</t>
  </si>
  <si>
    <t>T-00024-2107</t>
  </si>
  <si>
    <t>PS5-60-IE-0002C-CD01</t>
  </si>
  <si>
    <t>T-00024-2108</t>
  </si>
  <si>
    <t>PS5-60-IE-0002C-CD02</t>
  </si>
  <si>
    <t>T-00024-2109</t>
  </si>
  <si>
    <t>PS5-60-IE-0002C-CD03</t>
  </si>
  <si>
    <t>T-00024-2110</t>
  </si>
  <si>
    <t>PS5-60-IE-0002D-CD01</t>
  </si>
  <si>
    <t>T-00024-2111</t>
  </si>
  <si>
    <t>PS5-60-IE-0002D-CD02</t>
  </si>
  <si>
    <t>T-00024-2112</t>
  </si>
  <si>
    <t>PS5-60-IE-0002D-CD03</t>
  </si>
  <si>
    <t>T-00024-2123</t>
  </si>
  <si>
    <t>PS5-60-IE-0003A-CD02</t>
  </si>
  <si>
    <t>Cable FROM PS5-60-BI-0015A TO PS5-60-IE-0003A</t>
  </si>
  <si>
    <t>T-00024-2124</t>
  </si>
  <si>
    <t>PS5-60-IE-0003A-CD03</t>
  </si>
  <si>
    <t>T-00024-2125</t>
  </si>
  <si>
    <t>PS5-60-IE-0003A-CD04</t>
  </si>
  <si>
    <t>Cable FROM PS5-60-BI-0005A TO PS5-60-IE-0003A</t>
  </si>
  <si>
    <t>T-00024-2126</t>
  </si>
  <si>
    <t>PS5-60-IE-0003A-CD05</t>
  </si>
  <si>
    <t>T-00024-2135</t>
  </si>
  <si>
    <t>PS5-60-IE-0003A-CD14</t>
  </si>
  <si>
    <t>Cable FROM PS5-60-IE-0002A TO PS5-60-IE-0003A</t>
  </si>
  <si>
    <t>T-00024-2136</t>
  </si>
  <si>
    <t>PS5-60-IE-0003A-CD15</t>
  </si>
  <si>
    <t>Cable FROM PS5-60-IE-0004 TO PS5-60-IE-0003A</t>
  </si>
  <si>
    <t>T-00024-2138</t>
  </si>
  <si>
    <t>PS5-60-IE-0003B-CD02</t>
  </si>
  <si>
    <t>Cable FROM PS5-60-BI-0015B TO PS5-60-IE-0003B</t>
  </si>
  <si>
    <t>T-00024-2139</t>
  </si>
  <si>
    <t>PS5-60-IE-0003B-CD03</t>
  </si>
  <si>
    <t>T-00024-2140</t>
  </si>
  <si>
    <t>PS5-60-IE-0003B-CD04</t>
  </si>
  <si>
    <t>Cable FROM PS5-60-BI-0005B TO PS5-60-IE-0003B</t>
  </si>
  <si>
    <t>T-00024-2141</t>
  </si>
  <si>
    <t>PS5-60-IE-0003B-CD05</t>
  </si>
  <si>
    <t>T-00024-2150</t>
  </si>
  <si>
    <t>PS5-60-IE-0003B-CD14</t>
  </si>
  <si>
    <t>Cable FROM PS5-60-IE-0002B TO PS5-60-IE-0003B</t>
  </si>
  <si>
    <t>T-00024-2151</t>
  </si>
  <si>
    <t>PS5-60-IE-0003B-CD15</t>
  </si>
  <si>
    <t>Cable FROM PS5-60-IE-0004 TO PS5-60-IE-0003B</t>
  </si>
  <si>
    <t>T-00024-2153</t>
  </si>
  <si>
    <t>PS5-60-IE-0003C-CD02</t>
  </si>
  <si>
    <t>Cable FROM PS5-60-BI-0015C TO PS5-60-IE-0003C</t>
  </si>
  <si>
    <t>T-00024-2154</t>
  </si>
  <si>
    <t>PS5-60-IE-0003C-CD03</t>
  </si>
  <si>
    <t>T-00024-2155</t>
  </si>
  <si>
    <t>PS5-60-IE-0003C-CD04</t>
  </si>
  <si>
    <t>Cable FROM PS5-60-BI-0005C TO PS5-60-IE-0003C</t>
  </si>
  <si>
    <t>T-00024-2156</t>
  </si>
  <si>
    <t>PS5-60-IE-0003C-CD05</t>
  </si>
  <si>
    <t>T-00024-2165</t>
  </si>
  <si>
    <t>PS5-60-IE-0003C-CD14</t>
  </si>
  <si>
    <t>Cable FROM PS5-60-IE-0002C TO PS5-60-IE-0003C</t>
  </si>
  <si>
    <t>T-00024-2166</t>
  </si>
  <si>
    <t>PS5-60-IE-0003C-CD15</t>
  </si>
  <si>
    <t>Cable FROM PS5-60-IE-0004 TO PS5-60-IE-0003C</t>
  </si>
  <si>
    <t>T-00024-2168</t>
  </si>
  <si>
    <t>PS5-60-IE-0003D-CD02</t>
  </si>
  <si>
    <t>Cable FROM PS5-60-BI-0015D TO PS5-60-IE-0003D</t>
  </si>
  <si>
    <t>T-00024-2169</t>
  </si>
  <si>
    <t>PS5-60-IE-0003D-CD03</t>
  </si>
  <si>
    <t>T-00024-2170</t>
  </si>
  <si>
    <t>PS5-60-IE-0003D-CD04</t>
  </si>
  <si>
    <t>Cable FROM PS5-60-BI-0005D TO PS5-60-IE-0003D</t>
  </si>
  <si>
    <t>T-00024-2171</t>
  </si>
  <si>
    <t>PS5-60-IE-0003D-CD05</t>
  </si>
  <si>
    <t>T-00024-2180</t>
  </si>
  <si>
    <t>PS5-60-IE-0003D-CD14</t>
  </si>
  <si>
    <t>Cable FROM PS5-60-IE-0002D TO PS5-60-IE-0003D</t>
  </si>
  <si>
    <t>T-00024-2181</t>
  </si>
  <si>
    <t>PS5-60-IE-0003D-CD15</t>
  </si>
  <si>
    <t>Cable FROM PS5-60-IE-0004 TO PS5-60-IE-0003D</t>
  </si>
  <si>
    <t>T-00026-0178</t>
  </si>
  <si>
    <t>PS5-71-DM-3500A</t>
  </si>
  <si>
    <t>CPX13 - LV Motor</t>
  </si>
  <si>
    <t>Diesel Transfer Pump Motor A</t>
  </si>
  <si>
    <t>LV Motor</t>
  </si>
  <si>
    <t>TM-00026</t>
  </si>
  <si>
    <t>T-00026-0179</t>
  </si>
  <si>
    <t>PS5-71-DM-3500B</t>
  </si>
  <si>
    <t>Diesel Transfer Pump Motor B</t>
  </si>
  <si>
    <t>T-00034-0059</t>
  </si>
  <si>
    <t>PS5-60-IJ-0001A</t>
  </si>
  <si>
    <t>CPX21 - Neutral Earthing Resistor</t>
  </si>
  <si>
    <t>Neutral Grounding resistor for Generator set 1 (A)</t>
  </si>
  <si>
    <t>8</t>
  </si>
  <si>
    <t>Neutral Earthing Resistor</t>
  </si>
  <si>
    <t>TM-00034</t>
  </si>
  <si>
    <t>T-00034-0060</t>
  </si>
  <si>
    <t>PS5-60-IJ-0001B</t>
  </si>
  <si>
    <t>Neutral Grounding resistor for Generator set 2 (B)</t>
  </si>
  <si>
    <t>T-00034-0061</t>
  </si>
  <si>
    <t>PS5-60-IJ-0001C</t>
  </si>
  <si>
    <t>Neutral Grounding resistor for Generator set 3 (C)</t>
  </si>
  <si>
    <t>T-00034-0062</t>
  </si>
  <si>
    <t>PS5-60-IJ-0001D</t>
  </si>
  <si>
    <t>Neutral Grounding resistor for Generator set 4 (D)</t>
  </si>
  <si>
    <t>CPX26 - Earthing system</t>
  </si>
  <si>
    <t>Earthing</t>
  </si>
  <si>
    <t>10</t>
  </si>
  <si>
    <t>PS5-63-01 - Electrical Earthing</t>
  </si>
  <si>
    <t>PS5-63-01</t>
  </si>
  <si>
    <t>Earthing System</t>
  </si>
  <si>
    <t>Submitted</t>
  </si>
  <si>
    <t>PS5 - Milestone A</t>
  </si>
  <si>
    <t>TM-00039</t>
  </si>
  <si>
    <t>T-00039-0295</t>
  </si>
  <si>
    <t>PS5 - POWER DISTRIBUTION AREA_Earthing</t>
  </si>
  <si>
    <t>TZ-MID-68-WPR2-151148</t>
  </si>
  <si>
    <t>T-00039-0296</t>
  </si>
  <si>
    <t>PS5 - POWER GENERATION BUILDING AREA_Earthing</t>
  </si>
  <si>
    <t>TZ-MID-68-WPR2-151152</t>
  </si>
  <si>
    <t>T-00039-0297</t>
  </si>
  <si>
    <t>PS5 - POWER GENERATION COOLING TOWER AREA_Earthing</t>
  </si>
  <si>
    <t>TZ-MID-68-WPR2-151154</t>
  </si>
  <si>
    <t>T-00039-0309</t>
  </si>
  <si>
    <t>PS5-84-OB-0005_Earthing</t>
  </si>
  <si>
    <t>Earthing for Generator Electrical Building</t>
  </si>
  <si>
    <t>TZ-MID-68-WPR2-151181</t>
  </si>
  <si>
    <t>PS5-63-03 - Electrical Earthing - Generator Building</t>
  </si>
  <si>
    <t>PS5-63-03</t>
  </si>
  <si>
    <t>T-00044-0090</t>
  </si>
  <si>
    <t>PS5-60-IE-0003A</t>
  </si>
  <si>
    <t>CPX32 - Console / control panel</t>
  </si>
  <si>
    <t>GCP G-1 (A)</t>
  </si>
  <si>
    <t>6</t>
  </si>
  <si>
    <t>Console / Control Panel</t>
  </si>
  <si>
    <t>TM-00044</t>
  </si>
  <si>
    <t>T-00044-0091</t>
  </si>
  <si>
    <t>PS5-60-IE-0003B</t>
  </si>
  <si>
    <t>GCP G-2 (B)</t>
  </si>
  <si>
    <t>T-00044-0092</t>
  </si>
  <si>
    <t>PS5-60-IE-0003C</t>
  </si>
  <si>
    <t>GCP G-3 (C)</t>
  </si>
  <si>
    <t>T-00044-0093</t>
  </si>
  <si>
    <t>PS5-60-IE-0003D</t>
  </si>
  <si>
    <t>GCP G-4 (D)</t>
  </si>
  <si>
    <t>T-00044-0097</t>
  </si>
  <si>
    <t>PS5-60-IE-0004</t>
  </si>
  <si>
    <t>MCP- MASTER CONTROL PANEL</t>
  </si>
  <si>
    <t>T-00044-0098</t>
  </si>
  <si>
    <t>PS5-60-IH-0001A</t>
  </si>
  <si>
    <t>GENSET MCC -1 - G1 (A)</t>
  </si>
  <si>
    <t>T-00044-0099</t>
  </si>
  <si>
    <t>PS5-60-IH-0001B</t>
  </si>
  <si>
    <t>GENSET MCC -2 - G2 (B)</t>
  </si>
  <si>
    <t>T-00044-0100</t>
  </si>
  <si>
    <t>PS5-60-IH-0001C</t>
  </si>
  <si>
    <t>GENSET MCC -3 - G3 (C)</t>
  </si>
  <si>
    <t>T-00044-0101</t>
  </si>
  <si>
    <t>PS5-60-IH-0001D</t>
  </si>
  <si>
    <t>GENSET MCC -4 - G4 (D)</t>
  </si>
  <si>
    <t>T-00044-0105</t>
  </si>
  <si>
    <t>PS5-60-IH-0002</t>
  </si>
  <si>
    <t>COMMON / TREATMENT MCC</t>
  </si>
  <si>
    <t>T-00044-0106</t>
  </si>
  <si>
    <t>PS5-60-IE-0002A</t>
  </si>
  <si>
    <t>LOCAL DISPLAY PANEL LDP GENERATOR SET</t>
  </si>
  <si>
    <t>T-00044-0107</t>
  </si>
  <si>
    <t>PS5-60-IE-0002B</t>
  </si>
  <si>
    <t>T-00044-0108</t>
  </si>
  <si>
    <t>PS5-60-IE-0002C</t>
  </si>
  <si>
    <t>T-00044-0109</t>
  </si>
  <si>
    <t>PS5-60-IE-0002D</t>
  </si>
  <si>
    <t>T-00044-0185</t>
  </si>
  <si>
    <t>PS5-60-IN-0002A</t>
  </si>
  <si>
    <t>Fuel Conditioning Unit Control Panel - Generator Set-1 (A)</t>
  </si>
  <si>
    <t>T-00044-0186</t>
  </si>
  <si>
    <t>PS5-60-IN-0002B</t>
  </si>
  <si>
    <t>Fuel Conditioning Unit Control Panel - Generator Set-2 (B)</t>
  </si>
  <si>
    <t>T-00044-0187</t>
  </si>
  <si>
    <t>PS5-60-IN-0002C</t>
  </si>
  <si>
    <t>Fuel Conditioning Unit Control Panel - Generator Set-3 (C)</t>
  </si>
  <si>
    <t>T-00044-0188</t>
  </si>
  <si>
    <t>PS5-60-IN-0002D</t>
  </si>
  <si>
    <t>Fuel Conditioning Unit Control Panel - Generator Set-4 (D)</t>
  </si>
  <si>
    <t>T-00044-0199</t>
  </si>
  <si>
    <t>PS5-71-IN-0003</t>
  </si>
  <si>
    <t>DFO- PRE PRESSURE CONTROL PANEL</t>
  </si>
  <si>
    <t>T-00044-0200</t>
  </si>
  <si>
    <t>PS5-71-IN-0004A</t>
  </si>
  <si>
    <t>CRO- SEPARATOR CONTROL PANEL-1</t>
  </si>
  <si>
    <t>T-00044-0201</t>
  </si>
  <si>
    <t>PS5-71-IN-0004B</t>
  </si>
  <si>
    <t>CRO- SEPARATOR CONTROL PANEL-2</t>
  </si>
  <si>
    <t>T-00046-0291</t>
  </si>
  <si>
    <t>PS5-60-UR-8100A</t>
  </si>
  <si>
    <t>CZX01E - Package</t>
  </si>
  <si>
    <t>POWER GENERATION PACKAGE A</t>
  </si>
  <si>
    <t>20</t>
  </si>
  <si>
    <t>TZ-MID-68-WPR2-135100</t>
  </si>
  <si>
    <t>Package</t>
  </si>
  <si>
    <t>M</t>
  </si>
  <si>
    <t>TM-00046</t>
  </si>
  <si>
    <t>T-00046-0292</t>
  </si>
  <si>
    <t>PS5-60-UR-8100B</t>
  </si>
  <si>
    <t>POWER GENERATION PACKAGE B</t>
  </si>
  <si>
    <t>TZ-MID-68-WPR2-135103</t>
  </si>
  <si>
    <t>T-00046-0293</t>
  </si>
  <si>
    <t>PS5-60-UR-8100C</t>
  </si>
  <si>
    <t>POWER GENERATION PACKAGE C</t>
  </si>
  <si>
    <t>TZ-MID-68-WPR2-135106</t>
  </si>
  <si>
    <t>T-00046-0294</t>
  </si>
  <si>
    <t>PS5-60-UR-8100D</t>
  </si>
  <si>
    <t>POWER GENERATION PACKAGE D</t>
  </si>
  <si>
    <t>TZ-MID-68-WPR2-135109</t>
  </si>
  <si>
    <t>T-00046-0300</t>
  </si>
  <si>
    <t>PS5-60-UA-5100</t>
  </si>
  <si>
    <t>COMPRESSOR AIR STARTING SKID</t>
  </si>
  <si>
    <t>TZ-MID-68-WPR2-135128</t>
  </si>
  <si>
    <t>T-00046-0301</t>
  </si>
  <si>
    <t>PS5-60-UO-81100A</t>
  </si>
  <si>
    <t>LUBE OIL SEPARATOR MODULE</t>
  </si>
  <si>
    <t>TZ-MID-68-WPR2-135124</t>
  </si>
  <si>
    <t>T-00046-0302</t>
  </si>
  <si>
    <t>PS5-60-UO-81100B</t>
  </si>
  <si>
    <t>T-00046-0303</t>
  </si>
  <si>
    <t>PS5-60-UO-81100C</t>
  </si>
  <si>
    <t>T-00046-0304</t>
  </si>
  <si>
    <t>PS5-60-UO-81100D</t>
  </si>
  <si>
    <t>T-00046-0308</t>
  </si>
  <si>
    <t>PS5-60-UZ-8200A</t>
  </si>
  <si>
    <t>INJECTOR TIP COOLING MODULE</t>
  </si>
  <si>
    <t>TZ-MID-68-WPR2-135129</t>
  </si>
  <si>
    <t>T-00046-0309</t>
  </si>
  <si>
    <t>PS5-60-UZ-8200B</t>
  </si>
  <si>
    <t>T-00046-0310</t>
  </si>
  <si>
    <t>PS5-60-UZ-8200C</t>
  </si>
  <si>
    <t>T-00046-0311</t>
  </si>
  <si>
    <t>PS5-60-UZ-8200D</t>
  </si>
  <si>
    <t>T-00046-0314</t>
  </si>
  <si>
    <t>PS5-60-VS-9100A</t>
  </si>
  <si>
    <t>OIL MIST SEPARATOR SKID</t>
  </si>
  <si>
    <t>TZ-MID-68-WPR2-135130</t>
  </si>
  <si>
    <t>T-00046-0315</t>
  </si>
  <si>
    <t>PS5-60-VS-9100B</t>
  </si>
  <si>
    <t>T-00046-0316</t>
  </si>
  <si>
    <t>PS5-60-VS-9100C</t>
  </si>
  <si>
    <t>T-00046-0317</t>
  </si>
  <si>
    <t>PS5-60-VS-9100D</t>
  </si>
  <si>
    <t>T-00046-0321</t>
  </si>
  <si>
    <t>PS5-71-UZ-6500</t>
  </si>
  <si>
    <t>DIESEL FUEL SEPARATOR MODULE</t>
  </si>
  <si>
    <t>TZ-MID-68-WPR2-135009</t>
  </si>
  <si>
    <t>T-00046-0322</t>
  </si>
  <si>
    <t>PS5-71-UZ-6800A</t>
  </si>
  <si>
    <t>CRUDE FUEL SEPARATOR MODULE A</t>
  </si>
  <si>
    <t>TZ-MID-68-WPR2-135002</t>
  </si>
  <si>
    <t>PS5-71-06 - Crude Fuel Separation Module</t>
  </si>
  <si>
    <t>PS5-71-06</t>
  </si>
  <si>
    <t>T-00046-0323</t>
  </si>
  <si>
    <t>PS5-71-UZ-6800B</t>
  </si>
  <si>
    <t>CRUDE FUEL SEPARATOR MODULE B</t>
  </si>
  <si>
    <t>T-00046-0327</t>
  </si>
  <si>
    <t>PS5-60-EA-2100A</t>
  </si>
  <si>
    <t>POWER GENERATION ENGINE RADIATOR</t>
  </si>
  <si>
    <t>TZ-MID-68-WPR2-135122</t>
  </si>
  <si>
    <t>T-00046-0328</t>
  </si>
  <si>
    <t>PS5-60-EA-2100B</t>
  </si>
  <si>
    <t>T-00046-0329</t>
  </si>
  <si>
    <t>PS5-60-EA-21100A</t>
  </si>
  <si>
    <t>COOLING SKID</t>
  </si>
  <si>
    <t>T-00046-0330</t>
  </si>
  <si>
    <t>PS5-60-EA-21100B</t>
  </si>
  <si>
    <t>T-00046-0331</t>
  </si>
  <si>
    <t>PS5-60-EA-21100C</t>
  </si>
  <si>
    <t>T-00046-0332</t>
  </si>
  <si>
    <t>PS5-60-EA-21100D</t>
  </si>
  <si>
    <t>T-00046-0336</t>
  </si>
  <si>
    <t>PS5-60-EA-21200A</t>
  </si>
  <si>
    <t>T-00046-0337</t>
  </si>
  <si>
    <t>PS5-60-EA-21200B</t>
  </si>
  <si>
    <t>T-00046-0338</t>
  </si>
  <si>
    <t>PS5-60-EA-21200C</t>
  </si>
  <si>
    <t>T-00046-0339</t>
  </si>
  <si>
    <t>PS5-60-EA-21200D</t>
  </si>
  <si>
    <t>T-00046-0343</t>
  </si>
  <si>
    <t>PS5-60-EA-2200A</t>
  </si>
  <si>
    <t>T-00046-0344</t>
  </si>
  <si>
    <t>PS5-60-EA-2200B</t>
  </si>
  <si>
    <t>T-00046-0345</t>
  </si>
  <si>
    <t>PS5-60-EA-2300A</t>
  </si>
  <si>
    <t>T-00046-0346</t>
  </si>
  <si>
    <t>PS5-60-EA-2300B</t>
  </si>
  <si>
    <t>T-00046-0347</t>
  </si>
  <si>
    <t>PS5-60-EA-2400A</t>
  </si>
  <si>
    <t>T-00046-0348</t>
  </si>
  <si>
    <t>PS5-60-EA-2400B</t>
  </si>
  <si>
    <t>T-00046-0355</t>
  </si>
  <si>
    <t>PS5-60-EA-2800A</t>
  </si>
  <si>
    <t>RADIATOR</t>
  </si>
  <si>
    <t>T-00046-0356</t>
  </si>
  <si>
    <t>PS5-60-EA-2800B</t>
  </si>
  <si>
    <t>T-00046-0357</t>
  </si>
  <si>
    <t>PS5-60-EA-2800C</t>
  </si>
  <si>
    <t>T-00046-0358</t>
  </si>
  <si>
    <t>PS5-60-EA-2800D</t>
  </si>
  <si>
    <t>T-00046-0362</t>
  </si>
  <si>
    <t>PS5-60-EA-2900A</t>
  </si>
  <si>
    <t>TZ-MID-68-WPR2-135123</t>
  </si>
  <si>
    <t>T-00046-0363</t>
  </si>
  <si>
    <t>PS5-60-EA-2900B</t>
  </si>
  <si>
    <t>T-00046-0364</t>
  </si>
  <si>
    <t>PS5-60-EA-2900C</t>
  </si>
  <si>
    <t>T-00046-0365</t>
  </si>
  <si>
    <t>PS5-60-EA-2900D</t>
  </si>
  <si>
    <t>T-00046-0369</t>
  </si>
  <si>
    <t>PS5-60-TCV-0001A</t>
  </si>
  <si>
    <t>THERMAL REGULATING VALVE SKID</t>
  </si>
  <si>
    <t>TZ-MID-68-WPR2-135136</t>
  </si>
  <si>
    <t>T-00046-0370</t>
  </si>
  <si>
    <t>PS5-60-TCV-0001B</t>
  </si>
  <si>
    <t>T-00046-0371</t>
  </si>
  <si>
    <t>PS5-60-TCV-0001C</t>
  </si>
  <si>
    <t>T-00046-0372</t>
  </si>
  <si>
    <t>PS5-60-TCV-0001D</t>
  </si>
  <si>
    <t>T-00046-0376</t>
  </si>
  <si>
    <t>PS5-60-TCV-0002A</t>
  </si>
  <si>
    <t>TZ-MID-68-WPR2-135137</t>
  </si>
  <si>
    <t>T-00046-0377</t>
  </si>
  <si>
    <t>PS5-60-TCV-0002B</t>
  </si>
  <si>
    <t>T-00046-0378</t>
  </si>
  <si>
    <t>PS5-60-TCV-0002C</t>
  </si>
  <si>
    <t>T-00046-0379</t>
  </si>
  <si>
    <t>PS5-60-TCV-0002D</t>
  </si>
  <si>
    <t>T-00046-0383</t>
  </si>
  <si>
    <t>PS5-60-UA-5200</t>
  </si>
  <si>
    <t>INSTRUMENT AIR COMPRESSOR MODULE</t>
  </si>
  <si>
    <t>TZ-MID-68-WPR2-135127</t>
  </si>
  <si>
    <t>T-00046-0384</t>
  </si>
  <si>
    <t>PS5-60-UR-8200A</t>
  </si>
  <si>
    <t>GENERATOR CW PUMP MODULE (ALTERN/ATOR BEARING SYSTEM)</t>
  </si>
  <si>
    <t>T-00046-0385</t>
  </si>
  <si>
    <t>PS5-60-UR-8200B</t>
  </si>
  <si>
    <t>T-00046-0386</t>
  </si>
  <si>
    <t>PS5-60-UR-8200C</t>
  </si>
  <si>
    <t>T-00046-0387</t>
  </si>
  <si>
    <t>PS5-60-UR-8200D</t>
  </si>
  <si>
    <t>T-00046-0392</t>
  </si>
  <si>
    <t>PS5-60-UZ-8900A</t>
  </si>
  <si>
    <t>FUEL CONDITIONING MODULE</t>
  </si>
  <si>
    <t>T-00046-0393</t>
  </si>
  <si>
    <t>PS5-60-UZ-8900B</t>
  </si>
  <si>
    <t>T-00046-0394</t>
  </si>
  <si>
    <t>PS5-60-UZ-8900C</t>
  </si>
  <si>
    <t>T-00046-0395</t>
  </si>
  <si>
    <t>PS5-60-UZ-8900D</t>
  </si>
  <si>
    <t>T-00046-0400</t>
  </si>
  <si>
    <t>PS5-71-UZ-6400</t>
  </si>
  <si>
    <t>CRUDE FUEL OIL PRE-PRESSURE MODULE</t>
  </si>
  <si>
    <t>TZ-MID-68-WPR2-135004</t>
  </si>
  <si>
    <t>T-00046-0401</t>
  </si>
  <si>
    <t>PS5-71-UZ-6700</t>
  </si>
  <si>
    <t>DIESEL FUEL OIL PRE-PRESSURE MODULE</t>
  </si>
  <si>
    <t>TZ-MID-68-WPR2-135126</t>
  </si>
  <si>
    <t>T-00046-0552</t>
  </si>
  <si>
    <t>PS5-60-UR-8300A</t>
  </si>
  <si>
    <t>POWER GENERATION - Cooler Module</t>
  </si>
  <si>
    <t>T-00046-0553</t>
  </si>
  <si>
    <t>PS5-60-UR-8300B</t>
  </si>
  <si>
    <t>T-00046-0554</t>
  </si>
  <si>
    <t>PS5-60-UR-8300C</t>
  </si>
  <si>
    <t>T-00046-0555</t>
  </si>
  <si>
    <t>PS5-60-UR-8300D</t>
  </si>
  <si>
    <t>T-00066-0066</t>
  </si>
  <si>
    <t>PS5-71-FCV-0019</t>
  </si>
  <si>
    <t>CJX06 - Tubing Hydraulic</t>
  </si>
  <si>
    <t>I</t>
  </si>
  <si>
    <t>I - Instrumentation</t>
  </si>
  <si>
    <t>Flow Control Valve</t>
  </si>
  <si>
    <t>Tubing Hydraulic</t>
  </si>
  <si>
    <t>TM-00066</t>
  </si>
  <si>
    <t>T-00067-0659</t>
  </si>
  <si>
    <t>PS5-03-RMAC-1409</t>
  </si>
  <si>
    <t>CJX08 - Electrical instrument</t>
  </si>
  <si>
    <t>MANUAL CALL POINT</t>
  </si>
  <si>
    <t>TZ-MID-68-WPR2-121106</t>
  </si>
  <si>
    <t>Electrical Instrument</t>
  </si>
  <si>
    <t>TM-00067</t>
  </si>
  <si>
    <t>UT-MID-60-WPR2-160211</t>
  </si>
  <si>
    <t>T-00067-0660</t>
  </si>
  <si>
    <t>PS5-03-RMAC-1410</t>
  </si>
  <si>
    <t>T-00067-0661</t>
  </si>
  <si>
    <t>PS5-03-RMAC-1411</t>
  </si>
  <si>
    <t>T-00067-2052</t>
  </si>
  <si>
    <t>PS5-71-HZL-0059</t>
  </si>
  <si>
    <t>Position Switch Closed</t>
  </si>
  <si>
    <t>T-00067-2053</t>
  </si>
  <si>
    <t>PS5-71-HZH-0059</t>
  </si>
  <si>
    <t>Position Switch Opened</t>
  </si>
  <si>
    <t>T-00067-2057</t>
  </si>
  <si>
    <t>PS5-71-FIT-0019</t>
  </si>
  <si>
    <t>DP Flow Ind Transmitter</t>
  </si>
  <si>
    <t>TZ-MID-68-WPR2-135008</t>
  </si>
  <si>
    <t>T-00067-2073</t>
  </si>
  <si>
    <t>PS5-71-LIT-1202</t>
  </si>
  <si>
    <t>DP Level Ind Transmitter</t>
  </si>
  <si>
    <t>TZ-MID-68-WPR2-135205</t>
  </si>
  <si>
    <t>T-00067-2093</t>
  </si>
  <si>
    <t>PS5-71-LIT-1201</t>
  </si>
  <si>
    <t>T-00067-2168</t>
  </si>
  <si>
    <t>PS5-71-HZL-0058</t>
  </si>
  <si>
    <t>T-00067-2169</t>
  </si>
  <si>
    <t>PS5-71-HZH-0058</t>
  </si>
  <si>
    <t>T-00067-2468</t>
  </si>
  <si>
    <t>PS5-71-IES-3500A</t>
  </si>
  <si>
    <t>LCS for Diesel Transfer Pump Motor A</t>
  </si>
  <si>
    <t>T-00067-2469</t>
  </si>
  <si>
    <t>PS5-71-IES-3500B</t>
  </si>
  <si>
    <t>LCS for Diesel Transfer Pump Motor B</t>
  </si>
  <si>
    <t>T-00069-12948</t>
  </si>
  <si>
    <t>PS5-60-BI-0001A-CC02</t>
  </si>
  <si>
    <t>CJX10 - Multi/Single-core instrument control cable</t>
  </si>
  <si>
    <t>Cable FROM PS5-60-IE-0001A TO PS5-60-BI-0001A</t>
  </si>
  <si>
    <t>Multi/Single-Core Instrument Control Cable</t>
  </si>
  <si>
    <t>TM-00069</t>
  </si>
  <si>
    <t>T-00069-12949</t>
  </si>
  <si>
    <t>PS5-60-BI-0001B-CC02</t>
  </si>
  <si>
    <t>Cable FROM PS5-60-IE-0001B TO PS5-60-BI-0001B</t>
  </si>
  <si>
    <t>T-00069-12950</t>
  </si>
  <si>
    <t>PS5-60-BI-0001C-CC02</t>
  </si>
  <si>
    <t>Cable FROM PS5-60-IE-0001C TO PS5-60-BI-0001C</t>
  </si>
  <si>
    <t>T-00069-12951</t>
  </si>
  <si>
    <t>PS5-60-BI-0001D-CC02</t>
  </si>
  <si>
    <t>Cable FROM PS5-60-IE-0001D TO PS5-60-BI-0001D</t>
  </si>
  <si>
    <t>T-00069-12955</t>
  </si>
  <si>
    <t>PS5-60-BI-0003-CC03</t>
  </si>
  <si>
    <t>Cable FROM PS5-60-IE-0004 TO PS5-60-BI-0003</t>
  </si>
  <si>
    <t>T-00069-12956</t>
  </si>
  <si>
    <t>PS5-60-IE-0002A-CC01</t>
  </si>
  <si>
    <t>Cable FROM PS5-60-IE-0001A TO PS5-60-IE-0002A</t>
  </si>
  <si>
    <t>T-00069-12957</t>
  </si>
  <si>
    <t>PS5-60-IE-0002A-CC02</t>
  </si>
  <si>
    <t>T-00069-12958</t>
  </si>
  <si>
    <t>PS5-60-IE-0002A-CC03</t>
  </si>
  <si>
    <t>T-00069-12959</t>
  </si>
  <si>
    <t>PS5-60-IE-0002B-CC01</t>
  </si>
  <si>
    <t>Cable FROM PS5-60-IE-0001B TO PS5-60-IE-0002B</t>
  </si>
  <si>
    <t>T-00069-12960</t>
  </si>
  <si>
    <t>PS5-60-IE-0002B-CC02</t>
  </si>
  <si>
    <t>T-00069-12961</t>
  </si>
  <si>
    <t>PS5-60-IE-0002B-CC03</t>
  </si>
  <si>
    <t>T-00069-12962</t>
  </si>
  <si>
    <t>PS5-60-IE-0002C-CC01</t>
  </si>
  <si>
    <t>Cable FROM PS5-60-IE-0001C TO PS5-60-IE-0002C</t>
  </si>
  <si>
    <t>T-00069-12963</t>
  </si>
  <si>
    <t>PS5-60-IE-0002C-CC02</t>
  </si>
  <si>
    <t>T-00069-12964</t>
  </si>
  <si>
    <t>PS5-60-IE-0002C-CC03</t>
  </si>
  <si>
    <t>T-00069-12965</t>
  </si>
  <si>
    <t>PS5-60-IE-0002D-CC01</t>
  </si>
  <si>
    <t>Cable FROM PS5-60-IE-0001D TO PS5-60-IE-0002D</t>
  </si>
  <si>
    <t>T-00069-12966</t>
  </si>
  <si>
    <t>PS5-60-IE-0002D-CC02</t>
  </si>
  <si>
    <t>T-00069-12967</t>
  </si>
  <si>
    <t>PS5-60-IE-0002D-CC03</t>
  </si>
  <si>
    <t>T-00069-12977</t>
  </si>
  <si>
    <t>PS5-60-IH-0001A-CC01</t>
  </si>
  <si>
    <t>Cable FROM PS5-60-IE-0003A TO PS5-60-IH-0001A</t>
  </si>
  <si>
    <t>T-00069-12978</t>
  </si>
  <si>
    <t>PS5-60-IH-0001A-CC02</t>
  </si>
  <si>
    <t>T-00069-12979</t>
  </si>
  <si>
    <t>PS5-60-IH-0001B-CC01</t>
  </si>
  <si>
    <t>Cable FROM PS5-60-IE-0003B TO PS5-60-IH-0001B</t>
  </si>
  <si>
    <t>T-00069-12980</t>
  </si>
  <si>
    <t>PS5-60-IH-0001B-CC02</t>
  </si>
  <si>
    <t>T-00069-12981</t>
  </si>
  <si>
    <t>PS5-60-IH-0001C-CC01</t>
  </si>
  <si>
    <t>Cable FROM PS5-60-IE-0003C TO PS5-60-IH-0001C</t>
  </si>
  <si>
    <t>T-00069-12982</t>
  </si>
  <si>
    <t>PS5-60-IH-0001C-CC02</t>
  </si>
  <si>
    <t>T-00069-12983</t>
  </si>
  <si>
    <t>PS5-60-IH-0001D-CC01</t>
  </si>
  <si>
    <t>Cable FROM PS5-60-IE-0003D TO PS5-60-IH-0001D</t>
  </si>
  <si>
    <t>T-00069-12984</t>
  </si>
  <si>
    <t>PS5-60-IH-0001D-CC02</t>
  </si>
  <si>
    <t>T-00069-12991</t>
  </si>
  <si>
    <t>PS5-60-IH-0002-CC01</t>
  </si>
  <si>
    <t>Cable FROM PS5-60-IE-0004 TO PS5-60-IH-0002</t>
  </si>
  <si>
    <t>T-00069-12992</t>
  </si>
  <si>
    <t>PS5-60-IH-0002-CC02</t>
  </si>
  <si>
    <t>T-00069-12993</t>
  </si>
  <si>
    <t>PS5-60-LA-0003-CC02</t>
  </si>
  <si>
    <t>Cable FROM PS5-60-IE-0004 TO PS5-60-LA-0003</t>
  </si>
  <si>
    <t>T-00069-12994</t>
  </si>
  <si>
    <t>PS5-60-LA-0003-CC03</t>
  </si>
  <si>
    <t>T-00069-12995</t>
  </si>
  <si>
    <t>PS5-60-PIT-8113A-CC01</t>
  </si>
  <si>
    <t>Cable FROM PS5-60-IE-0001A TO PS5-60-BE-0027A</t>
  </si>
  <si>
    <t>T-00069-12996</t>
  </si>
  <si>
    <t>PS5-60-PIT-8113B-CC01</t>
  </si>
  <si>
    <t>Cable FROM PS5-60-IE-0001B TO PS5-60-BE-0027B</t>
  </si>
  <si>
    <t>T-00069-12997</t>
  </si>
  <si>
    <t>PS5-60-PIT-8113C-CC01</t>
  </si>
  <si>
    <t>Cable FROM PS5-60-IE-0001C TO PS5-60-BE-0027C</t>
  </si>
  <si>
    <t>T-00069-12998</t>
  </si>
  <si>
    <t>PS5-60-PIT-8113D-CC01</t>
  </si>
  <si>
    <t>Cable FROM PS5-60-IE-0001D TO PS5-60-BE-0027D</t>
  </si>
  <si>
    <t>T-00069-13002</t>
  </si>
  <si>
    <t>PS5-60-PIT-8114A-CC01</t>
  </si>
  <si>
    <t>T-00069-13003</t>
  </si>
  <si>
    <t>PS5-60-PIT-8114B-CC01</t>
  </si>
  <si>
    <t>T-00069-13004</t>
  </si>
  <si>
    <t>PS5-60-PIT-8114C-CC01</t>
  </si>
  <si>
    <t>T-00069-13005</t>
  </si>
  <si>
    <t>PS5-60-PIT-8114D-CC01</t>
  </si>
  <si>
    <t>T-00069-13009</t>
  </si>
  <si>
    <t>PS5-71-IN-0004A-CC10</t>
  </si>
  <si>
    <t>Cable FROM PS5-60-IE-0004 TO PS5-71-IN-0004A</t>
  </si>
  <si>
    <t>T-00069-4487</t>
  </si>
  <si>
    <t>PS5-03-RDOS-1401-CJ01</t>
  </si>
  <si>
    <t>Cable FROM PS5-03-RMAC-1411 TO PS5-03-RDOS-1401</t>
  </si>
  <si>
    <t>0</t>
  </si>
  <si>
    <t>T-00069-4488</t>
  </si>
  <si>
    <t>PS5-03-RDOS-1402-CJ01</t>
  </si>
  <si>
    <t>Cable FROM PS5-03-RDOS-1401 TO PS5-03-RDOS-1402</t>
  </si>
  <si>
    <t>T-00069-4489</t>
  </si>
  <si>
    <t>PS5-03-RDOS-1403-CJ01</t>
  </si>
  <si>
    <t>Cable FROM PS5-03-RDOS-1402 TO PS5-03-RDOS-1403</t>
  </si>
  <si>
    <t>T-00069-4490</t>
  </si>
  <si>
    <t>PS5-03-RDOS-1404-CJ01</t>
  </si>
  <si>
    <t>Cable FROM PS5-03-RDOS-1403 TO PS5-03-RDOS-1404</t>
  </si>
  <si>
    <t>T-00069-4491</t>
  </si>
  <si>
    <t>PS5-03-RDOS-1405-CJ01</t>
  </si>
  <si>
    <t>Cable FROM PS5-03-RDOS-1404 TO PS5-03-RDOS-1405</t>
  </si>
  <si>
    <t>T-00069-4492</t>
  </si>
  <si>
    <t>PS5-03-RDOS-1406-CJ01</t>
  </si>
  <si>
    <t>Cable FROM PS5-03-RDOS-1503 TO PS5-03-RDOS-1406</t>
  </si>
  <si>
    <t>T-00069-4493</t>
  </si>
  <si>
    <t>PS5-03-RDOS-1407-CJ01</t>
  </si>
  <si>
    <t>Cable FROM PS5-03-RDOS-1405 TO PS5-03-RDOS-1407</t>
  </si>
  <si>
    <t>T-00069-4494</t>
  </si>
  <si>
    <t>PS5-03-RDOS-1408-CJ01</t>
  </si>
  <si>
    <t>Cable FROM PS5-03-RDOS-1407 TO PS5-03-RDOS-1408</t>
  </si>
  <si>
    <t>T-00069-4540</t>
  </si>
  <si>
    <t>PS5-03-RMAC-1410-CJ01</t>
  </si>
  <si>
    <t>Cable FROM PS5-03-RDOS-2103 TO PS5-03-RMAC-1410</t>
  </si>
  <si>
    <t>T-00069-4541</t>
  </si>
  <si>
    <t>PS5-03-RMAC-1411-CJ01</t>
  </si>
  <si>
    <t>Cable FROM PS5-03-RDOS-1406 TO PS5-03-RMAC-1411</t>
  </si>
  <si>
    <t>T-00069-4888</t>
  </si>
  <si>
    <t>PS5-60-BE-0001-CC01</t>
  </si>
  <si>
    <t>Cable FROM PS5-60-IE-0004 TO PS5-60-BE-0001</t>
  </si>
  <si>
    <t>T-00069-4889</t>
  </si>
  <si>
    <t>PS5-60-BE-0002-CC01</t>
  </si>
  <si>
    <t>Cable FROM PS5-60-IE-0004 TO PS5-60-BE-0002</t>
  </si>
  <si>
    <t>T-00069-4890</t>
  </si>
  <si>
    <t>PS5-60-BE-0004A-CC01</t>
  </si>
  <si>
    <t>Cable FROM PS5-60-IN-0001A TO PS5-60-BE-0004A</t>
  </si>
  <si>
    <t>T-00069-4891</t>
  </si>
  <si>
    <t>PS5-60-BE-0004B-CC01</t>
  </si>
  <si>
    <t>Cable FROM PS5-60-IN-0001B TO PS5-60-BE-0004B</t>
  </si>
  <si>
    <t>T-00069-4892</t>
  </si>
  <si>
    <t>PS5-60-BE-0004C-CC01</t>
  </si>
  <si>
    <t>Cable FROM PS5-60-IN-0001C TO PS5-60-BE-0004C</t>
  </si>
  <si>
    <t>T-00069-4893</t>
  </si>
  <si>
    <t>PS5-60-BE-0004D-CC01</t>
  </si>
  <si>
    <t>Cable FROM PS5-60-IN-0001D TO PS5-60-BE-0004D</t>
  </si>
  <si>
    <t>T-00069-4897</t>
  </si>
  <si>
    <t>PS5-60-BI-0001A-CC01</t>
  </si>
  <si>
    <t>Cable FROM PS5-60-IE-0003A TO PS5-60-BI-0001A</t>
  </si>
  <si>
    <t>T-00069-4898</t>
  </si>
  <si>
    <t>PS5-60-BI-0001A-CC03</t>
  </si>
  <si>
    <t>T-00069-4899</t>
  </si>
  <si>
    <t>PS5-60-BI-0001B-CC01</t>
  </si>
  <si>
    <t>Cable FROM PS5-60-IE-0003B TO PS5-60-BI-0001B</t>
  </si>
  <si>
    <t>T-00069-4900</t>
  </si>
  <si>
    <t>PS5-60-BI-0001B-CC03</t>
  </si>
  <si>
    <t>T-00069-4901</t>
  </si>
  <si>
    <t>PS5-60-BI-0001C-CC01</t>
  </si>
  <si>
    <t>Cable FROM PS5-60-IE-0003C TO PS5-60-BI-0001C</t>
  </si>
  <si>
    <t>T-00069-4902</t>
  </si>
  <si>
    <t>PS5-60-BI-0001C-CC03</t>
  </si>
  <si>
    <t>T-00069-4903</t>
  </si>
  <si>
    <t>PS5-60-BI-0001D-CC01</t>
  </si>
  <si>
    <t>Cable FROM PS5-60-IE-0003D TO PS5-60-BI-0001D</t>
  </si>
  <si>
    <t>T-00069-4904</t>
  </si>
  <si>
    <t>PS5-60-BI-0001D-CC03</t>
  </si>
  <si>
    <t>T-00069-4911</t>
  </si>
  <si>
    <t>PS5-60-BI-0002-CC01</t>
  </si>
  <si>
    <t>Cable FROM PS5-60-IE-0004 TO PS5-60-BI-0002</t>
  </si>
  <si>
    <t>T-00069-4912</t>
  </si>
  <si>
    <t>PS5-60-BI-0002-CC02</t>
  </si>
  <si>
    <t>T-00069-4913</t>
  </si>
  <si>
    <t>PS5-60-BI-0002-CC03</t>
  </si>
  <si>
    <t>T-00069-4914</t>
  </si>
  <si>
    <t>PS5-60-BI-0002-CC04</t>
  </si>
  <si>
    <t>T-00069-4915</t>
  </si>
  <si>
    <t>PS5-60-BI-0003-CC01</t>
  </si>
  <si>
    <t>T-00069-4916</t>
  </si>
  <si>
    <t>PS5-60-BI-0003-CC02</t>
  </si>
  <si>
    <t>T-00069-4917</t>
  </si>
  <si>
    <t>PS5-60-BI-0004A-CCO1</t>
  </si>
  <si>
    <t>Cable FROM PS5-60-IE-0001A TO PS5-60-BI-0004A</t>
  </si>
  <si>
    <t>T-00069-4918</t>
  </si>
  <si>
    <t>PS5-60-BI-0004B-CCO1</t>
  </si>
  <si>
    <t>Cable FROM PS5-60-IE-0001B TO PS5-60-BI-0004B</t>
  </si>
  <si>
    <t>T-00069-4919</t>
  </si>
  <si>
    <t>PS5-60-BI-0004C-CCO1</t>
  </si>
  <si>
    <t>Cable FROM PS5-60-IE-0001C TO PS5-60-BI-0004C</t>
  </si>
  <si>
    <t>T-00069-4920</t>
  </si>
  <si>
    <t>PS5-60-BI-0004D-CCO1</t>
  </si>
  <si>
    <t>Cable FROM PS5-60-IE-0001D TO PS5-60-BI-0004D</t>
  </si>
  <si>
    <t>T-00069-4924</t>
  </si>
  <si>
    <t>PS5-60-BI-0005A-CC01</t>
  </si>
  <si>
    <t>Cable FROM PS5-60-IE-0003A TO PS5-60-BI-0005A</t>
  </si>
  <si>
    <t>T-00069-4925</t>
  </si>
  <si>
    <t>PS5-60-BI-0005A-CC02</t>
  </si>
  <si>
    <t>T-00069-4926</t>
  </si>
  <si>
    <t>PS5-60-BI-0005B-CC01</t>
  </si>
  <si>
    <t>Cable FROM PS5-60-IE-0003B TO PS5-60-BI-0005B</t>
  </si>
  <si>
    <t>T-00069-4927</t>
  </si>
  <si>
    <t>PS5-60-BI-0005B-CC02</t>
  </si>
  <si>
    <t>T-00069-4928</t>
  </si>
  <si>
    <t>PS5-60-BI-0005C-CC01</t>
  </si>
  <si>
    <t>Cable FROM PS5-60-IE-0003C TO PS5-60-BI-0005C</t>
  </si>
  <si>
    <t>T-00069-4929</t>
  </si>
  <si>
    <t>PS5-60-BI-0005C-CC02</t>
  </si>
  <si>
    <t>T-00069-4930</t>
  </si>
  <si>
    <t>PS5-60-BI-0005D-CC01</t>
  </si>
  <si>
    <t>Cable FROM PS5-60-IE-0003D TO PS5-60-BI-0005D</t>
  </si>
  <si>
    <t>T-00069-4931</t>
  </si>
  <si>
    <t>PS5-60-BI-0005D-CC02</t>
  </si>
  <si>
    <t>T-00069-4938</t>
  </si>
  <si>
    <t>PS5-60-BI-0006A-CC01</t>
  </si>
  <si>
    <t>Cable FROM PS5-60-IE-0003A TO PS5-60-BI-0006A</t>
  </si>
  <si>
    <t>T-00069-4939</t>
  </si>
  <si>
    <t>PS5-60-BI-0006A-CC02</t>
  </si>
  <si>
    <t>T-00069-4940</t>
  </si>
  <si>
    <t>PS5-60-BI-0006A-CC03</t>
  </si>
  <si>
    <t>T-00069-4941</t>
  </si>
  <si>
    <t>PS5-60-BI-0006A-CC04</t>
  </si>
  <si>
    <t>T-00069-4942</t>
  </si>
  <si>
    <t>PS5-60-BI-0006A-CC05</t>
  </si>
  <si>
    <t>T-00069-4943</t>
  </si>
  <si>
    <t>PS5-60-BI-0006A-CC06</t>
  </si>
  <si>
    <t>T-00069-4944</t>
  </si>
  <si>
    <t>PS5-60-BI-0006B-CC01</t>
  </si>
  <si>
    <t>Cable FROM PS5-60-IE-0003B TO PS5-60-BI-0006B</t>
  </si>
  <si>
    <t>T-00069-4945</t>
  </si>
  <si>
    <t>PS5-60-BI-0006B-CC02</t>
  </si>
  <si>
    <t>T-00069-4946</t>
  </si>
  <si>
    <t>PS5-60-BI-0006B-CC03</t>
  </si>
  <si>
    <t>T-00069-4947</t>
  </si>
  <si>
    <t>PS5-60-BI-0006B-CC04</t>
  </si>
  <si>
    <t>T-00069-4948</t>
  </si>
  <si>
    <t>PS5-60-BI-0006B-CC05</t>
  </si>
  <si>
    <t>T-00069-4949</t>
  </si>
  <si>
    <t>PS5-60-BI-0006B-CC06</t>
  </si>
  <si>
    <t>T-00069-4950</t>
  </si>
  <si>
    <t>PS5-60-BI-0006C-CC01</t>
  </si>
  <si>
    <t>Cable FROM PS5-60-IE-0003C TO PS5-60-BI-0006C</t>
  </si>
  <si>
    <t>T-00069-4951</t>
  </si>
  <si>
    <t>PS5-60-BI-0006C-CC02</t>
  </si>
  <si>
    <t>T-00069-4952</t>
  </si>
  <si>
    <t>PS5-60-BI-0006C-CC03</t>
  </si>
  <si>
    <t>T-00069-4953</t>
  </si>
  <si>
    <t>PS5-60-BI-0006C-CC04</t>
  </si>
  <si>
    <t>T-00069-4954</t>
  </si>
  <si>
    <t>PS5-60-BI-0006C-CC05</t>
  </si>
  <si>
    <t>T-00069-4955</t>
  </si>
  <si>
    <t>PS5-60-BI-0006C-CC06</t>
  </si>
  <si>
    <t>T-00069-4956</t>
  </si>
  <si>
    <t>PS5-60-BI-0006D-CC01</t>
  </si>
  <si>
    <t>Cable FROM PS5-60-IE-0003D TO PS5-60-BI-0006D</t>
  </si>
  <si>
    <t>T-00069-4957</t>
  </si>
  <si>
    <t>PS5-60-BI-0006D-CC02</t>
  </si>
  <si>
    <t>T-00069-4958</t>
  </si>
  <si>
    <t>PS5-60-BI-0006D-CC03</t>
  </si>
  <si>
    <t>T-00069-4959</t>
  </si>
  <si>
    <t>PS5-60-BI-0006D-CC04</t>
  </si>
  <si>
    <t>T-00069-4960</t>
  </si>
  <si>
    <t>PS5-60-BI-0006D-CC05</t>
  </si>
  <si>
    <t>T-00069-4961</t>
  </si>
  <si>
    <t>PS5-60-BI-0006D-CC06</t>
  </si>
  <si>
    <t>T-00069-4980</t>
  </si>
  <si>
    <t>PS5-60-BI-0008A-CC01</t>
  </si>
  <si>
    <t>Cable FROM PS5-60-IE-0003A TO PS5-60-BI-0008A</t>
  </si>
  <si>
    <t>T-00069-4981</t>
  </si>
  <si>
    <t>PS5-60-BI-0008A-CC02</t>
  </si>
  <si>
    <t>Cable FROM PS5-60-IH-0001A TO PS5-60-BI-0008A</t>
  </si>
  <si>
    <t>T-00069-4982</t>
  </si>
  <si>
    <t>PS5-60-BI-0008B-CC01</t>
  </si>
  <si>
    <t>Cable FROM PS5-60-IE-0003A TO PS5-60-BI-0008B</t>
  </si>
  <si>
    <t>T-00069-4983</t>
  </si>
  <si>
    <t>PS5-60-BI-0008B-CC02</t>
  </si>
  <si>
    <t>Cable FROM PS5-60-IH-0001A TO PS5-60-BI-0008B</t>
  </si>
  <si>
    <t>T-00069-4984</t>
  </si>
  <si>
    <t>PS5-60-BI-0009A-CC01</t>
  </si>
  <si>
    <t>Cable FROM PS5-60-IE-0003B TO PS5-60-BI-0009A</t>
  </si>
  <si>
    <t>T-00069-4985</t>
  </si>
  <si>
    <t>PS5-60-BI-0009A-CC02</t>
  </si>
  <si>
    <t>Cable FROM PS5-60-IH-0001B TO PS5-60-BI-0009A</t>
  </si>
  <si>
    <t>T-00069-4986</t>
  </si>
  <si>
    <t>PS5-60-BI-0009B-CC01</t>
  </si>
  <si>
    <t>Cable FROM PS5-60-IE-0003B TO PS5-60-BI-0009B</t>
  </si>
  <si>
    <t>T-00069-4987</t>
  </si>
  <si>
    <t>PS5-60-BI-0009B-CC02</t>
  </si>
  <si>
    <t>Cable FROM PS5-60-IH-0001B TO PS5-60-BI-0009B</t>
  </si>
  <si>
    <t>T-00069-4988</t>
  </si>
  <si>
    <t>PS5-60-BI-0010A-CC01</t>
  </si>
  <si>
    <t>Cable FROM PS5-60-IE-0003C TO PS5-60-BI-0010A</t>
  </si>
  <si>
    <t>T-00069-4989</t>
  </si>
  <si>
    <t>PS5-60-BI-0010A-CC02</t>
  </si>
  <si>
    <t>Cable FROM PS5-60-IH-0001C TO PS5-60-BI-0010A</t>
  </si>
  <si>
    <t>T-00069-4990</t>
  </si>
  <si>
    <t>PS5-60-BI-0010B-CC01</t>
  </si>
  <si>
    <t>Cable FROM PS5-60-IE-0003C TO PS5-60-BI-0010B</t>
  </si>
  <si>
    <t>T-00069-4991</t>
  </si>
  <si>
    <t>PS5-60-BI-0010B-CC02</t>
  </si>
  <si>
    <t>Cable FROM PS5-60-IH-0001C TO PS5-60-BI-0010B</t>
  </si>
  <si>
    <t>T-00069-4992</t>
  </si>
  <si>
    <t>PS5-60-BI-0011A-CC01</t>
  </si>
  <si>
    <t>Cable FROM PS5-60-IE-0003D TO PS5-60-BI-0011A</t>
  </si>
  <si>
    <t>T-00069-4993</t>
  </si>
  <si>
    <t>PS5-60-BI-0011A-CC02</t>
  </si>
  <si>
    <t>Cable FROM PS5-60-IH-0001D TO PS5-60-BI-0011A</t>
  </si>
  <si>
    <t>T-00069-4994</t>
  </si>
  <si>
    <t>PS5-60-BI-0011B-CC01</t>
  </si>
  <si>
    <t>Cable FROM PS5-60-IE-0003D TO PS5-60-BI-0011B</t>
  </si>
  <si>
    <t>T-00069-4995</t>
  </si>
  <si>
    <t>PS5-60-BI-0011B-CC02</t>
  </si>
  <si>
    <t>Cable FROM PS5-60-IH-0001D TO PS5-60-BI-0011B</t>
  </si>
  <si>
    <t>T-00069-5008</t>
  </si>
  <si>
    <t>PS5-60-BI-0016A-CC01</t>
  </si>
  <si>
    <t>Cable FROM PS5-60-IE-0003A TO PS5-60-BI-0016A</t>
  </si>
  <si>
    <t>T-00069-5009</t>
  </si>
  <si>
    <t>PS5-60-BI-0016A-CC02</t>
  </si>
  <si>
    <t>T-00069-5010</t>
  </si>
  <si>
    <t>PS5-60-BI-0016A-CC03</t>
  </si>
  <si>
    <t>T-00069-5011</t>
  </si>
  <si>
    <t>PS5-60-BI-0016A-CCO4</t>
  </si>
  <si>
    <t>Cable FROM PS5-60-IE-0001A TO PS5-60-BI-0016A</t>
  </si>
  <si>
    <t>T-00069-5012</t>
  </si>
  <si>
    <t>PS5-60-BI-0016B-CC01</t>
  </si>
  <si>
    <t>Cable FROM PS5-60-IE-0003B TO PS5-60-BI-0016B</t>
  </si>
  <si>
    <t>T-00069-5013</t>
  </si>
  <si>
    <t>PS5-60-BI-0016B-CC02</t>
  </si>
  <si>
    <t>T-00069-5014</t>
  </si>
  <si>
    <t>PS5-60-BI-0016B-CC03</t>
  </si>
  <si>
    <t>T-00069-5015</t>
  </si>
  <si>
    <t>PS5-60-BI-0016B-CCO4</t>
  </si>
  <si>
    <t>Cable FROM PS5-60-IE-0001B TO PS5-60-BI-0016B</t>
  </si>
  <si>
    <t>T-00069-5016</t>
  </si>
  <si>
    <t>PS5-60-BI-0016C-CC01</t>
  </si>
  <si>
    <t>Cable FROM PS5-60-IE-0003C TO PS5-60-BI-0016C</t>
  </si>
  <si>
    <t>T-00069-5017</t>
  </si>
  <si>
    <t>PS5-60-BI-0016C-CC02</t>
  </si>
  <si>
    <t>T-00069-5018</t>
  </si>
  <si>
    <t>PS5-60-BI-0016C-CC03</t>
  </si>
  <si>
    <t>T-00069-5019</t>
  </si>
  <si>
    <t>PS5-60-BI-0016C-CCO4</t>
  </si>
  <si>
    <t>Cable FROM PS5-60-IE-0001C TO PS5-60-BI-0016C</t>
  </si>
  <si>
    <t>T-00069-5020</t>
  </si>
  <si>
    <t>PS5-60-BI-0016D-CC01</t>
  </si>
  <si>
    <t>Cable FROM PS5-60-IE-0003D TO PS5-60-BI-0016D</t>
  </si>
  <si>
    <t>T-00069-5021</t>
  </si>
  <si>
    <t>PS5-60-BI-0016D-CC02</t>
  </si>
  <si>
    <t>T-00069-5022</t>
  </si>
  <si>
    <t>PS5-60-BI-0016D-CC03</t>
  </si>
  <si>
    <t>T-00069-5023</t>
  </si>
  <si>
    <t>PS5-60-BI-0016D-CCO4</t>
  </si>
  <si>
    <t>Cable FROM PS5-60-IE-0001D TO PS5-60-BI-0016D</t>
  </si>
  <si>
    <t>T-00069-5036</t>
  </si>
  <si>
    <t>PS5-60-BI-0017A-CC02</t>
  </si>
  <si>
    <t>T-00069-5037</t>
  </si>
  <si>
    <t>PS5-60-BI-0017B-CC02</t>
  </si>
  <si>
    <t>T-00069-5038</t>
  </si>
  <si>
    <t>PS5-60-BI-0017C-CC02</t>
  </si>
  <si>
    <t>T-00069-5039</t>
  </si>
  <si>
    <t>PS5-60-BI-0017D-CC02</t>
  </si>
  <si>
    <t>T-00069-5043</t>
  </si>
  <si>
    <t>PS5-60-BI-0019A-CC01</t>
  </si>
  <si>
    <t>Cable FROM PS5-60-IE-0003A TO PS5-60-BI-0019A</t>
  </si>
  <si>
    <t>T-00069-5044</t>
  </si>
  <si>
    <t>PS5-60-BI-0019A-CC02</t>
  </si>
  <si>
    <t>T-00069-5045</t>
  </si>
  <si>
    <t>PS5-60-BI-0019B-CC01</t>
  </si>
  <si>
    <t>Cable FROM PS5-60-IE-0003B TO PS5-60-BI-0019B</t>
  </si>
  <si>
    <t>T-00069-5046</t>
  </si>
  <si>
    <t>PS5-60-BI-0019B-CC02</t>
  </si>
  <si>
    <t>T-00069-5047</t>
  </si>
  <si>
    <t>PS5-60-BI-0019C-CC01</t>
  </si>
  <si>
    <t>Cable FROM PS5-60-IE-0003C TO PS5-60-BI-0019C</t>
  </si>
  <si>
    <t>T-00069-5048</t>
  </si>
  <si>
    <t>PS5-60-BI-0019C-CC02</t>
  </si>
  <si>
    <t>T-00069-5049</t>
  </si>
  <si>
    <t>PS5-60-BI-0019D-CC01</t>
  </si>
  <si>
    <t>Cable FROM PS5-60-IE-0003D TO PS5-60-BI-0019D</t>
  </si>
  <si>
    <t>T-00069-5050</t>
  </si>
  <si>
    <t>PS5-60-BI-0019D-CC02</t>
  </si>
  <si>
    <t>T-00069-5057</t>
  </si>
  <si>
    <t>PS5-60-IE-0002B-CC05</t>
  </si>
  <si>
    <t>Cable FROM PS5-60-IE-0002A TO PS5-60-IE-0002B</t>
  </si>
  <si>
    <t>T-00069-5058</t>
  </si>
  <si>
    <t>PS5-60-IE-0002C-CC05</t>
  </si>
  <si>
    <t>Cable FROM PS5-60-IE-0002B TO PS5-60-IE-0002C</t>
  </si>
  <si>
    <t>T-00069-5059</t>
  </si>
  <si>
    <t>PS5-60-IE-0002D-CC05</t>
  </si>
  <si>
    <t>Cable FROM PS5-60-IE-0002C TO PS5-60-IE-0002D</t>
  </si>
  <si>
    <t>T-00069-5063</t>
  </si>
  <si>
    <t>PS5-60-IE-0003A-CC01</t>
  </si>
  <si>
    <t>Cable FROM PS5-60-IE-0001A TO PS5-60-IE-0003A</t>
  </si>
  <si>
    <t>T-00069-5064</t>
  </si>
  <si>
    <t>PS5-60-IE-0003A-CC02</t>
  </si>
  <si>
    <t>T-00069-5065</t>
  </si>
  <si>
    <t>PS5-60-IE-0003A-CC03</t>
  </si>
  <si>
    <t>T-00069-5066</t>
  </si>
  <si>
    <t>PS5-60-IE-0003A-CC04</t>
  </si>
  <si>
    <t>T-00069-5067</t>
  </si>
  <si>
    <t>PS5-60-IE-0003A-CC05</t>
  </si>
  <si>
    <t>T-00069-5068</t>
  </si>
  <si>
    <t>PS5-60-IE-0003A-CC06</t>
  </si>
  <si>
    <t>T-00069-5069</t>
  </si>
  <si>
    <t>PS5-60-IE-0003A-CC07</t>
  </si>
  <si>
    <t>T-00069-5070</t>
  </si>
  <si>
    <t>PS5-60-IE-0003A-CC08</t>
  </si>
  <si>
    <t>T-00069-5071</t>
  </si>
  <si>
    <t>PS5-60-IE-0003A-CC09</t>
  </si>
  <si>
    <t>T-00069-5072</t>
  </si>
  <si>
    <t>PS5-60-IE-0003A-CC10</t>
  </si>
  <si>
    <t>T-00069-5073</t>
  </si>
  <si>
    <t>PS5-60-IE-0003A-CC11</t>
  </si>
  <si>
    <t>T-00069-5074</t>
  </si>
  <si>
    <t>PS5-60-IE-0003A-CC15</t>
  </si>
  <si>
    <t>T-00069-5075</t>
  </si>
  <si>
    <t>PS5-60-IE-0003A-CC16</t>
  </si>
  <si>
    <t>T-00069-5076</t>
  </si>
  <si>
    <t>PS5-60-IE-0003A-CC17</t>
  </si>
  <si>
    <t>T-00069-5081</t>
  </si>
  <si>
    <t>PS5-60-IE-0003A-CC25</t>
  </si>
  <si>
    <t>Cable FROM PS5-60-TX-41100A TO PS5-60-IE-0003A</t>
  </si>
  <si>
    <t>T-00069-5082</t>
  </si>
  <si>
    <t>PS5-60-IE-0003A-CC26</t>
  </si>
  <si>
    <t>Cable FROM PS5-60-TX-41100B TO PS5-60-IE-0003A</t>
  </si>
  <si>
    <t>T-00069-5083</t>
  </si>
  <si>
    <t>PS5-60-IE-0003B-CC01</t>
  </si>
  <si>
    <t>Cable FROM PS5-60-IE-0001B TO PS5-60-IE-0003B</t>
  </si>
  <si>
    <t>T-00069-5084</t>
  </si>
  <si>
    <t>PS5-60-IE-0003B-CC02</t>
  </si>
  <si>
    <t>T-00069-5085</t>
  </si>
  <si>
    <t>PS5-60-IE-0003B-CC03</t>
  </si>
  <si>
    <t>T-00069-5086</t>
  </si>
  <si>
    <t>PS5-60-IE-0003B-CC04</t>
  </si>
  <si>
    <t>T-00069-5087</t>
  </si>
  <si>
    <t>PS5-60-IE-0003B-CC05</t>
  </si>
  <si>
    <t>T-00069-5088</t>
  </si>
  <si>
    <t>PS5-60-IE-0003B-CC06</t>
  </si>
  <si>
    <t>T-00069-5089</t>
  </si>
  <si>
    <t>PS5-60-IE-0003B-CC07</t>
  </si>
  <si>
    <t>T-00069-5090</t>
  </si>
  <si>
    <t>PS5-60-IE-0003B-CC08</t>
  </si>
  <si>
    <t>T-00069-5091</t>
  </si>
  <si>
    <t>PS5-60-IE-0003B-CC09</t>
  </si>
  <si>
    <t>T-00069-5092</t>
  </si>
  <si>
    <t>PS5-60-IE-0003B-CC10</t>
  </si>
  <si>
    <t>T-00069-5093</t>
  </si>
  <si>
    <t>PS5-60-IE-0003B-CC11</t>
  </si>
  <si>
    <t>T-00069-5094</t>
  </si>
  <si>
    <t>PS5-60-IE-0003B-CC15</t>
  </si>
  <si>
    <t>T-00069-5095</t>
  </si>
  <si>
    <t>PS5-60-IE-0003B-CC16</t>
  </si>
  <si>
    <t>T-00069-5096</t>
  </si>
  <si>
    <t>PS5-60-IE-0003B-CC17</t>
  </si>
  <si>
    <t>T-00069-5101</t>
  </si>
  <si>
    <t>PS5-60-IE-0003B-CC25</t>
  </si>
  <si>
    <t>Cable FROM PS5-60-TX-41200A TO PS5-60-IE-0003B</t>
  </si>
  <si>
    <t>T-00069-5102</t>
  </si>
  <si>
    <t>PS5-60-IE-0003B-CC26</t>
  </si>
  <si>
    <t>Cable FROM PS5-60-TX-41200B TO PS5-60-IE-0003B</t>
  </si>
  <si>
    <t>T-00069-5103</t>
  </si>
  <si>
    <t>PS5-60-IE-0003C-CC01</t>
  </si>
  <si>
    <t>Cable FROM PS5-60-IE-0001C TO PS5-60-IE-0003C</t>
  </si>
  <si>
    <t>T-00069-5104</t>
  </si>
  <si>
    <t>PS5-60-IE-0003C-CC02</t>
  </si>
  <si>
    <t>T-00069-5105</t>
  </si>
  <si>
    <t>PS5-60-IE-0003C-CC03</t>
  </si>
  <si>
    <t>T-00069-5106</t>
  </si>
  <si>
    <t>PS5-60-IE-0003C-CC04</t>
  </si>
  <si>
    <t>T-00069-5107</t>
  </si>
  <si>
    <t>PS5-60-IE-0003C-CC05</t>
  </si>
  <si>
    <t>T-00069-5108</t>
  </si>
  <si>
    <t>PS5-60-IE-0003C-CC06</t>
  </si>
  <si>
    <t>T-00069-5109</t>
  </si>
  <si>
    <t>PS5-60-IE-0003C-CC07</t>
  </si>
  <si>
    <t>T-00069-5110</t>
  </si>
  <si>
    <t>PS5-60-IE-0003C-CC08</t>
  </si>
  <si>
    <t>T-00069-5111</t>
  </si>
  <si>
    <t>PS5-60-IE-0003C-CC09</t>
  </si>
  <si>
    <t>T-00069-5112</t>
  </si>
  <si>
    <t>PS5-60-IE-0003C-CC10</t>
  </si>
  <si>
    <t>T-00069-5113</t>
  </si>
  <si>
    <t>PS5-60-IE-0003C-CC11</t>
  </si>
  <si>
    <t>T-00069-5114</t>
  </si>
  <si>
    <t>PS5-60-IE-0003C-CC15</t>
  </si>
  <si>
    <t>T-00069-5115</t>
  </si>
  <si>
    <t>PS5-60-IE-0003C-CC16</t>
  </si>
  <si>
    <t>T-00069-5116</t>
  </si>
  <si>
    <t>PS5-60-IE-0003C-CC17</t>
  </si>
  <si>
    <t>T-00069-5121</t>
  </si>
  <si>
    <t>PS5-60-IE-0003C-CC25</t>
  </si>
  <si>
    <t>Cable FROM PS5-60-TX-41300A TO PS5-60-IE-0003C</t>
  </si>
  <si>
    <t>T-00069-5122</t>
  </si>
  <si>
    <t>PS5-60-IE-0003C-CC26</t>
  </si>
  <si>
    <t>Cable FROM PS5-60-TX-41300B TO PS5-60-IE-0003C</t>
  </si>
  <si>
    <t>T-00069-5123</t>
  </si>
  <si>
    <t>PS5-60-IE-0003D-CC01</t>
  </si>
  <si>
    <t>Cable FROM PS5-60-IE-0001D TO PS5-60-IE-0003D</t>
  </si>
  <si>
    <t>T-00069-5124</t>
  </si>
  <si>
    <t>PS5-60-IE-0003D-CC02</t>
  </si>
  <si>
    <t>T-00069-5125</t>
  </si>
  <si>
    <t>PS5-60-IE-0003D-CC03</t>
  </si>
  <si>
    <t>T-00069-5126</t>
  </si>
  <si>
    <t>PS5-60-IE-0003D-CC04</t>
  </si>
  <si>
    <t>T-00069-5127</t>
  </si>
  <si>
    <t>PS5-60-IE-0003D-CC05</t>
  </si>
  <si>
    <t>T-00069-5128</t>
  </si>
  <si>
    <t>PS5-60-IE-0003D-CC06</t>
  </si>
  <si>
    <t>T-00069-5129</t>
  </si>
  <si>
    <t>PS5-60-IE-0003D-CC07</t>
  </si>
  <si>
    <t>T-00069-5130</t>
  </si>
  <si>
    <t>PS5-60-IE-0003D-CC08</t>
  </si>
  <si>
    <t>T-00069-5131</t>
  </si>
  <si>
    <t>PS5-60-IE-0003D-CC09</t>
  </si>
  <si>
    <t>T-00069-5132</t>
  </si>
  <si>
    <t>PS5-60-IE-0003D-CC10</t>
  </si>
  <si>
    <t>T-00069-5133</t>
  </si>
  <si>
    <t>PS5-60-IE-0003D-CC11</t>
  </si>
  <si>
    <t>T-00069-5134</t>
  </si>
  <si>
    <t>PS5-60-IE-0003D-CC15</t>
  </si>
  <si>
    <t>T-00069-5135</t>
  </si>
  <si>
    <t>PS5-60-IE-0003D-CC16</t>
  </si>
  <si>
    <t>T-00069-5136</t>
  </si>
  <si>
    <t>PS5-60-IE-0003D-CC17</t>
  </si>
  <si>
    <t>T-00069-5141</t>
  </si>
  <si>
    <t>PS5-60-IE-0003D-CC25</t>
  </si>
  <si>
    <t>Cable FROM PS5-60-TX-41400A TO PS5-60-IE-0003D</t>
  </si>
  <si>
    <t>T-00069-5142</t>
  </si>
  <si>
    <t>PS5-60-IE-0003D-CC26</t>
  </si>
  <si>
    <t>Cable FROM PS5-60-TX-41400B TO PS5-60-IE-0003D</t>
  </si>
  <si>
    <t>T-00069-5203</t>
  </si>
  <si>
    <t>PS5-60-IE-0004-CC01</t>
  </si>
  <si>
    <t>Cable FROM PS5-60-IE-0003A TO PS5-60-IE-0004</t>
  </si>
  <si>
    <t>T-00069-5204</t>
  </si>
  <si>
    <t>PS5-60-IE-0004-CC02</t>
  </si>
  <si>
    <t>Cable FROM PS5-60-IE-0003B TO PS5-60-IE-0004</t>
  </si>
  <si>
    <t>T-00069-5205</t>
  </si>
  <si>
    <t>PS5-60-IE-0004-CC03</t>
  </si>
  <si>
    <t>Cable FROM PS5-60-IE-0003C TO PS5-60-IE-0004</t>
  </si>
  <si>
    <t>T-00069-5206</t>
  </si>
  <si>
    <t>PS5-60-IE-0004-CC04</t>
  </si>
  <si>
    <t>Cable FROM PS5-60-IE-0003D TO PS5-60-IE-0004</t>
  </si>
  <si>
    <t>T-00069-5207</t>
  </si>
  <si>
    <t>PS5-60-IE-0004-CC05</t>
  </si>
  <si>
    <t>Cable FROM PS5-60-IE-0003E TO PS5-60-IE-0004</t>
  </si>
  <si>
    <t>T-00069-5208</t>
  </si>
  <si>
    <t>PS5-60-IE-0004-CC06</t>
  </si>
  <si>
    <t>Cable FROM PS5-60-IE-0003F TO PS5-60-IE-0004</t>
  </si>
  <si>
    <t>T-00069-5209</t>
  </si>
  <si>
    <t>PS5-60-IE-0004-CC07</t>
  </si>
  <si>
    <t>Cable FROM PS5-60-IE-0003G TO PS5-60-IE-0004</t>
  </si>
  <si>
    <t>T-00069-5213</t>
  </si>
  <si>
    <t>PS5-60-IN-0001A-CC01</t>
  </si>
  <si>
    <t>Cable FROM PS5-60-IE-0003A TO PS5-60-IN-0001A</t>
  </si>
  <si>
    <t>T-00069-5214</t>
  </si>
  <si>
    <t>PS5-60-IN-0001A-CC02</t>
  </si>
  <si>
    <t>T-00069-5215</t>
  </si>
  <si>
    <t>PS5-60-IN-0001A-CC03</t>
  </si>
  <si>
    <t>T-00069-5216</t>
  </si>
  <si>
    <t>PS5-60-IN-0001A-CC04</t>
  </si>
  <si>
    <t>T-00069-5217</t>
  </si>
  <si>
    <t>PS5-60-IN-0001B-CC01</t>
  </si>
  <si>
    <t>Cable FROM PS5-60-IE-0003B TO PS5-60-IN-0001B</t>
  </si>
  <si>
    <t>T-00069-5218</t>
  </si>
  <si>
    <t>PS5-60-IN-0001B-CC02</t>
  </si>
  <si>
    <t>T-00069-5219</t>
  </si>
  <si>
    <t>PS5-60-IN-0001B-CC03</t>
  </si>
  <si>
    <t>T-00069-5220</t>
  </si>
  <si>
    <t>PS5-60-IN-0001B-CC04</t>
  </si>
  <si>
    <t>T-00069-5221</t>
  </si>
  <si>
    <t>PS5-60-IN-0001C-CC01</t>
  </si>
  <si>
    <t>Cable FROM PS5-60-IE-0003C TO PS5-60-IN-0001C</t>
  </si>
  <si>
    <t>T-00069-5222</t>
  </si>
  <si>
    <t>PS5-60-IN-0001C-CC02</t>
  </si>
  <si>
    <t>T-00069-5223</t>
  </si>
  <si>
    <t>PS5-60-IN-0001C-CC03</t>
  </si>
  <si>
    <t>T-00069-5224</t>
  </si>
  <si>
    <t>PS5-60-IN-0001C-CC04</t>
  </si>
  <si>
    <t>T-00069-5225</t>
  </si>
  <si>
    <t>PS5-60-IN-0001D-CC01</t>
  </si>
  <si>
    <t>Cable FROM PS5-60-IE-0003D TO PS5-60-IN-0001D</t>
  </si>
  <si>
    <t>T-00069-5226</t>
  </si>
  <si>
    <t>PS5-60-IN-0001D-CC02</t>
  </si>
  <si>
    <t>T-00069-5227</t>
  </si>
  <si>
    <t>PS5-60-IN-0001D-CC03</t>
  </si>
  <si>
    <t>T-00069-5228</t>
  </si>
  <si>
    <t>PS5-60-IN-0001D-CC04</t>
  </si>
  <si>
    <t>T-00069-5241</t>
  </si>
  <si>
    <t>PS5-60-IN-0002A-CC01</t>
  </si>
  <si>
    <t>Cable FROM PS5-60-IE-0003A TO PS5-60-IN-0002A</t>
  </si>
  <si>
    <t>T-00069-5242</t>
  </si>
  <si>
    <t>PS5-60-IN-0002A-CC02</t>
  </si>
  <si>
    <t>T-00069-5243</t>
  </si>
  <si>
    <t>PS5-60-IN-0002A-CC03</t>
  </si>
  <si>
    <t>T-00069-5244</t>
  </si>
  <si>
    <t>PS5-60-IN-0002A-CC04</t>
  </si>
  <si>
    <t>T-00069-5245</t>
  </si>
  <si>
    <t>PS5-60-IN-0002A-CC05</t>
  </si>
  <si>
    <t>T-00069-5246</t>
  </si>
  <si>
    <t>PS5-60-IN-0002A-CC06</t>
  </si>
  <si>
    <t>T-00069-5247</t>
  </si>
  <si>
    <t>PS5-60-IN-0002B-CC01</t>
  </si>
  <si>
    <t>Cable FROM PS5-60-IE-0003B TO PS5-60-IN-0002B</t>
  </si>
  <si>
    <t>T-00069-5248</t>
  </si>
  <si>
    <t>PS5-60-IN-0002B-CC02</t>
  </si>
  <si>
    <t>T-00069-5249</t>
  </si>
  <si>
    <t>PS5-60-IN-0002B-CC03</t>
  </si>
  <si>
    <t>T-00069-5250</t>
  </si>
  <si>
    <t>PS5-60-IN-0002B-CC04</t>
  </si>
  <si>
    <t>T-00069-5251</t>
  </si>
  <si>
    <t>PS5-60-IN-0002B-CC05</t>
  </si>
  <si>
    <t>T-00069-5252</t>
  </si>
  <si>
    <t>PS5-60-IN-0002B-CC06</t>
  </si>
  <si>
    <t>T-00069-5253</t>
  </si>
  <si>
    <t>PS5-60-IN-0002C-CC01</t>
  </si>
  <si>
    <t>Cable FROM PS5-60-IE-0003C TO PS5-60-IN-0002C</t>
  </si>
  <si>
    <t>T-00069-5254</t>
  </si>
  <si>
    <t>PS5-60-IN-0002C-CC02</t>
  </si>
  <si>
    <t>T-00069-5255</t>
  </si>
  <si>
    <t>PS5-60-IN-0002C-CC03</t>
  </si>
  <si>
    <t>T-00069-5256</t>
  </si>
  <si>
    <t>PS5-60-IN-0002C-CC04</t>
  </si>
  <si>
    <t>T-00069-5257</t>
  </si>
  <si>
    <t>PS5-60-IN-0002C-CC05</t>
  </si>
  <si>
    <t>T-00069-5258</t>
  </si>
  <si>
    <t>PS5-60-IN-0002C-CC06</t>
  </si>
  <si>
    <t>T-00069-5259</t>
  </si>
  <si>
    <t>PS5-60-IN-0002D-CC01</t>
  </si>
  <si>
    <t>Cable FROM PS5-60-IE-0003D TO PS5-60-IN-0002D</t>
  </si>
  <si>
    <t>T-00069-5260</t>
  </si>
  <si>
    <t>PS5-60-IN-0002D-CC02</t>
  </si>
  <si>
    <t>T-00069-5261</t>
  </si>
  <si>
    <t>PS5-60-IN-0002D-CC03</t>
  </si>
  <si>
    <t>T-00069-5262</t>
  </si>
  <si>
    <t>PS5-60-IN-0002D-CC04</t>
  </si>
  <si>
    <t>T-00069-5263</t>
  </si>
  <si>
    <t>PS5-60-IN-0002D-CC05</t>
  </si>
  <si>
    <t>T-00069-5264</t>
  </si>
  <si>
    <t>PS5-60-IN-0002D-CC06</t>
  </si>
  <si>
    <t>T-00069-5283</t>
  </si>
  <si>
    <t>PS5-60-IN-0004A-CC11</t>
  </si>
  <si>
    <t>T-00069-5284</t>
  </si>
  <si>
    <t>PS5-60-LA-0002A-CC01</t>
  </si>
  <si>
    <t>Cable FROM PS5-60-IE-0003A TO PS5-60-LA-0002A</t>
  </si>
  <si>
    <t>T-00069-5285</t>
  </si>
  <si>
    <t>PS5-60-LA-0002A-CC02</t>
  </si>
  <si>
    <t>T-00069-5286</t>
  </si>
  <si>
    <t>PS5-60-LA-0002A-CC03</t>
  </si>
  <si>
    <t>T-00069-5287</t>
  </si>
  <si>
    <t>PS5-60-LA-0002A-CC04</t>
  </si>
  <si>
    <t>Cable FROM PS5-60-IE-0003B TO PS5-60-LA-0002A</t>
  </si>
  <si>
    <t>T-00069-5288</t>
  </si>
  <si>
    <t>PS5-60-LA-0002A-CC05</t>
  </si>
  <si>
    <t>T-00069-5289</t>
  </si>
  <si>
    <t>PS5-60-LA-0002A-CC06</t>
  </si>
  <si>
    <t>T-00069-5290</t>
  </si>
  <si>
    <t>PS5-60-LA-0002A-CC07</t>
  </si>
  <si>
    <t>Cable FROM PS5-60-IE-0003C TO PS5-60-LA-0002A</t>
  </si>
  <si>
    <t>T-00069-5291</t>
  </si>
  <si>
    <t>PS5-60-LA-0002A-CC08</t>
  </si>
  <si>
    <t>T-00069-5292</t>
  </si>
  <si>
    <t>PS5-60-LA-0002A-CC09</t>
  </si>
  <si>
    <t>T-00069-5293</t>
  </si>
  <si>
    <t>PS5-60-LA-0002B-CC01</t>
  </si>
  <si>
    <t>Cable FROM PS5-60-IE-0003D TO PS5-60-LA-0002B</t>
  </si>
  <si>
    <t>T-00069-5294</t>
  </si>
  <si>
    <t>PS5-60-LA-0002B-CC02</t>
  </si>
  <si>
    <t>T-00069-5295</t>
  </si>
  <si>
    <t>PS5-60-LA-0002B-CC03</t>
  </si>
  <si>
    <t>T-00069-5296</t>
  </si>
  <si>
    <t>PS5-60-LA-0002B-CC04</t>
  </si>
  <si>
    <t>Cable FROM PS5-60-IE-0003E TO PS5-60-LA-0002B</t>
  </si>
  <si>
    <t>T-00069-5297</t>
  </si>
  <si>
    <t>PS5-60-LA-0002B-CC05</t>
  </si>
  <si>
    <t>T-00069-5298</t>
  </si>
  <si>
    <t>PS5-60-LA-0002B-CC06</t>
  </si>
  <si>
    <t>T-00069-5305</t>
  </si>
  <si>
    <t>PS5-60-LA-0003-CC01</t>
  </si>
  <si>
    <t>T-00069-5316</t>
  </si>
  <si>
    <t>PS5-60-SEA-0001-CC01</t>
  </si>
  <si>
    <t>Cable FROM PS5-60-IE-0003A TO PS5-60-SEA-0001</t>
  </si>
  <si>
    <t>T-00069-5317</t>
  </si>
  <si>
    <t>PS5-60-SEA-0001-CC02</t>
  </si>
  <si>
    <t>Cable FROM PS5-60-IE-0003B TO PS5-60-SEA-0001</t>
  </si>
  <si>
    <t>T-00069-5318</t>
  </si>
  <si>
    <t>PS5-60-SEA-0001-CC03</t>
  </si>
  <si>
    <t>Cable FROM PS5-60-IE-0003C TO PS5-60-SEA-0001</t>
  </si>
  <si>
    <t>T-00069-5319</t>
  </si>
  <si>
    <t>PS5-60-SEA-0001-CC04</t>
  </si>
  <si>
    <t>Cable FROM PS5-60-IE-0003D TO PS5-60-SEA-0001</t>
  </si>
  <si>
    <t>T-00069-5320</t>
  </si>
  <si>
    <t>PS5-60-SEA-0001-CC05</t>
  </si>
  <si>
    <t>Cable FROM PS5-60-IE-0003E TO PS5-60-SEA-0001</t>
  </si>
  <si>
    <t>T-00069-5321</t>
  </si>
  <si>
    <t>PS5-60-SEA-0001-CC06</t>
  </si>
  <si>
    <t>Cable FROM PS5-60-IE-0003F TO PS5-60-SEA-0001</t>
  </si>
  <si>
    <t>T-00069-5322</t>
  </si>
  <si>
    <t>PS5-60-SEA-0001-CC07</t>
  </si>
  <si>
    <t>Cable FROM PS5-60-IE-0003G TO PS5-60-SEA-0001</t>
  </si>
  <si>
    <t>T-00069-5323</t>
  </si>
  <si>
    <t>PS5-60-SEA-0001-CC10</t>
  </si>
  <si>
    <t>Cable FROM PS5-60-IE-0004 TO PS5-60-SEA-0001</t>
  </si>
  <si>
    <t>T-00069-5324</t>
  </si>
  <si>
    <t>PS5-60-SEA-0001-CC11</t>
  </si>
  <si>
    <t>T-00069-5325</t>
  </si>
  <si>
    <t>PS5-60-SEA-0001-CC12</t>
  </si>
  <si>
    <t>T-00069-5326</t>
  </si>
  <si>
    <t>PS5-60-SEA-0001-CC13</t>
  </si>
  <si>
    <t>T-00069-5327</t>
  </si>
  <si>
    <t>PS5-60-SEA-0001-CC14</t>
  </si>
  <si>
    <t>T-00069-5328</t>
  </si>
  <si>
    <t>PS5-60-SEA-0001-CC15</t>
  </si>
  <si>
    <t>T-00069-5329</t>
  </si>
  <si>
    <t>PS5-60-SEA-0001-CC16</t>
  </si>
  <si>
    <t>T-00069-5330</t>
  </si>
  <si>
    <t>PS5-60-SEA-0001-CC17</t>
  </si>
  <si>
    <t>T-00069-5339</t>
  </si>
  <si>
    <t>PS5-60-VS-9101A-CC01</t>
  </si>
  <si>
    <t>Cable FROM PS5-60-IE-0003A TO PS5-60-VS-9101A</t>
  </si>
  <si>
    <t>T-00069-5340</t>
  </si>
  <si>
    <t>PS5-60-VS-9101B-CC01</t>
  </si>
  <si>
    <t>Cable FROM PS5-60-IE-0003B TO PS5-60-VS-9101B</t>
  </si>
  <si>
    <t>T-00069-5341</t>
  </si>
  <si>
    <t>PS5-60-VS-9101C-CC01</t>
  </si>
  <si>
    <t>Cable FROM PS5-60-IE-0003C TO PS5-60-VS-9101C</t>
  </si>
  <si>
    <t>T-00069-5342</t>
  </si>
  <si>
    <t>PS5-60-VS-9101D-CC01</t>
  </si>
  <si>
    <t>Cable FROM PS5-60-IE-0003D TO PS5-60-VS-9101D</t>
  </si>
  <si>
    <t>T-00069-5346</t>
  </si>
  <si>
    <t>PS5-61-BI-0001-CC01</t>
  </si>
  <si>
    <t>Cable FROM PS5-60-IE-0003A TO PS5-61-BI-0001</t>
  </si>
  <si>
    <t>T-00069-5347</t>
  </si>
  <si>
    <t>PS5-61-BI-0001-CC02</t>
  </si>
  <si>
    <t>T-00069-5348</t>
  </si>
  <si>
    <t>PS5-61-BI-0001-CC03</t>
  </si>
  <si>
    <t>Cable FROM PS5-61-TE-0003A TO PS5-61-BI-0001</t>
  </si>
  <si>
    <t>T-00069-5349</t>
  </si>
  <si>
    <t>PS5-61-BI-0002-CC01</t>
  </si>
  <si>
    <t>Cable FROM PS5-60-IE-0003B TO PS5-61-BI-0002</t>
  </si>
  <si>
    <t>T-00069-5350</t>
  </si>
  <si>
    <t>PS5-61-BI-0002-CC02</t>
  </si>
  <si>
    <t>T-00069-5351</t>
  </si>
  <si>
    <t>PS5-61-BI-0002-CC03</t>
  </si>
  <si>
    <t>Cable FROM PS5-61-TE-0003B TO PS5-61-BI-0002</t>
  </si>
  <si>
    <t>T-00069-5352</t>
  </si>
  <si>
    <t>PS5-61-BI-0003-CC01</t>
  </si>
  <si>
    <t>Cable FROM PS5-60-IE-0003C TO PS5-61-BI-0003</t>
  </si>
  <si>
    <t>T-00069-5353</t>
  </si>
  <si>
    <t>PS5-61-BI-0003-CC02</t>
  </si>
  <si>
    <t>T-00069-5354</t>
  </si>
  <si>
    <t>PS5-61-BI-0003-CC03</t>
  </si>
  <si>
    <t>Cable FROM PS5-61-TE-0003C TO PS5-61-BI-0003</t>
  </si>
  <si>
    <t>T-00069-5355</t>
  </si>
  <si>
    <t>PS5-61-BI-0004-CC01</t>
  </si>
  <si>
    <t>Cable FROM PS5-60-IE-0003D TO PS5-61-BI-0004</t>
  </si>
  <si>
    <t>T-00069-5356</t>
  </si>
  <si>
    <t>PS5-61-BI-0004-CC02</t>
  </si>
  <si>
    <t>T-00069-5357</t>
  </si>
  <si>
    <t>PS5-61-BI-0004-CC03</t>
  </si>
  <si>
    <t>Cable FROM PS5-61-TE-0003D TO PS5-61-BI-0004</t>
  </si>
  <si>
    <t>T-00069-5376</t>
  </si>
  <si>
    <t>PS5-71-BAV-0058-CC01</t>
  </si>
  <si>
    <t>Cable FROM PS5-71-BI-2113 TO PS5-71-BAV-0058</t>
  </si>
  <si>
    <t>TZ-MID-68-WPR2-161503</t>
  </si>
  <si>
    <t>T-00069-5377</t>
  </si>
  <si>
    <t>PS5-71-BAV-0059-CC01</t>
  </si>
  <si>
    <t>Cable FROM PS5-71-BI-2113 TO PS5-71-BAV-0059</t>
  </si>
  <si>
    <t>T-00069-5378</t>
  </si>
  <si>
    <t>PS5-71-BI-0001A-CC01</t>
  </si>
  <si>
    <t>Cable FROM PS5-71-IN-0004A TO PS5-71-BI-0001A</t>
  </si>
  <si>
    <t>T-00069-5379</t>
  </si>
  <si>
    <t>PS5-71-BI-0001B-CC01</t>
  </si>
  <si>
    <t>Cable FROM PS5-71-IN-0004A TO PS5-71-BI-0001B</t>
  </si>
  <si>
    <t>T-00069-5381</t>
  </si>
  <si>
    <t>PS5-71-BI-0002-CC01</t>
  </si>
  <si>
    <t>Cable FROM PS5-71-IN-0001 TO PS5-71-BI-0002</t>
  </si>
  <si>
    <t>T-00069-5382</t>
  </si>
  <si>
    <t>PS5-71-BI-0003-CC01</t>
  </si>
  <si>
    <t>Cable FROM PS5-60-IE-0004 TO PS5-71-BI-0003</t>
  </si>
  <si>
    <t>T-00069-5383</t>
  </si>
  <si>
    <t>PS5-71-BI-0003-CC02</t>
  </si>
  <si>
    <t>T-00069-5384</t>
  </si>
  <si>
    <t>PS5-71-BI-0003-CC03</t>
  </si>
  <si>
    <t>T-00069-5385</t>
  </si>
  <si>
    <t>PS5-71-BI-0003-CC04</t>
  </si>
  <si>
    <t>T-00069-5386</t>
  </si>
  <si>
    <t>PS5-71-BI-0004-CC01</t>
  </si>
  <si>
    <t>T-00069-5387</t>
  </si>
  <si>
    <t>PS5-71-BI-0005-CC01</t>
  </si>
  <si>
    <t>T-00069-5388</t>
  </si>
  <si>
    <t>PS5-71-BI-0005-CC02</t>
  </si>
  <si>
    <t>Cable FROM PS5-60-IE-0004 TO PS5-71-BI-0005</t>
  </si>
  <si>
    <t>T-00069-5389</t>
  </si>
  <si>
    <t>PS5-71-BI-0006-CC01</t>
  </si>
  <si>
    <t>T-00069-5390</t>
  </si>
  <si>
    <t>PS5-71-BI-0008A-CC01</t>
  </si>
  <si>
    <t>Cable FROM PS5-71-IN-0004A TO PS5-71-BI-0008A</t>
  </si>
  <si>
    <t>T-00069-5391</t>
  </si>
  <si>
    <t>PS5-71-BI-0008A-CC02</t>
  </si>
  <si>
    <t>T-00069-5392</t>
  </si>
  <si>
    <t>PS5-71-BI-0008B-CC01</t>
  </si>
  <si>
    <t>Cable FROM PS5-71-IN-0004A TO PS5-71-BI-0008B</t>
  </si>
  <si>
    <t>T-00069-5393</t>
  </si>
  <si>
    <t>PS5-71-BI-0008B-CC02</t>
  </si>
  <si>
    <t>T-00069-5394</t>
  </si>
  <si>
    <t>PS5-71-BI-0009-CC01</t>
  </si>
  <si>
    <t>Cable FROM PS5-71-IN-0001 TO PS5-71-BI-0009</t>
  </si>
  <si>
    <t>T-00069-5395</t>
  </si>
  <si>
    <t>PS5-71-BI-0009-CC02</t>
  </si>
  <si>
    <t>T-00069-5396</t>
  </si>
  <si>
    <t>PS5-71-BI-0009-CC03</t>
  </si>
  <si>
    <t>T-00069-5397</t>
  </si>
  <si>
    <t>PS5-71-BI-0009-CC04</t>
  </si>
  <si>
    <t>T-00069-5398</t>
  </si>
  <si>
    <t>PS5-71-BI-0010-CC01</t>
  </si>
  <si>
    <t>Cable FROM PS5-71-IN-0001 TO PS5-71-BI-0010</t>
  </si>
  <si>
    <t>T-00069-5399</t>
  </si>
  <si>
    <t>PS5-71-BI-0011A-CC01</t>
  </si>
  <si>
    <t>Cable FROM PS5-71-IN-0004A TO PS5-71-BI-0011A</t>
  </si>
  <si>
    <t>T-00069-5400</t>
  </si>
  <si>
    <t>PS5-71-BI-0011A-CC02</t>
  </si>
  <si>
    <t>T-00069-5401</t>
  </si>
  <si>
    <t>PS5-71-BI-0011A-CC03</t>
  </si>
  <si>
    <t>T-00069-5402</t>
  </si>
  <si>
    <t>PS5-71-BI-0011A-CC04</t>
  </si>
  <si>
    <t>T-00069-5403</t>
  </si>
  <si>
    <t>PS5-71-BI-0011A-CC05</t>
  </si>
  <si>
    <t>T-00069-5404</t>
  </si>
  <si>
    <t>PS5-71-BI-0011B-CC01</t>
  </si>
  <si>
    <t>Cable FROM PS5-71-IN-0004A TO PS5-71-BI-0011B</t>
  </si>
  <si>
    <t>T-00069-5405</t>
  </si>
  <si>
    <t>PS5-71-BI-0011B-CC02</t>
  </si>
  <si>
    <t>T-00069-5406</t>
  </si>
  <si>
    <t>PS5-71-BI-0011B-CC03</t>
  </si>
  <si>
    <t>T-00069-5407</t>
  </si>
  <si>
    <t>PS5-71-BI-0011B-CC04</t>
  </si>
  <si>
    <t>T-00069-5408</t>
  </si>
  <si>
    <t>PS5-71-BI-0011B-CC05</t>
  </si>
  <si>
    <t>T-00069-5442</t>
  </si>
  <si>
    <t>PS5-71-FCV-0019-CC01</t>
  </si>
  <si>
    <t>Cable FROM PS5-71-FCV-0019-HPU TO PS5-71-FCV-0019</t>
  </si>
  <si>
    <t>T-00069-5449</t>
  </si>
  <si>
    <t>PS5-71-FIT-0019-CJ01</t>
  </si>
  <si>
    <t>Cable FROM PS5-71-BI-1110 TO PS5-71-FIT-0019</t>
  </si>
  <si>
    <t>T-00069-5452</t>
  </si>
  <si>
    <t>PS5-71-FXS-0019-CJ01</t>
  </si>
  <si>
    <t>Cable FROM PS5-71-BI-2114 TO PS5-71-FCV-0019</t>
  </si>
  <si>
    <t>T-00069-5455</t>
  </si>
  <si>
    <t>PS5-71-FY-0019-CJ01</t>
  </si>
  <si>
    <t>Cable FROM PS5-71-BI-1113 TO PS5-71-FCV-0019</t>
  </si>
  <si>
    <t>T-00069-5474</t>
  </si>
  <si>
    <t>PS5-71-IN-0003-CC01</t>
  </si>
  <si>
    <t>Cable FROM PS5-60-IE-0004 TO PS5-71-IN-0003</t>
  </si>
  <si>
    <t>T-00069-5475</t>
  </si>
  <si>
    <t>PS5-71-IN-0003-CC02</t>
  </si>
  <si>
    <t>T-00069-5476</t>
  </si>
  <si>
    <t>PS5-71-IN-0003-CC03</t>
  </si>
  <si>
    <t>T-00069-5477</t>
  </si>
  <si>
    <t>PS5-71-IN-0003-CC04</t>
  </si>
  <si>
    <t>T-00069-5481</t>
  </si>
  <si>
    <t>PS5-71-IN-0004A-CC01</t>
  </si>
  <si>
    <t>T-00069-5482</t>
  </si>
  <si>
    <t>PS5-71-IN-0004A-CC02</t>
  </si>
  <si>
    <t>T-00069-5483</t>
  </si>
  <si>
    <t>PS5-71-IN-0004A-CC03</t>
  </si>
  <si>
    <t>T-00069-5484</t>
  </si>
  <si>
    <t>PS5-71-IN-0004A-CC04</t>
  </si>
  <si>
    <t>Cable FROM PS5-71-BI-0011A TO PS5-71-IN-0004A</t>
  </si>
  <si>
    <t>T-00069-5485</t>
  </si>
  <si>
    <t>PS5-71-IN-0004A-CC05</t>
  </si>
  <si>
    <t>T-00069-5486</t>
  </si>
  <si>
    <t>PS5-71-IN-0004A-CC06</t>
  </si>
  <si>
    <t>T-00069-5487</t>
  </si>
  <si>
    <t>PS5-71-IN-0004A-CC07</t>
  </si>
  <si>
    <t>T-00069-5490</t>
  </si>
  <si>
    <t>PS5-71-IN-0004A-CC11</t>
  </si>
  <si>
    <t>T-00069-5492</t>
  </si>
  <si>
    <t>PS5-71-IN-0004A-CC13</t>
  </si>
  <si>
    <t>Cable FROM PS5-71-IN-0004B TO PS5-71-IN-0004A</t>
  </si>
  <si>
    <t>T-00069-5493</t>
  </si>
  <si>
    <t>PS5-71-IN-0004B-CC01</t>
  </si>
  <si>
    <t>Cable FROM PS5-60-IE-0004 TO PS5-71-IN-0004B</t>
  </si>
  <si>
    <t>T-00069-5494</t>
  </si>
  <si>
    <t>PS5-71-IN-0004B-CC02</t>
  </si>
  <si>
    <t>T-00069-5495</t>
  </si>
  <si>
    <t>PS5-71-IN-0004B-CC03</t>
  </si>
  <si>
    <t>T-00069-5496</t>
  </si>
  <si>
    <t>PS5-71-IN-0004B-CC04</t>
  </si>
  <si>
    <t>Cable FROM PS5-71-BI-0011B TO PS5-71-IN-0004B</t>
  </si>
  <si>
    <t>T-00069-5497</t>
  </si>
  <si>
    <t>PS5-71-IN-0004B-CC05</t>
  </si>
  <si>
    <t>T-00069-5498</t>
  </si>
  <si>
    <t>PS5-71-IN-0004B-CC06</t>
  </si>
  <si>
    <t>T-00069-5499</t>
  </si>
  <si>
    <t>PS5-71-IN-0004B-CC07</t>
  </si>
  <si>
    <t>T-00069-5502</t>
  </si>
  <si>
    <t>PS5-71-IN-0004B-CC11</t>
  </si>
  <si>
    <t>Cable FROM PS5-71-IN-0001 TO PS5-71-IN-0004B</t>
  </si>
  <si>
    <t>T-00069-5506</t>
  </si>
  <si>
    <t>PS5-71-LIT-1201-CJ01</t>
  </si>
  <si>
    <t>Cable FROM PS5-71-BI-1113 TO PS5-71-LIT-1201</t>
  </si>
  <si>
    <t>T-00069-5507</t>
  </si>
  <si>
    <t>PS5-71-LIT-1202-CJ01</t>
  </si>
  <si>
    <t>Cable FROM PS5-28-BI-1307 TO PS5-71-LIT-1202</t>
  </si>
  <si>
    <t>T-00069-5516</t>
  </si>
  <si>
    <t>PS5-71-MOV-0001-CC01</t>
  </si>
  <si>
    <t>Cable FROM PS5-71-BI-2120 TO PS5-71-MOV-0001</t>
  </si>
  <si>
    <t>T-00069-5517</t>
  </si>
  <si>
    <t>PS5-71-MOV-0001-CC02</t>
  </si>
  <si>
    <t>Cable FROM PS5-71-BI-2124 TO PS5-71-MOV-0001</t>
  </si>
  <si>
    <t>T-00069-5518</t>
  </si>
  <si>
    <t>PS5-71-MOV-0002-CC01</t>
  </si>
  <si>
    <t>Cable FROM PS5-71-BI-2120 TO PS5-71-MOV-0002</t>
  </si>
  <si>
    <t>T-00069-5519</t>
  </si>
  <si>
    <t>PS5-71-MOV-0002-CC02</t>
  </si>
  <si>
    <t>Cable FROM PS5-71-BI-2124 TO PS5-71-MOV-0002</t>
  </si>
  <si>
    <t>T-00069-5520</t>
  </si>
  <si>
    <t>PS5-71-MOV-0003-CC01</t>
  </si>
  <si>
    <t>Cable FROM PS5-71-BI-2121 TO PS5-71-MOV-0003</t>
  </si>
  <si>
    <t>T-00069-5521</t>
  </si>
  <si>
    <t>PS5-71-MOV-0003-CC02</t>
  </si>
  <si>
    <t>Cable FROM PS5-71-BI-2125 TO PS5-71-MOV-0003</t>
  </si>
  <si>
    <t>T-00069-5522</t>
  </si>
  <si>
    <t>PS5-71-MOV-0004-CC01</t>
  </si>
  <si>
    <t>Cable FROM PS5-71-BI-2121 TO PS5-71-MOV-0004</t>
  </si>
  <si>
    <t>T-00069-5523</t>
  </si>
  <si>
    <t>PS5-71-MOV-0004-CC02</t>
  </si>
  <si>
    <t>Cable FROM PS5-71-BI-2125 TO PS5-71-MOV-0004</t>
  </si>
  <si>
    <t>T-00069-5524</t>
  </si>
  <si>
    <t>PS5-71-MOV-0007-CC01</t>
  </si>
  <si>
    <t>Cable FROM PS5-71-BI-2118 TO PS5-71-MOV-0007</t>
  </si>
  <si>
    <t>T-00069-5525</t>
  </si>
  <si>
    <t>PS5-71-MOV-0007-CC02</t>
  </si>
  <si>
    <t>Cable FROM PS5-71-BI-2122 TO PS5-71-MOV-0007</t>
  </si>
  <si>
    <t>T-00069-5526</t>
  </si>
  <si>
    <t>PS5-71-MOV-0008-CC01</t>
  </si>
  <si>
    <t>Cable FROM PS5-71-BI-2118 TO PS5-71-MOV-0008</t>
  </si>
  <si>
    <t>T-00069-5527</t>
  </si>
  <si>
    <t>PS5-71-MOV-0008-CC02</t>
  </si>
  <si>
    <t>Cable FROM PS5-71-BI-2122 TO PS5-71-MOV-0008</t>
  </si>
  <si>
    <t>T-00069-5528</t>
  </si>
  <si>
    <t>PS5-71-MOV-0009-CC01</t>
  </si>
  <si>
    <t>Cable FROM PS5-71-BI-2119 TO PS5-71-MOV-0009</t>
  </si>
  <si>
    <t>T-00069-5529</t>
  </si>
  <si>
    <t>PS5-71-MOV-0009-CC02</t>
  </si>
  <si>
    <t>Cable FROM PS5-71-BI-2123 TO PS5-71-MOV-0009</t>
  </si>
  <si>
    <t>T-00069-5530</t>
  </si>
  <si>
    <t>PS5-71-MOV-0010-CC01</t>
  </si>
  <si>
    <t>Cable FROM PS5-71-BI-2119 TO PS5-71-MOV-0010</t>
  </si>
  <si>
    <t>T-00069-5531</t>
  </si>
  <si>
    <t>PS5-71-MOV-0010-CC02</t>
  </si>
  <si>
    <t>Cable FROM PS5-71-BI-2123 TO PS5-71-MOV-0010</t>
  </si>
  <si>
    <t>T-00069-5535</t>
  </si>
  <si>
    <t>PS5-71-PIT-0001-CJ01</t>
  </si>
  <si>
    <t>Cable FROM PS5-28-BI-1307 TO PS5-71-SDV-0001</t>
  </si>
  <si>
    <t>T-00069-5538</t>
  </si>
  <si>
    <t>PS5-71-PIT-0019A-CJ01</t>
  </si>
  <si>
    <t>T-00069-5545</t>
  </si>
  <si>
    <t>PS5-71-PIT-0091-CJ01</t>
  </si>
  <si>
    <t>Cable FROM PS5-71-BI-1113 TO PS5-71-XV-0091</t>
  </si>
  <si>
    <t>T-00069-5546</t>
  </si>
  <si>
    <t>PS5-71-PIT-0092-CJ01</t>
  </si>
  <si>
    <t>Cable FROM PS5-71-BI-1113 TO PS5-71-XV-0092</t>
  </si>
  <si>
    <t>T-00069-5558</t>
  </si>
  <si>
    <t>PS5-71-SDV-0001-CC01</t>
  </si>
  <si>
    <t>Cable FROM PS5-25-BI-2315 TO PS5-71-SDV-0001</t>
  </si>
  <si>
    <t>T-00069-5559</t>
  </si>
  <si>
    <t>PS5-71-SDV-0001-CC02</t>
  </si>
  <si>
    <t>Cable FROM PS5-71-SDV-0001-HPU TO PS5-71-SDV-0001</t>
  </si>
  <si>
    <t>UT-MID-60-NBV3-160008</t>
  </si>
  <si>
    <t>T-00069-5566</t>
  </si>
  <si>
    <t>PS5-71-SXS-0001-CJ01</t>
  </si>
  <si>
    <t>Cable FROM PS5-25-BI-2312 TO PS5-71-SDV-0001</t>
  </si>
  <si>
    <t>T-00069-5570</t>
  </si>
  <si>
    <t>PS5-71-SY-0001-CJ01</t>
  </si>
  <si>
    <t>Cable FROM PS5-25-BI-2316 TO PS5-71-SDV-0001</t>
  </si>
  <si>
    <t>T-00069-5592</t>
  </si>
  <si>
    <t>PS5-71-XV-0091-CC01</t>
  </si>
  <si>
    <t>Cable FROM PS5-71-BI-2113 TO PS5-71-XV-0091</t>
  </si>
  <si>
    <t>T-00069-5593</t>
  </si>
  <si>
    <t>PS5-71-XV-0091-CC02</t>
  </si>
  <si>
    <t>Cable FROM PS5-71-XV-0091-HPU TO PS5-71-XV-0091</t>
  </si>
  <si>
    <t>T-00069-5594</t>
  </si>
  <si>
    <t>PS5-71-XV-0092-CC01</t>
  </si>
  <si>
    <t>Cable FROM PS5-71-BI-2113 TO PS5-71-XV-0092</t>
  </si>
  <si>
    <t>T-00069-5595</t>
  </si>
  <si>
    <t>PS5-71-XV-0092-CC02</t>
  </si>
  <si>
    <t>Cable FROM PS5-71-XV-0092-HPU TO PS5-71-XV-0092</t>
  </si>
  <si>
    <t>T-00069-5598</t>
  </si>
  <si>
    <t>PS5-71-XXS-0091-CJ01</t>
  </si>
  <si>
    <t>Cable FROM PS5-71-BI-2114 TO PS5-71-XV-0091</t>
  </si>
  <si>
    <t>T-00069-5599</t>
  </si>
  <si>
    <t>PS5-71-XXS-0092-CJ01</t>
  </si>
  <si>
    <t>Cable FROM PS5-71-BI-2114 TO PS5-71-XV-0092</t>
  </si>
  <si>
    <t>T-00069-5602</t>
  </si>
  <si>
    <t>PS5-71-XY-0091-CJ01</t>
  </si>
  <si>
    <t>Cable FROM PS5-71-BI-2115 TO PS5-71-XV-0091</t>
  </si>
  <si>
    <t>T-00069-5603</t>
  </si>
  <si>
    <t>PS5-71-XY-0092-CJ01</t>
  </si>
  <si>
    <t>Cable FROM PS5-71-BI-2115 TO PS5-71-XV-0092</t>
  </si>
  <si>
    <t>T-00069-9408</t>
  </si>
  <si>
    <t>PS5-03-RMAC-1409-CJ01</t>
  </si>
  <si>
    <t>Cable FROM PS5-03-SEA-0003 TO PS5-03-RMAC-1409</t>
  </si>
  <si>
    <t>T-00071-0027</t>
  </si>
  <si>
    <t>PS5-60-IE-0004-CX03</t>
  </si>
  <si>
    <t>CJX12 - Optical fiber cable</t>
  </si>
  <si>
    <t>Cable FROM PS5-04-PNC-0001 TO PS5-60-IE-0004</t>
  </si>
  <si>
    <t>TZ-MID-68-SSF1-161401</t>
  </si>
  <si>
    <t>Optical Fibre Cable</t>
  </si>
  <si>
    <t>TM-00071</t>
  </si>
  <si>
    <t>T-00071-0028</t>
  </si>
  <si>
    <t>PS5-60-IE-0004-CX04</t>
  </si>
  <si>
    <t>T-00071-0029</t>
  </si>
  <si>
    <t>PS5-60-LA-0003-CX01</t>
  </si>
  <si>
    <t>Cable FROM PS5-04-PNC-0001 TO PS5-60-LA-0003</t>
  </si>
  <si>
    <t>T-00071-0090</t>
  </si>
  <si>
    <t>PS5-60-LA-0003-CX02</t>
  </si>
  <si>
    <t>T-00072-0169</t>
  </si>
  <si>
    <t>PS5-60-TW-0007C</t>
  </si>
  <si>
    <t>CJX13 - Thermowell</t>
  </si>
  <si>
    <t>Thermowell</t>
  </si>
  <si>
    <t>TM-00072</t>
  </si>
  <si>
    <t>T-00072-0173</t>
  </si>
  <si>
    <t>PS5-60-TW-0007B</t>
  </si>
  <si>
    <t>T-00072-0174</t>
  </si>
  <si>
    <t>PS5-60-TW-0006C</t>
  </si>
  <si>
    <t>T-00072-0175</t>
  </si>
  <si>
    <t>PS5-60-TW-0008A</t>
  </si>
  <si>
    <t>T-00072-0176</t>
  </si>
  <si>
    <t>PS5-60-TW-0007D</t>
  </si>
  <si>
    <t>T-00072-0177</t>
  </si>
  <si>
    <t>PS5-60-TW-0008C</t>
  </si>
  <si>
    <t>T-00072-0182</t>
  </si>
  <si>
    <t>PS5-60-TW-0007A</t>
  </si>
  <si>
    <t>T-00072-0183</t>
  </si>
  <si>
    <t>PS5-60-TW-0006D</t>
  </si>
  <si>
    <t>T-00072-0184</t>
  </si>
  <si>
    <t>PS5-60-TW-0008B</t>
  </si>
  <si>
    <t>T-00072-0186</t>
  </si>
  <si>
    <t>PS5-60-TW-0008D</t>
  </si>
  <si>
    <t>T-00072-0194</t>
  </si>
  <si>
    <t>PS5-60-TW-0006B</t>
  </si>
  <si>
    <t>T-00072-0198</t>
  </si>
  <si>
    <t>PS5-60-TW-0006A</t>
  </si>
  <si>
    <t>T-00072-0207</t>
  </si>
  <si>
    <t>PS5-60-TW-0005A</t>
  </si>
  <si>
    <t>T-00072-0208</t>
  </si>
  <si>
    <t>PS5-60-TW-0005B</t>
  </si>
  <si>
    <t>T-00072-0209</t>
  </si>
  <si>
    <t>PS5-60-TW-0005C</t>
  </si>
  <si>
    <t>T-00072-0210</t>
  </si>
  <si>
    <t>PS5-60-TW-0005D</t>
  </si>
  <si>
    <t>T-00075-0200</t>
  </si>
  <si>
    <t>PS5-60-TG-0005C</t>
  </si>
  <si>
    <t>CJX16 - Local gauge / indicator</t>
  </si>
  <si>
    <t>Temperature Gauge</t>
  </si>
  <si>
    <t>Local Gauge/Indicator</t>
  </si>
  <si>
    <t>TM-00075</t>
  </si>
  <si>
    <t>T-00075-0205</t>
  </si>
  <si>
    <t>PS5-60-TG-0008D</t>
  </si>
  <si>
    <t>T-00075-0209</t>
  </si>
  <si>
    <t>PS5-71-PG-0050B</t>
  </si>
  <si>
    <t>Pressure Gauge</t>
  </si>
  <si>
    <t>T-00075-0210</t>
  </si>
  <si>
    <t>PS5-71-PG-0050A</t>
  </si>
  <si>
    <t>T-00075-0211</t>
  </si>
  <si>
    <t>PS5-60-TG-0005A</t>
  </si>
  <si>
    <t>T-00075-0218</t>
  </si>
  <si>
    <t>PS5-60-TG-0008A</t>
  </si>
  <si>
    <t>T-00075-0224</t>
  </si>
  <si>
    <t>PS5-60-TG-0008C</t>
  </si>
  <si>
    <t>T-00075-0229</t>
  </si>
  <si>
    <t>PS5-60-TG-0007D</t>
  </si>
  <si>
    <t>T-00075-0239</t>
  </si>
  <si>
    <t>PS5-60-TG-0007A</t>
  </si>
  <si>
    <t>T-00075-0241</t>
  </si>
  <si>
    <t>PS5-71-PDG-0049A</t>
  </si>
  <si>
    <t>Diff Press Gauge</t>
  </si>
  <si>
    <t>T-00075-0244</t>
  </si>
  <si>
    <t>PS5-60-TG-0007C</t>
  </si>
  <si>
    <t>T-00075-0251</t>
  </si>
  <si>
    <t>PS5-60-TG-0006D</t>
  </si>
  <si>
    <t>T-00075-0255</t>
  </si>
  <si>
    <t>PS5-71-PDG-0049B</t>
  </si>
  <si>
    <t>T-00075-0264</t>
  </si>
  <si>
    <t>PS5-60-TG-0005D</t>
  </si>
  <si>
    <t>T-00075-0265</t>
  </si>
  <si>
    <t>PS5-60-TG-0006A</t>
  </si>
  <si>
    <t>T-00075-0266</t>
  </si>
  <si>
    <t>PS5-60-TG-0006C</t>
  </si>
  <si>
    <t>T-00075-0270</t>
  </si>
  <si>
    <t>PS5-60-TG-0006B</t>
  </si>
  <si>
    <t>T-00075-0271</t>
  </si>
  <si>
    <t>PS5-60-TG-0005B</t>
  </si>
  <si>
    <t>T-00075-0272</t>
  </si>
  <si>
    <t>PS5-60-TG-0007B</t>
  </si>
  <si>
    <t>T-00075-0273</t>
  </si>
  <si>
    <t>PS5-60-TG-0008B</t>
  </si>
  <si>
    <t>T-00077-0238</t>
  </si>
  <si>
    <t>PS5-71-XV-0091</t>
  </si>
  <si>
    <t>CJX23 - Actuated on/off valve - Pneumatic/Hydraulic type</t>
  </si>
  <si>
    <t>On / Off Valve</t>
  </si>
  <si>
    <t>Actuated on/off Valve-Pneumatic/Hydraulic Type</t>
  </si>
  <si>
    <t>TM-00077</t>
  </si>
  <si>
    <t>T-00077-0254</t>
  </si>
  <si>
    <t>PS5-71-XV-0092</t>
  </si>
  <si>
    <t>T-00077-0256</t>
  </si>
  <si>
    <t>PS5-71-SDV-0001</t>
  </si>
  <si>
    <t>Shutdown Valve</t>
  </si>
  <si>
    <t>T-00078-0140</t>
  </si>
  <si>
    <t>PS5-71-MOV-0007</t>
  </si>
  <si>
    <t>CJX24 - Actuated on/off valve - Electrical type</t>
  </si>
  <si>
    <t>Motor Operated Valve</t>
  </si>
  <si>
    <t>TZ-MID-68-WPR2-135138</t>
  </si>
  <si>
    <t>Actuated on/off Valve</t>
  </si>
  <si>
    <t>TM-00078</t>
  </si>
  <si>
    <t>T-00078-0143</t>
  </si>
  <si>
    <t>PS5-71-MOV-0010</t>
  </si>
  <si>
    <t>T-00078-0144</t>
  </si>
  <si>
    <t>PS5-71-MOV-0003</t>
  </si>
  <si>
    <t>T-00078-0147</t>
  </si>
  <si>
    <t>PS5-71-MOV-0004</t>
  </si>
  <si>
    <t>T-00078-0149</t>
  </si>
  <si>
    <t>PS5-71-MOV-0001</t>
  </si>
  <si>
    <t>T-00078-0151</t>
  </si>
  <si>
    <t>PS5-71-MOV-0002</t>
  </si>
  <si>
    <t>T-00078-0152</t>
  </si>
  <si>
    <t>PS5-71-MOV-0008</t>
  </si>
  <si>
    <t>T-00078-0153</t>
  </si>
  <si>
    <t>PS5-71-MOV-0009</t>
  </si>
  <si>
    <t>T-00079-0069</t>
  </si>
  <si>
    <t>CJX27 - Control valve - Pneumatic / Hydraulic type</t>
  </si>
  <si>
    <t>Control Valve-Pneumatic/Hydraulic Type</t>
  </si>
  <si>
    <t>TM-00079</t>
  </si>
  <si>
    <t>T-00082-0460</t>
  </si>
  <si>
    <t>PS5-01-BI-1117</t>
  </si>
  <si>
    <t>CJX31 - Junction &amp; marshalling box</t>
  </si>
  <si>
    <t>Junction Box</t>
  </si>
  <si>
    <t>PS5-91-01 - Multicore cables &amp; JB</t>
  </si>
  <si>
    <t>PS5-91-01</t>
  </si>
  <si>
    <t>Junction and Marshalling Box</t>
  </si>
  <si>
    <t>TM-00082</t>
  </si>
  <si>
    <t>Gawad, Mohamed</t>
  </si>
  <si>
    <t>T-00082-0461</t>
  </si>
  <si>
    <t>PS5-01-BI-1118</t>
  </si>
  <si>
    <t>T-00082-0463</t>
  </si>
  <si>
    <t>PS5-01-BI-1515</t>
  </si>
  <si>
    <t>T-00082-0466</t>
  </si>
  <si>
    <t>PS5-01-BI-2110</t>
  </si>
  <si>
    <t>T-00082-0484</t>
  </si>
  <si>
    <t>PS5-03-BI-2503</t>
  </si>
  <si>
    <t>T-00082-0487</t>
  </si>
  <si>
    <t>PS5-03-BI-2506</t>
  </si>
  <si>
    <t>T-00082-0490</t>
  </si>
  <si>
    <t>PS5-03-BI-2509</t>
  </si>
  <si>
    <t>T-00082-0494</t>
  </si>
  <si>
    <t>PS5-03-BI-2514</t>
  </si>
  <si>
    <t>T-00082-0495</t>
  </si>
  <si>
    <t>PS5-03-BI-2515</t>
  </si>
  <si>
    <t>T-00082-0500</t>
  </si>
  <si>
    <t>PS5-25-BI-1101</t>
  </si>
  <si>
    <t>T-00082-0501</t>
  </si>
  <si>
    <t>PS5-25-BI-1102</t>
  </si>
  <si>
    <t>T-00082-0502</t>
  </si>
  <si>
    <t>PS5-25-BI-1103</t>
  </si>
  <si>
    <t>T-00082-0503</t>
  </si>
  <si>
    <t>PS5-25-BI-1104</t>
  </si>
  <si>
    <t>T-00082-0504</t>
  </si>
  <si>
    <t>PS5-25-BI-1115</t>
  </si>
  <si>
    <t>T-00082-0508</t>
  </si>
  <si>
    <t>PS5-25-BI-1201</t>
  </si>
  <si>
    <t>T-00082-0512</t>
  </si>
  <si>
    <t>PS5-25-BI-1301</t>
  </si>
  <si>
    <t>T-00082-0513</t>
  </si>
  <si>
    <t>PS5-25-BI-1302</t>
  </si>
  <si>
    <t>T-00082-0514</t>
  </si>
  <si>
    <t>PS5-25-BI-1310</t>
  </si>
  <si>
    <t>T-00082-0517</t>
  </si>
  <si>
    <t>PS5-25-BI-2103</t>
  </si>
  <si>
    <t>T-00082-0518</t>
  </si>
  <si>
    <t>PS5-25-BI-2104</t>
  </si>
  <si>
    <t>T-00082-0519</t>
  </si>
  <si>
    <t>PS5-25-BI-2105</t>
  </si>
  <si>
    <t>T-00082-0520</t>
  </si>
  <si>
    <t>PS5-25-BI-2106</t>
  </si>
  <si>
    <t>T-00082-0521</t>
  </si>
  <si>
    <t>PS5-25-BI-2108</t>
  </si>
  <si>
    <t>T-00082-0522</t>
  </si>
  <si>
    <t>PS5-25-BI-2109</t>
  </si>
  <si>
    <t>T-00082-0523</t>
  </si>
  <si>
    <t>PS5-25-BI-2201</t>
  </si>
  <si>
    <t>T-00082-0524</t>
  </si>
  <si>
    <t>PS5-25-BI-2203</t>
  </si>
  <si>
    <t>T-00082-0526</t>
  </si>
  <si>
    <t>PS5-25-BI-2301</t>
  </si>
  <si>
    <t>T-00082-0527</t>
  </si>
  <si>
    <t>PS5-25-BI-2302</t>
  </si>
  <si>
    <t>T-00082-0528</t>
  </si>
  <si>
    <t>PS5-25-BI-2305</t>
  </si>
  <si>
    <t>T-00082-0529</t>
  </si>
  <si>
    <t>PS5-25-BI-2308</t>
  </si>
  <si>
    <t>T-00082-0530</t>
  </si>
  <si>
    <t>PS5-25-BI-2309</t>
  </si>
  <si>
    <t>T-00082-0531</t>
  </si>
  <si>
    <t>PS5-25-BI-2312</t>
  </si>
  <si>
    <t>Anwar, Zeeshan</t>
  </si>
  <si>
    <t>T-00082-0532</t>
  </si>
  <si>
    <t>PS5-25-BI-2315</t>
  </si>
  <si>
    <t>T-00082-0533</t>
  </si>
  <si>
    <t>PS5-25-BI-2316</t>
  </si>
  <si>
    <t>T-00082-0534</t>
  </si>
  <si>
    <t>PS5-28-BI-1105</t>
  </si>
  <si>
    <t>T-00082-0537</t>
  </si>
  <si>
    <t>PS5-28-BI-1303</t>
  </si>
  <si>
    <t>T-00082-0538</t>
  </si>
  <si>
    <t>PS5-28-BI-1307</t>
  </si>
  <si>
    <t>T-00082-0540</t>
  </si>
  <si>
    <t>PS5-50-BI-1107</t>
  </si>
  <si>
    <t>T-00082-0541</t>
  </si>
  <si>
    <t>PS5-53-BI-1108</t>
  </si>
  <si>
    <t>T-00082-0543</t>
  </si>
  <si>
    <t>PS5-71-BI-1109</t>
  </si>
  <si>
    <t>T-00082-0544</t>
  </si>
  <si>
    <t>PS5-71-BI-1110</t>
  </si>
  <si>
    <t>T-00082-0545</t>
  </si>
  <si>
    <t>PS5-71-BI-1111</t>
  </si>
  <si>
    <t>T-00082-0547</t>
  </si>
  <si>
    <t>PS5-71-BI-1113</t>
  </si>
  <si>
    <t>T-00082-0548</t>
  </si>
  <si>
    <t>PS5-71-BI-1116</t>
  </si>
  <si>
    <t>T-00082-0549</t>
  </si>
  <si>
    <t>PS5-71-BI-1117</t>
  </si>
  <si>
    <t>T-00082-0550</t>
  </si>
  <si>
    <t>PS5-71-BI-1305</t>
  </si>
  <si>
    <t>T-00082-0551</t>
  </si>
  <si>
    <t>PS5-71-BI-1306</t>
  </si>
  <si>
    <t>T-00082-0553</t>
  </si>
  <si>
    <t>PS5-71-BI-2101</t>
  </si>
  <si>
    <t>T-00082-0554</t>
  </si>
  <si>
    <t>PS5-71-BI-2107</t>
  </si>
  <si>
    <t>T-00082-0555</t>
  </si>
  <si>
    <t>PS5-71-BI-2113</t>
  </si>
  <si>
    <t>T-00082-0556</t>
  </si>
  <si>
    <t>PS5-71-BI-2114</t>
  </si>
  <si>
    <t>T-00082-0557</t>
  </si>
  <si>
    <t>PS5-71-BI-2115</t>
  </si>
  <si>
    <t>T-00082-0558</t>
  </si>
  <si>
    <t>PS5-71-BI-2116</t>
  </si>
  <si>
    <t>T-00082-0559</t>
  </si>
  <si>
    <t>PS5-71-BI-2118</t>
  </si>
  <si>
    <t>T-00082-0560</t>
  </si>
  <si>
    <t>PS5-71-BI-2119</t>
  </si>
  <si>
    <t>T-00082-0561</t>
  </si>
  <si>
    <t>PS5-71-BI-2120</t>
  </si>
  <si>
    <t>T-00082-0562</t>
  </si>
  <si>
    <t>PS5-71-BI-2121</t>
  </si>
  <si>
    <t>T-00082-0563</t>
  </si>
  <si>
    <t>PS5-71-BI-2122</t>
  </si>
  <si>
    <t>T-00082-0564</t>
  </si>
  <si>
    <t>PS5-71-BI-2123</t>
  </si>
  <si>
    <t>T-00082-0565</t>
  </si>
  <si>
    <t>PS5-71-BI-2124</t>
  </si>
  <si>
    <t>T-00082-0566</t>
  </si>
  <si>
    <t>PS5-71-BI-2125</t>
  </si>
  <si>
    <t>T-00082-0567</t>
  </si>
  <si>
    <t>PS5-71-BI-2306</t>
  </si>
  <si>
    <t>T-00082-0569</t>
  </si>
  <si>
    <t>PS5-71-BI-2310</t>
  </si>
  <si>
    <t>T-00082-0571</t>
  </si>
  <si>
    <t>PS5-71-BI-2314</t>
  </si>
  <si>
    <t>T-00083-0865</t>
  </si>
  <si>
    <t>PS5-03-RDOS-1401</t>
  </si>
  <si>
    <t>CJX42 - Gas / smoke detector</t>
  </si>
  <si>
    <t>SMOKE DETECTOR</t>
  </si>
  <si>
    <t>Gas/Smoke Detector</t>
  </si>
  <si>
    <t>TM-00083</t>
  </si>
  <si>
    <t>T-00083-0866</t>
  </si>
  <si>
    <t>PS5-03-RDOS-1402</t>
  </si>
  <si>
    <t>T-00083-0867</t>
  </si>
  <si>
    <t>PS5-03-RDOS-1403</t>
  </si>
  <si>
    <t>T-00083-0868</t>
  </si>
  <si>
    <t>PS5-03-RDOS-1404</t>
  </si>
  <si>
    <t>T-00083-0869</t>
  </si>
  <si>
    <t>PS5-03-RDOS-1405</t>
  </si>
  <si>
    <t>T-00083-0870</t>
  </si>
  <si>
    <t>PS5-03-RDOS-1406</t>
  </si>
  <si>
    <t>T-00083-0871</t>
  </si>
  <si>
    <t>PS5-03-RDOS-1407</t>
  </si>
  <si>
    <t>T-00083-0872</t>
  </si>
  <si>
    <t>PS5-03-RDOS-1408</t>
  </si>
  <si>
    <t>T-00087-0103</t>
  </si>
  <si>
    <t>PS5-03-SEA-0003</t>
  </si>
  <si>
    <t>CJX48 - Indoor cabinet / panel</t>
  </si>
  <si>
    <t>FIRE ALARM CONTROL PANEL</t>
  </si>
  <si>
    <t>TZ-MID-68-WPR2-121133</t>
  </si>
  <si>
    <t>Indoor Cabinet/Panel</t>
  </si>
  <si>
    <t>TM-00087</t>
  </si>
  <si>
    <t>T-00087-0105</t>
  </si>
  <si>
    <t>PS5-60-SEA-0001</t>
  </si>
  <si>
    <t>GAS DETECTION PANEL</t>
  </si>
  <si>
    <t>T-00087-0500</t>
  </si>
  <si>
    <t>PS5-60-LA-0002A</t>
  </si>
  <si>
    <t>VTMS VIBRATION AND TEMPERATURE MONITORING SYSTEM</t>
  </si>
  <si>
    <t>T-00087-0501</t>
  </si>
  <si>
    <t>PS5-60-LA-0002B</t>
  </si>
  <si>
    <t>T-00087-0528</t>
  </si>
  <si>
    <t>PS5-60-LA-0003</t>
  </si>
  <si>
    <t>Remote Access Panel</t>
  </si>
  <si>
    <t>T-00090-0179</t>
  </si>
  <si>
    <t>CZX01I - Package</t>
  </si>
  <si>
    <t>TM-00090</t>
  </si>
  <si>
    <t>T-00090-0180</t>
  </si>
  <si>
    <t>T-00090-0181</t>
  </si>
  <si>
    <t>T-00090-0182</t>
  </si>
  <si>
    <t>T-00090-0188</t>
  </si>
  <si>
    <t>T-00090-0189</t>
  </si>
  <si>
    <t>T-00090-0190</t>
  </si>
  <si>
    <t>T-00090-0191</t>
  </si>
  <si>
    <t>T-00090-0192</t>
  </si>
  <si>
    <t>T-00090-0196</t>
  </si>
  <si>
    <t>T-00090-0197</t>
  </si>
  <si>
    <t>T-00090-0198</t>
  </si>
  <si>
    <t>T-00090-0199</t>
  </si>
  <si>
    <t>T-00090-0202</t>
  </si>
  <si>
    <t>T-00090-0203</t>
  </si>
  <si>
    <t>T-00090-0204</t>
  </si>
  <si>
    <t>T-00090-0205</t>
  </si>
  <si>
    <t>T-00090-0209</t>
  </si>
  <si>
    <t>T-00090-0210</t>
  </si>
  <si>
    <t>T-00090-0211</t>
  </si>
  <si>
    <t>T-00090-0215</t>
  </si>
  <si>
    <t>T-00090-0216</t>
  </si>
  <si>
    <t>T-00090-0217</t>
  </si>
  <si>
    <t>T-00090-0218</t>
  </si>
  <si>
    <t>T-00090-0219</t>
  </si>
  <si>
    <t>T-00090-0220</t>
  </si>
  <si>
    <t>T-00090-0224</t>
  </si>
  <si>
    <t>T-00090-0225</t>
  </si>
  <si>
    <t>T-00090-0226</t>
  </si>
  <si>
    <t>T-00090-0227</t>
  </si>
  <si>
    <t>T-00090-0231</t>
  </si>
  <si>
    <t>T-00090-0232</t>
  </si>
  <si>
    <t>T-00090-0233</t>
  </si>
  <si>
    <t>T-00090-0234</t>
  </si>
  <si>
    <t>T-00090-0235</t>
  </si>
  <si>
    <t>T-00090-0236</t>
  </si>
  <si>
    <t>T-00090-0243</t>
  </si>
  <si>
    <t>T-00090-0244</t>
  </si>
  <si>
    <t>T-00090-0245</t>
  </si>
  <si>
    <t>T-00090-0246</t>
  </si>
  <si>
    <t>T-00090-0250</t>
  </si>
  <si>
    <t>T-00090-0251</t>
  </si>
  <si>
    <t>T-00090-0252</t>
  </si>
  <si>
    <t>T-00090-0253</t>
  </si>
  <si>
    <t>T-00090-0257</t>
  </si>
  <si>
    <t>T-00090-0258</t>
  </si>
  <si>
    <t>T-00090-0259</t>
  </si>
  <si>
    <t>T-00090-0260</t>
  </si>
  <si>
    <t>T-00090-0264</t>
  </si>
  <si>
    <t>T-00090-0265</t>
  </si>
  <si>
    <t>T-00090-0266</t>
  </si>
  <si>
    <t>T-00090-0267</t>
  </si>
  <si>
    <t>T-00090-0271</t>
  </si>
  <si>
    <t>T-00090-0272</t>
  </si>
  <si>
    <t>T-00090-0273</t>
  </si>
  <si>
    <t>T-00090-0274</t>
  </si>
  <si>
    <t>T-00090-0275</t>
  </si>
  <si>
    <t>T-00090-0280</t>
  </si>
  <si>
    <t>T-00090-0281</t>
  </si>
  <si>
    <t>T-00090-0282</t>
  </si>
  <si>
    <t>T-00090-0283</t>
  </si>
  <si>
    <t>T-00090-0288</t>
  </si>
  <si>
    <t>T-00090-0289</t>
  </si>
  <si>
    <t>T-00090-0436</t>
  </si>
  <si>
    <t>T-00090-0437</t>
  </si>
  <si>
    <t>T-00090-0438</t>
  </si>
  <si>
    <t>T-00090-0439</t>
  </si>
  <si>
    <t>T-00171-4342</t>
  </si>
  <si>
    <t>PS5-60-IE-0003B-CA02</t>
  </si>
  <si>
    <t>CIX09 - Telecom cable power / Control / Multicore</t>
  </si>
  <si>
    <t>T</t>
  </si>
  <si>
    <t>T - Telecom</t>
  </si>
  <si>
    <t>Cable FROM PS5-60-IE-0003A TO PS5-60-IE-0003B</t>
  </si>
  <si>
    <t>Telecom Cable Power/Control/Multicore</t>
  </si>
  <si>
    <t>TM-00171</t>
  </si>
  <si>
    <t>T-00171-4343</t>
  </si>
  <si>
    <t>PS5-60-IE-0003B-CA03</t>
  </si>
  <si>
    <t>T-00171-4344</t>
  </si>
  <si>
    <t>PS5-60-IE-0003B-CA04</t>
  </si>
  <si>
    <t>T-00171-4345</t>
  </si>
  <si>
    <t>PS5-60-IE-0003B-CA05</t>
  </si>
  <si>
    <t>T-00171-4346</t>
  </si>
  <si>
    <t>PS5-60-IE-0003C-CA02</t>
  </si>
  <si>
    <t>Cable FROM PS5-60-IE-0003B TO PS5-60-IE-0003C</t>
  </si>
  <si>
    <t>T-00171-4347</t>
  </si>
  <si>
    <t>PS5-60-IE-0003C-CA03</t>
  </si>
  <si>
    <t>T-00171-4348</t>
  </si>
  <si>
    <t>PS5-60-IE-0003C-CA04</t>
  </si>
  <si>
    <t>T-00171-4349</t>
  </si>
  <si>
    <t>PS5-60-IE-0003C-CA05</t>
  </si>
  <si>
    <t>T-00171-4350</t>
  </si>
  <si>
    <t>PS5-60-IE-0003D-CA02</t>
  </si>
  <si>
    <t>Cable FROM PS5-60-IE-0003C TO PS5-60-IE-0003D</t>
  </si>
  <si>
    <t>T-00171-4351</t>
  </si>
  <si>
    <t>PS5-60-IE-0003D-CA03</t>
  </si>
  <si>
    <t>T-00171-4352</t>
  </si>
  <si>
    <t>PS5-60-IE-0003D-CA04</t>
  </si>
  <si>
    <t>T-00171-4353</t>
  </si>
  <si>
    <t>PS5-60-IE-0003D-CA05</t>
  </si>
  <si>
    <t>T-00171-4365</t>
  </si>
  <si>
    <t>PS5-60-IE-0004-CA01</t>
  </si>
  <si>
    <t>T-00171-4366</t>
  </si>
  <si>
    <t>PS5-60-IE-0004-CA07</t>
  </si>
  <si>
    <t>T-00171-4367</t>
  </si>
  <si>
    <t>PS5-60-IE-0004-CA08</t>
  </si>
  <si>
    <t>T-00171-4368</t>
  </si>
  <si>
    <t>PS5-60-IE-0004-CA14</t>
  </si>
  <si>
    <t>T-00171-4369</t>
  </si>
  <si>
    <t>PS5-60-IE-0004-CA15</t>
  </si>
  <si>
    <t>T-00171-4370</t>
  </si>
  <si>
    <t>PS5-60-IE-0004-CA21</t>
  </si>
  <si>
    <t>T-00171-4371</t>
  </si>
  <si>
    <t>PS5-60-IH-0001A-CA01</t>
  </si>
  <si>
    <t>Cable FROM PS5-60-IE-0003G TO PS5-60-IH-0001A</t>
  </si>
  <si>
    <t>T-00171-4372</t>
  </si>
  <si>
    <t>PS5-60-IH-0001B-CA01</t>
  </si>
  <si>
    <t>Cable FROM PS5-60-IE-0001B TO PS5-60-IH-0001B</t>
  </si>
  <si>
    <t>T-00171-4373</t>
  </si>
  <si>
    <t>PS5-60-IH-0001C-CA01</t>
  </si>
  <si>
    <t>Cable FROM PS5-60-IE-0001C TO PS5-60-IH-0001C</t>
  </si>
  <si>
    <t>T-00171-4374</t>
  </si>
  <si>
    <t>PS5-60-IH-0001D-CA01</t>
  </si>
  <si>
    <t>Cable FROM PS5-60-IE-0001D TO PS5-60-IH-0001D</t>
  </si>
  <si>
    <t>T-00171-4378</t>
  </si>
  <si>
    <t>PS5-60-IN-0001A-CA01</t>
  </si>
  <si>
    <t>T-00171-4379</t>
  </si>
  <si>
    <t>PS5-60-IN-0001B-CA01</t>
  </si>
  <si>
    <t>T-00171-4380</t>
  </si>
  <si>
    <t>PS5-60-IN-0001C-CA01</t>
  </si>
  <si>
    <t>T-00171-4381</t>
  </si>
  <si>
    <t>PS5-60-IN-0001D-CA01</t>
  </si>
  <si>
    <t>T-00171-4385</t>
  </si>
  <si>
    <t>PS5-60-IN-0002A-CA01</t>
  </si>
  <si>
    <t>T-00171-4386</t>
  </si>
  <si>
    <t>PS5-60-IN-0002B-CA01</t>
  </si>
  <si>
    <t>T-00171-4387</t>
  </si>
  <si>
    <t>PS5-60-IN-0002C-CA01</t>
  </si>
  <si>
    <t>T-00171-4388</t>
  </si>
  <si>
    <t>PS5-60-IN-0002D-CA01</t>
  </si>
  <si>
    <t>T-00171-4392</t>
  </si>
  <si>
    <t>PS5-60-LA-0002B-CA01</t>
  </si>
  <si>
    <t>Cable FROM PS5-60-IE-0004 TO PS5-60-LA-0002B</t>
  </si>
  <si>
    <t>T-00171-4393</t>
  </si>
  <si>
    <t>PS5-60-LA-0002B-CA02</t>
  </si>
  <si>
    <t>Cable FROM PS5-60-LA-0002A TO PS5-60-LA-0002B</t>
  </si>
  <si>
    <t>T-00171-4394</t>
  </si>
  <si>
    <t>PS5-60-LA-0002B-CA03</t>
  </si>
  <si>
    <t>T-00171-4395</t>
  </si>
  <si>
    <t>PS5-60-LA-0002B-CA04</t>
  </si>
  <si>
    <t>T-00171-4396</t>
  </si>
  <si>
    <t>PS5-60-LA-0002B-CA05</t>
  </si>
  <si>
    <t>Cable FROM PS5-60-LA-0002C TO PS5-60-LA-0002B</t>
  </si>
  <si>
    <t>T-00171-4397</t>
  </si>
  <si>
    <t>PS5-60-LA-0002B-CA06</t>
  </si>
  <si>
    <t>T-00171-4404</t>
  </si>
  <si>
    <t>PS5-60-SEA-0001-CA01</t>
  </si>
  <si>
    <t>T-00171-4408</t>
  </si>
  <si>
    <t>PS5-71-IN-0003-CA01</t>
  </si>
  <si>
    <t>T-00171-4409</t>
  </si>
  <si>
    <t>PS5-71-IN-0004A-CA01</t>
  </si>
  <si>
    <t>T-00171-4410</t>
  </si>
  <si>
    <t>PS5-71-IN-0004B-CA01</t>
  </si>
  <si>
    <t>Smart Form PLACEHOLDER (DO NOT DELETE)</t>
  </si>
  <si>
    <t>T-00227-0133</t>
  </si>
  <si>
    <t>TPX02 - Power transformer</t>
  </si>
  <si>
    <t>Static Test</t>
  </si>
  <si>
    <t>24</t>
  </si>
  <si>
    <t>TM-00227</t>
  </si>
  <si>
    <t>T-00227-0134</t>
  </si>
  <si>
    <t>T-00227-0135</t>
  </si>
  <si>
    <t>T-00227-0136</t>
  </si>
  <si>
    <t>T-00232-0970</t>
  </si>
  <si>
    <t>TPX08 - HV power cable</t>
  </si>
  <si>
    <t>2</t>
  </si>
  <si>
    <t>TM-00232</t>
  </si>
  <si>
    <t>T-00232-0971</t>
  </si>
  <si>
    <t>T-00232-0972</t>
  </si>
  <si>
    <t>T-00232-0973</t>
  </si>
  <si>
    <t>T-00232-1013</t>
  </si>
  <si>
    <t>T-00232-1014</t>
  </si>
  <si>
    <t>T-00232-1015</t>
  </si>
  <si>
    <t>T-00232-1016</t>
  </si>
  <si>
    <t>T-00232-1017</t>
  </si>
  <si>
    <t>T-00232-1018</t>
  </si>
  <si>
    <t>T-00232-1019</t>
  </si>
  <si>
    <t>T-00232-1020</t>
  </si>
  <si>
    <t>T-00232-1021</t>
  </si>
  <si>
    <t>T-00232-1022</t>
  </si>
  <si>
    <t>T-00232-1023</t>
  </si>
  <si>
    <t>T-00232-1024</t>
  </si>
  <si>
    <t>T-00232-1046</t>
  </si>
  <si>
    <t>T-00232-1047</t>
  </si>
  <si>
    <t>T-00232-1048</t>
  </si>
  <si>
    <t>T-00232-1049</t>
  </si>
  <si>
    <t>T-00232-1050</t>
  </si>
  <si>
    <t>T-00232-1051</t>
  </si>
  <si>
    <t>T-00232-1052</t>
  </si>
  <si>
    <t>T-00232-1053</t>
  </si>
  <si>
    <t>T-00232-1054</t>
  </si>
  <si>
    <t>T-00232-1055</t>
  </si>
  <si>
    <t>T-00232-1056</t>
  </si>
  <si>
    <t>T-00232-1057</t>
  </si>
  <si>
    <t>T-00233-10536</t>
  </si>
  <si>
    <t>TPX09 - LV power cable</t>
  </si>
  <si>
    <t>TM-00233</t>
  </si>
  <si>
    <t>T-00233-10537</t>
  </si>
  <si>
    <t>T-00233-10538</t>
  </si>
  <si>
    <t>T-00233-10539</t>
  </si>
  <si>
    <t>T-00233-10593</t>
  </si>
  <si>
    <t>T-00233-10594</t>
  </si>
  <si>
    <t>T-00233-10595</t>
  </si>
  <si>
    <t>T-00233-10596</t>
  </si>
  <si>
    <t>T-00233-10600</t>
  </si>
  <si>
    <t>T-00233-10601</t>
  </si>
  <si>
    <t>T-00233-10890</t>
  </si>
  <si>
    <t>T-00233-10891</t>
  </si>
  <si>
    <t>T-00233-10892</t>
  </si>
  <si>
    <t>T-00233-10893</t>
  </si>
  <si>
    <t>T-00233-10894</t>
  </si>
  <si>
    <t>T-00233-10895</t>
  </si>
  <si>
    <t>T-00233-10896</t>
  </si>
  <si>
    <t>T-00233-10897</t>
  </si>
  <si>
    <t>T-00233-10904</t>
  </si>
  <si>
    <t>T-00233-10905</t>
  </si>
  <si>
    <t>T-00233-11253</t>
  </si>
  <si>
    <t>T-00233-11254</t>
  </si>
  <si>
    <t>T-00233-11255</t>
  </si>
  <si>
    <t>T-00233-11256</t>
  </si>
  <si>
    <t>T-00233-11257</t>
  </si>
  <si>
    <t>T-00233-11258</t>
  </si>
  <si>
    <t>T-00233-11259</t>
  </si>
  <si>
    <t>T-00233-11260</t>
  </si>
  <si>
    <t>T-00233-11261</t>
  </si>
  <si>
    <t>T-00233-11262</t>
  </si>
  <si>
    <t>T-00233-11263</t>
  </si>
  <si>
    <t>T-00233-11264</t>
  </si>
  <si>
    <t>T-00233-11265</t>
  </si>
  <si>
    <t>T-00233-11266</t>
  </si>
  <si>
    <t>T-00233-11267</t>
  </si>
  <si>
    <t>T-00233-11268</t>
  </si>
  <si>
    <t>T-00233-11269</t>
  </si>
  <si>
    <t>T-00233-11270</t>
  </si>
  <si>
    <t>T-00233-11271</t>
  </si>
  <si>
    <t>T-00233-11272</t>
  </si>
  <si>
    <t>T-00233-11273</t>
  </si>
  <si>
    <t>T-00233-11274</t>
  </si>
  <si>
    <t>T-00233-11275</t>
  </si>
  <si>
    <t>T-00233-11276</t>
  </si>
  <si>
    <t>T-00233-4725</t>
  </si>
  <si>
    <t>T-00233-4978</t>
  </si>
  <si>
    <t>T-00233-4979</t>
  </si>
  <si>
    <t>T-00233-4981</t>
  </si>
  <si>
    <t>T-00233-4982</t>
  </si>
  <si>
    <t>T-00233-4983</t>
  </si>
  <si>
    <t>T-00233-4984</t>
  </si>
  <si>
    <t>T-00233-4986</t>
  </si>
  <si>
    <t>T-00233-4987</t>
  </si>
  <si>
    <t>T-00233-4988</t>
  </si>
  <si>
    <t>T-00233-4989</t>
  </si>
  <si>
    <t>T-00233-4990</t>
  </si>
  <si>
    <t>T-00233-4994</t>
  </si>
  <si>
    <t>T-00233-4995</t>
  </si>
  <si>
    <t>T-00233-4996</t>
  </si>
  <si>
    <t>T-00233-4997</t>
  </si>
  <si>
    <t>T-00233-5001</t>
  </si>
  <si>
    <t>T-00233-5002</t>
  </si>
  <si>
    <t>T-00233-5003</t>
  </si>
  <si>
    <t>T-00233-5004</t>
  </si>
  <si>
    <t>T-00233-5008</t>
  </si>
  <si>
    <t>T-00233-5009</t>
  </si>
  <si>
    <t>T-00233-5010</t>
  </si>
  <si>
    <t>T-00233-5011</t>
  </si>
  <si>
    <t>T-00233-5012</t>
  </si>
  <si>
    <t>T-00233-5013</t>
  </si>
  <si>
    <t>T-00233-5014</t>
  </si>
  <si>
    <t>T-00233-5015</t>
  </si>
  <si>
    <t>T-00233-5016</t>
  </si>
  <si>
    <t>T-00233-5017</t>
  </si>
  <si>
    <t>T-00233-5018</t>
  </si>
  <si>
    <t>T-00233-5019</t>
  </si>
  <si>
    <t>T-00233-5020</t>
  </si>
  <si>
    <t>T-00233-5021</t>
  </si>
  <si>
    <t>T-00233-5022</t>
  </si>
  <si>
    <t>T-00233-5023</t>
  </si>
  <si>
    <t>T-00233-5024</t>
  </si>
  <si>
    <t>T-00233-5025</t>
  </si>
  <si>
    <t>T-00233-5026</t>
  </si>
  <si>
    <t>T-00233-5027</t>
  </si>
  <si>
    <t>T-00233-5028</t>
  </si>
  <si>
    <t>T-00233-5029</t>
  </si>
  <si>
    <t>T-00233-5030</t>
  </si>
  <si>
    <t>T-00233-5031</t>
  </si>
  <si>
    <t>T-00233-5032</t>
  </si>
  <si>
    <t>T-00233-5033</t>
  </si>
  <si>
    <t>T-00233-5034</t>
  </si>
  <si>
    <t>T-00233-5035</t>
  </si>
  <si>
    <t>T-00233-5036</t>
  </si>
  <si>
    <t>T-00233-5037</t>
  </si>
  <si>
    <t>T-00233-5038</t>
  </si>
  <si>
    <t>T-00233-5039</t>
  </si>
  <si>
    <t>T-00233-5040</t>
  </si>
  <si>
    <t>T-00233-5041</t>
  </si>
  <si>
    <t>T-00233-5042</t>
  </si>
  <si>
    <t>T-00233-5043</t>
  </si>
  <si>
    <t>T-00233-5044</t>
  </si>
  <si>
    <t>T-00233-5045</t>
  </si>
  <si>
    <t>T-00233-5046</t>
  </si>
  <si>
    <t>T-00233-5047</t>
  </si>
  <si>
    <t>T-00233-5048</t>
  </si>
  <si>
    <t>T-00233-5049</t>
  </si>
  <si>
    <t>T-00233-5050</t>
  </si>
  <si>
    <t>T-00233-5051</t>
  </si>
  <si>
    <t>T-00233-5052</t>
  </si>
  <si>
    <t>T-00233-5053</t>
  </si>
  <si>
    <t>T-00233-5054</t>
  </si>
  <si>
    <t>T-00233-5055</t>
  </si>
  <si>
    <t>T-00233-5092</t>
  </si>
  <si>
    <t>T-00233-5093</t>
  </si>
  <si>
    <t>T-00233-5094</t>
  </si>
  <si>
    <t>T-00233-5095</t>
  </si>
  <si>
    <t>T-00233-5096</t>
  </si>
  <si>
    <t>T-00233-5097</t>
  </si>
  <si>
    <t>T-00233-5098</t>
  </si>
  <si>
    <t>T-00233-5099</t>
  </si>
  <si>
    <t>T-00233-5100</t>
  </si>
  <si>
    <t>T-00233-5101</t>
  </si>
  <si>
    <t>T-00233-5108</t>
  </si>
  <si>
    <t>T-00233-5109</t>
  </si>
  <si>
    <t>T-00233-5110</t>
  </si>
  <si>
    <t>T-00233-5111</t>
  </si>
  <si>
    <t>T-00233-5115</t>
  </si>
  <si>
    <t>T-00233-5116</t>
  </si>
  <si>
    <t>T-00233-5117</t>
  </si>
  <si>
    <t>T-00233-5118</t>
  </si>
  <si>
    <t>T-00233-5119</t>
  </si>
  <si>
    <t>T-00233-5120</t>
  </si>
  <si>
    <t>T-00233-5121</t>
  </si>
  <si>
    <t>T-00233-5122</t>
  </si>
  <si>
    <t>T-00233-5129</t>
  </si>
  <si>
    <t>T-00233-5130</t>
  </si>
  <si>
    <t>T-00233-5131</t>
  </si>
  <si>
    <t>T-00233-5132</t>
  </si>
  <si>
    <t>T-00233-5136</t>
  </si>
  <si>
    <t>T-00233-5137</t>
  </si>
  <si>
    <t>T-00233-5138</t>
  </si>
  <si>
    <t>T-00233-5139</t>
  </si>
  <si>
    <t>T-00233-5140</t>
  </si>
  <si>
    <t>T-00233-5141</t>
  </si>
  <si>
    <t>T-00233-5142</t>
  </si>
  <si>
    <t>T-00233-5143</t>
  </si>
  <si>
    <t>T-00233-5144</t>
  </si>
  <si>
    <t>T-00233-5145</t>
  </si>
  <si>
    <t>T-00233-5146</t>
  </si>
  <si>
    <t>T-00233-5147</t>
  </si>
  <si>
    <t>T-00233-5157</t>
  </si>
  <si>
    <t>T-00233-5159</t>
  </si>
  <si>
    <t>T-00233-5166</t>
  </si>
  <si>
    <t>T-00233-5167</t>
  </si>
  <si>
    <t>T-00233-5168</t>
  </si>
  <si>
    <t>T-00233-5169</t>
  </si>
  <si>
    <t>T-00233-5170</t>
  </si>
  <si>
    <t>T-00233-5171</t>
  </si>
  <si>
    <t>T-00233-5172</t>
  </si>
  <si>
    <t>T-00233-5173</t>
  </si>
  <si>
    <t>T-00233-5174</t>
  </si>
  <si>
    <t>T-00233-5175</t>
  </si>
  <si>
    <t>T-00233-5176</t>
  </si>
  <si>
    <t>T-00233-5177</t>
  </si>
  <si>
    <t>T-00233-5187</t>
  </si>
  <si>
    <t>T-00233-5188</t>
  </si>
  <si>
    <t>T-00233-5189</t>
  </si>
  <si>
    <t>T-00233-5190</t>
  </si>
  <si>
    <t>T-00233-5191</t>
  </si>
  <si>
    <t>T-00233-5192</t>
  </si>
  <si>
    <t>T-00233-5193</t>
  </si>
  <si>
    <t>T-00233-5194</t>
  </si>
  <si>
    <t>T-00233-5201</t>
  </si>
  <si>
    <t>T-00233-5202</t>
  </si>
  <si>
    <t>T-00233-5204</t>
  </si>
  <si>
    <t>T-00233-5205</t>
  </si>
  <si>
    <t>T-00233-5206</t>
  </si>
  <si>
    <t>T-00233-5207</t>
  </si>
  <si>
    <t>T-00233-5208</t>
  </si>
  <si>
    <t>T-00233-5209</t>
  </si>
  <si>
    <t>T-00233-5211</t>
  </si>
  <si>
    <t>T-00233-5212</t>
  </si>
  <si>
    <t>T-00233-5213</t>
  </si>
  <si>
    <t>T-00233-5214</t>
  </si>
  <si>
    <t>T-00233-5215</t>
  </si>
  <si>
    <t>T-00233-5216</t>
  </si>
  <si>
    <t>T-00233-5218</t>
  </si>
  <si>
    <t>T-00233-5219</t>
  </si>
  <si>
    <t>T-00233-5220</t>
  </si>
  <si>
    <t>T-00233-5221</t>
  </si>
  <si>
    <t>T-00233-5222</t>
  </si>
  <si>
    <t>T-00233-5223</t>
  </si>
  <si>
    <t>T-00233-5225</t>
  </si>
  <si>
    <t>T-00233-5226</t>
  </si>
  <si>
    <t>T-00233-5227</t>
  </si>
  <si>
    <t>T-00233-5228</t>
  </si>
  <si>
    <t>T-00233-5229</t>
  </si>
  <si>
    <t>T-00233-5230</t>
  </si>
  <si>
    <t>T-00233-5254</t>
  </si>
  <si>
    <t>T-00233-5255</t>
  </si>
  <si>
    <t>T-00233-5256</t>
  </si>
  <si>
    <t>T-00233-5257</t>
  </si>
  <si>
    <t>T-00233-5258</t>
  </si>
  <si>
    <t>T-00233-5259</t>
  </si>
  <si>
    <t>T-00233-5260</t>
  </si>
  <si>
    <t>T-00233-5261</t>
  </si>
  <si>
    <t>T-00233-5262</t>
  </si>
  <si>
    <t>T-00233-5263</t>
  </si>
  <si>
    <t>T-00233-5264</t>
  </si>
  <si>
    <t>T-00233-5265</t>
  </si>
  <si>
    <t>T-00233-5266</t>
  </si>
  <si>
    <t>T-00233-5267</t>
  </si>
  <si>
    <t>T-00233-5271</t>
  </si>
  <si>
    <t>T-00233-5272</t>
  </si>
  <si>
    <t>T-00233-5273</t>
  </si>
  <si>
    <t>T-00233-5274</t>
  </si>
  <si>
    <t>T-00233-5275</t>
  </si>
  <si>
    <t>T-00233-5276</t>
  </si>
  <si>
    <t>T-00233-5277</t>
  </si>
  <si>
    <t>T-00233-5278</t>
  </si>
  <si>
    <t>T-00233-5279</t>
  </si>
  <si>
    <t>T-00233-5280</t>
  </si>
  <si>
    <t>T-00233-5281</t>
  </si>
  <si>
    <t>T-00233-5282</t>
  </si>
  <si>
    <t>T-00233-5292</t>
  </si>
  <si>
    <t>T-00233-5293</t>
  </si>
  <si>
    <t>T-00233-5294</t>
  </si>
  <si>
    <t>T-00233-5295</t>
  </si>
  <si>
    <t>T-00233-5296</t>
  </si>
  <si>
    <t>T-00233-5297</t>
  </si>
  <si>
    <t>T-00233-5298</t>
  </si>
  <si>
    <t>T-00233-5299</t>
  </si>
  <si>
    <t>T-00233-5300</t>
  </si>
  <si>
    <t>T-00233-5301</t>
  </si>
  <si>
    <t>T-00233-5304</t>
  </si>
  <si>
    <t>T-00233-5305</t>
  </si>
  <si>
    <t>T-00233-5310</t>
  </si>
  <si>
    <t>T-00233-5311</t>
  </si>
  <si>
    <t>T-00233-5312</t>
  </si>
  <si>
    <t>T-00233-5313</t>
  </si>
  <si>
    <t>T-00233-5314</t>
  </si>
  <si>
    <t>T-00233-5315</t>
  </si>
  <si>
    <t>T-00233-5319</t>
  </si>
  <si>
    <t>T-00233-5320</t>
  </si>
  <si>
    <t>T-00233-5321</t>
  </si>
  <si>
    <t>T-00233-5322</t>
  </si>
  <si>
    <t>T-00233-5562</t>
  </si>
  <si>
    <t>T-00233-5584</t>
  </si>
  <si>
    <t>T-00233-5585</t>
  </si>
  <si>
    <t>T-00233-5586</t>
  </si>
  <si>
    <t>T-00233-5587</t>
  </si>
  <si>
    <t>T-00233-5588</t>
  </si>
  <si>
    <t>T-00233-5589</t>
  </si>
  <si>
    <t>T-00233-5590</t>
  </si>
  <si>
    <t>T-00233-5591</t>
  </si>
  <si>
    <t>T-00233-5592</t>
  </si>
  <si>
    <t>T-00233-5594</t>
  </si>
  <si>
    <t>T-00233-5595</t>
  </si>
  <si>
    <t>T-00233-5596</t>
  </si>
  <si>
    <t>T-00233-5597</t>
  </si>
  <si>
    <t>T-00233-5599</t>
  </si>
  <si>
    <t>T-00233-5601</t>
  </si>
  <si>
    <t>T-00233-5602</t>
  </si>
  <si>
    <t>T-00233-5609</t>
  </si>
  <si>
    <t>T-00233-5610</t>
  </si>
  <si>
    <t>T-00233-9131</t>
  </si>
  <si>
    <t>T-00233-9132</t>
  </si>
  <si>
    <t>T-00233-9133</t>
  </si>
  <si>
    <t>T-00233-9134</t>
  </si>
  <si>
    <t>T-00233-9138</t>
  </si>
  <si>
    <t>T-00233-9139</t>
  </si>
  <si>
    <t>T-00233-9140</t>
  </si>
  <si>
    <t>T-00233-9141</t>
  </si>
  <si>
    <t>T-00233-9145</t>
  </si>
  <si>
    <t>T-00233-9146</t>
  </si>
  <si>
    <t>T-00233-9147</t>
  </si>
  <si>
    <t>T-00233-9148</t>
  </si>
  <si>
    <t>T-00233-9152</t>
  </si>
  <si>
    <t>T-00233-9153</t>
  </si>
  <si>
    <t>T-00233-9154</t>
  </si>
  <si>
    <t>T-00233-9155</t>
  </si>
  <si>
    <t>T-00233-9156</t>
  </si>
  <si>
    <t>T-00233-9157</t>
  </si>
  <si>
    <t>T-00233-9158</t>
  </si>
  <si>
    <t>T-00233-9159</t>
  </si>
  <si>
    <t>T-00233-9160</t>
  </si>
  <si>
    <t>T-00233-9161</t>
  </si>
  <si>
    <t>T-00233-9162</t>
  </si>
  <si>
    <t>T-00233-9163</t>
  </si>
  <si>
    <t>T-00233-9164</t>
  </si>
  <si>
    <t>T-00233-9165</t>
  </si>
  <si>
    <t>T-00233-9166</t>
  </si>
  <si>
    <t>T-00233-9167</t>
  </si>
  <si>
    <t>T-00233-9168</t>
  </si>
  <si>
    <t>T-00233-9169</t>
  </si>
  <si>
    <t>T-00233-9170</t>
  </si>
  <si>
    <t>T-00233-9171</t>
  </si>
  <si>
    <t>T-00233-9172</t>
  </si>
  <si>
    <t>T-00233-9173</t>
  </si>
  <si>
    <t>T-00233-9174</t>
  </si>
  <si>
    <t>T-00233-9175</t>
  </si>
  <si>
    <t>T-00233-9176</t>
  </si>
  <si>
    <t>T-00233-9177</t>
  </si>
  <si>
    <t>T-00233-9178</t>
  </si>
  <si>
    <t>T-00233-9179</t>
  </si>
  <si>
    <t>T-00233-9180</t>
  </si>
  <si>
    <t>T-00233-9181</t>
  </si>
  <si>
    <t>T-00233-9182</t>
  </si>
  <si>
    <t>T-00233-9183</t>
  </si>
  <si>
    <t>T-00233-9184</t>
  </si>
  <si>
    <t>T-00233-9185</t>
  </si>
  <si>
    <t>T-00233-9186</t>
  </si>
  <si>
    <t>T-00233-9187</t>
  </si>
  <si>
    <t>T-00233-9188</t>
  </si>
  <si>
    <t>T-00233-9189</t>
  </si>
  <si>
    <t>T-00233-9190</t>
  </si>
  <si>
    <t>T-00233-9191</t>
  </si>
  <si>
    <t>T-00233-9192</t>
  </si>
  <si>
    <t>T-00233-9193</t>
  </si>
  <si>
    <t>T-00233-9194</t>
  </si>
  <si>
    <t>T-00233-9195</t>
  </si>
  <si>
    <t>T-00233-9229</t>
  </si>
  <si>
    <t>T-00233-9230</t>
  </si>
  <si>
    <t>T-00233-9231</t>
  </si>
  <si>
    <t>T-00233-9232</t>
  </si>
  <si>
    <t>T-00233-9236</t>
  </si>
  <si>
    <t>T-00233-9237</t>
  </si>
  <si>
    <t>T-00233-9238</t>
  </si>
  <si>
    <t>T-00233-9239</t>
  </si>
  <si>
    <t>T-00233-9244</t>
  </si>
  <si>
    <t>T-00233-9245</t>
  </si>
  <si>
    <t>T-00233-9246</t>
  </si>
  <si>
    <t>T-00233-9247</t>
  </si>
  <si>
    <t>T-00233-9248</t>
  </si>
  <si>
    <t>T-00233-9249</t>
  </si>
  <si>
    <t>T-00233-9250</t>
  </si>
  <si>
    <t>T-00233-9251</t>
  </si>
  <si>
    <t>T-00233-9252</t>
  </si>
  <si>
    <t>T-00233-9253</t>
  </si>
  <si>
    <t>T-00233-9254</t>
  </si>
  <si>
    <t>T-00233-9255</t>
  </si>
  <si>
    <t>T-00234-2101</t>
  </si>
  <si>
    <t>TPX10 - Multicore electrical control cable</t>
  </si>
  <si>
    <t>TM-00234</t>
  </si>
  <si>
    <t>T-00234-2102</t>
  </si>
  <si>
    <t>T-00234-2103</t>
  </si>
  <si>
    <t>T-00234-2104</t>
  </si>
  <si>
    <t>T-00234-2105</t>
  </si>
  <si>
    <t>T-00234-2106</t>
  </si>
  <si>
    <t>T-00234-2107</t>
  </si>
  <si>
    <t>T-00234-2108</t>
  </si>
  <si>
    <t>T-00234-2109</t>
  </si>
  <si>
    <t>T-00234-2110</t>
  </si>
  <si>
    <t>T-00234-2111</t>
  </si>
  <si>
    <t>T-00234-2112</t>
  </si>
  <si>
    <t>T-00234-2123</t>
  </si>
  <si>
    <t>T-00234-2124</t>
  </si>
  <si>
    <t>T-00234-2125</t>
  </si>
  <si>
    <t>T-00234-2126</t>
  </si>
  <si>
    <t>T-00234-2135</t>
  </si>
  <si>
    <t>T-00234-2136</t>
  </si>
  <si>
    <t>T-00234-2138</t>
  </si>
  <si>
    <t>T-00234-2139</t>
  </si>
  <si>
    <t>T-00234-2140</t>
  </si>
  <si>
    <t>T-00234-2141</t>
  </si>
  <si>
    <t>T-00234-2150</t>
  </si>
  <si>
    <t>T-00234-2151</t>
  </si>
  <si>
    <t>T-00234-2153</t>
  </si>
  <si>
    <t>T-00234-2154</t>
  </si>
  <si>
    <t>T-00234-2155</t>
  </si>
  <si>
    <t>T-00234-2156</t>
  </si>
  <si>
    <t>T-00234-2165</t>
  </si>
  <si>
    <t>T-00234-2166</t>
  </si>
  <si>
    <t>T-00234-2168</t>
  </si>
  <si>
    <t>T-00234-2169</t>
  </si>
  <si>
    <t>T-00234-2170</t>
  </si>
  <si>
    <t>T-00234-2171</t>
  </si>
  <si>
    <t>T-00234-2180</t>
  </si>
  <si>
    <t>T-00234-2181</t>
  </si>
  <si>
    <t>T-00236-0178</t>
  </si>
  <si>
    <t>TPX13 - Motor LV</t>
  </si>
  <si>
    <t>TM-00236</t>
  </si>
  <si>
    <t>T-00236-0179</t>
  </si>
  <si>
    <t>T-00238-0457</t>
  </si>
  <si>
    <t>TPX15 - Distribution board/console/control panel</t>
  </si>
  <si>
    <t>Distribution Board/Console/Control Panel</t>
  </si>
  <si>
    <t>TM-00238</t>
  </si>
  <si>
    <t>T-00238-0458</t>
  </si>
  <si>
    <t>T-00238-0459</t>
  </si>
  <si>
    <t>T-00238-0460</t>
  </si>
  <si>
    <t>T-00238-0464</t>
  </si>
  <si>
    <t>T-00238-0465</t>
  </si>
  <si>
    <t>T-00238-0466</t>
  </si>
  <si>
    <t>T-00238-0467</t>
  </si>
  <si>
    <t>T-00238-0468</t>
  </si>
  <si>
    <t>T-00238-0472</t>
  </si>
  <si>
    <t>T-00238-0473</t>
  </si>
  <si>
    <t>T-00238-0474</t>
  </si>
  <si>
    <t>T-00238-0475</t>
  </si>
  <si>
    <t>T-00238-0476</t>
  </si>
  <si>
    <t>T-00238-0552</t>
  </si>
  <si>
    <t>T-00238-0553</t>
  </si>
  <si>
    <t>T-00238-0554</t>
  </si>
  <si>
    <t>T-00238-0555</t>
  </si>
  <si>
    <t>T-00238-0566</t>
  </si>
  <si>
    <t>T-00238-0567</t>
  </si>
  <si>
    <t>T-00238-0568</t>
  </si>
  <si>
    <t>T-00243-0059</t>
  </si>
  <si>
    <t>TPX21 - Neutral earthing resistor</t>
  </si>
  <si>
    <t>TM-00243</t>
  </si>
  <si>
    <t>T-00243-0060</t>
  </si>
  <si>
    <t>T-00243-0061</t>
  </si>
  <si>
    <t>T-00243-0062</t>
  </si>
  <si>
    <t>TPX26 - Earthing system</t>
  </si>
  <si>
    <t>TM-00247</t>
  </si>
  <si>
    <t>T-00247-0146</t>
  </si>
  <si>
    <t>T-00247-0147</t>
  </si>
  <si>
    <t>T-00247-0148</t>
  </si>
  <si>
    <t>T-00247-0160</t>
  </si>
  <si>
    <t>T-00254-12960</t>
  </si>
  <si>
    <t>TJX10 - Multi/Single-core instrument control cable</t>
  </si>
  <si>
    <t>TM-00254</t>
  </si>
  <si>
    <t>T-00254-12961</t>
  </si>
  <si>
    <t>T-00254-12962</t>
  </si>
  <si>
    <t>T-00254-12963</t>
  </si>
  <si>
    <t>T-00254-12967</t>
  </si>
  <si>
    <t>T-00254-12968</t>
  </si>
  <si>
    <t>T-00254-12969</t>
  </si>
  <si>
    <t>T-00254-12970</t>
  </si>
  <si>
    <t>T-00254-12971</t>
  </si>
  <si>
    <t>T-00254-12972</t>
  </si>
  <si>
    <t>T-00254-12973</t>
  </si>
  <si>
    <t>T-00254-12974</t>
  </si>
  <si>
    <t>T-00254-12975</t>
  </si>
  <si>
    <t>T-00254-12976</t>
  </si>
  <si>
    <t>T-00254-12977</t>
  </si>
  <si>
    <t>T-00254-12978</t>
  </si>
  <si>
    <t>T-00254-12979</t>
  </si>
  <si>
    <t>T-00254-12989</t>
  </si>
  <si>
    <t>T-00254-12990</t>
  </si>
  <si>
    <t>T-00254-12991</t>
  </si>
  <si>
    <t>T-00254-12992</t>
  </si>
  <si>
    <t>T-00254-12993</t>
  </si>
  <si>
    <t>T-00254-12994</t>
  </si>
  <si>
    <t>T-00254-12995</t>
  </si>
  <si>
    <t>T-00254-12996</t>
  </si>
  <si>
    <t>T-00254-13003</t>
  </si>
  <si>
    <t>T-00254-13004</t>
  </si>
  <si>
    <t>T-00254-13005</t>
  </si>
  <si>
    <t>T-00254-13006</t>
  </si>
  <si>
    <t>T-00254-13007</t>
  </si>
  <si>
    <t>T-00254-13008</t>
  </si>
  <si>
    <t>T-00254-13009</t>
  </si>
  <si>
    <t>T-00254-13010</t>
  </si>
  <si>
    <t>T-00254-13014</t>
  </si>
  <si>
    <t>T-00254-13015</t>
  </si>
  <si>
    <t>T-00254-13016</t>
  </si>
  <si>
    <t>T-00254-13017</t>
  </si>
  <si>
    <t>T-00254-13021</t>
  </si>
  <si>
    <t>T-00254-4499</t>
  </si>
  <si>
    <t>T-00254-4500</t>
  </si>
  <si>
    <t>T-00254-4501</t>
  </si>
  <si>
    <t>T-00254-4502</t>
  </si>
  <si>
    <t>T-00254-4503</t>
  </si>
  <si>
    <t>T-00254-4504</t>
  </si>
  <si>
    <t>T-00254-4505</t>
  </si>
  <si>
    <t>T-00254-4506</t>
  </si>
  <si>
    <t>T-00254-4552</t>
  </si>
  <si>
    <t>T-00254-4553</t>
  </si>
  <si>
    <t>T-00254-4900</t>
  </si>
  <si>
    <t>T-00254-4901</t>
  </si>
  <si>
    <t>T-00254-4902</t>
  </si>
  <si>
    <t>T-00254-4903</t>
  </si>
  <si>
    <t>T-00254-4904</t>
  </si>
  <si>
    <t>T-00254-4905</t>
  </si>
  <si>
    <t>T-00254-4909</t>
  </si>
  <si>
    <t>T-00254-4910</t>
  </si>
  <si>
    <t>T-00254-4911</t>
  </si>
  <si>
    <t>T-00254-4912</t>
  </si>
  <si>
    <t>T-00254-4913</t>
  </si>
  <si>
    <t>T-00254-4914</t>
  </si>
  <si>
    <t>T-00254-4915</t>
  </si>
  <si>
    <t>T-00254-4916</t>
  </si>
  <si>
    <t>T-00254-4923</t>
  </si>
  <si>
    <t>T-00254-4924</t>
  </si>
  <si>
    <t>T-00254-4925</t>
  </si>
  <si>
    <t>T-00254-4926</t>
  </si>
  <si>
    <t>T-00254-4927</t>
  </si>
  <si>
    <t>T-00254-4928</t>
  </si>
  <si>
    <t>T-00254-4929</t>
  </si>
  <si>
    <t>T-00254-4930</t>
  </si>
  <si>
    <t>T-00254-4931</t>
  </si>
  <si>
    <t>T-00254-4932</t>
  </si>
  <si>
    <t>T-00254-4936</t>
  </si>
  <si>
    <t>T-00254-4937</t>
  </si>
  <si>
    <t>T-00254-4938</t>
  </si>
  <si>
    <t>T-00254-4939</t>
  </si>
  <si>
    <t>T-00254-4940</t>
  </si>
  <si>
    <t>T-00254-4941</t>
  </si>
  <si>
    <t>T-00254-4942</t>
  </si>
  <si>
    <t>T-00254-4943</t>
  </si>
  <si>
    <t>T-00254-4950</t>
  </si>
  <si>
    <t>T-00254-4951</t>
  </si>
  <si>
    <t>T-00254-4952</t>
  </si>
  <si>
    <t>T-00254-4953</t>
  </si>
  <si>
    <t>T-00254-4954</t>
  </si>
  <si>
    <t>T-00254-4955</t>
  </si>
  <si>
    <t>T-00254-4956</t>
  </si>
  <si>
    <t>T-00254-4957</t>
  </si>
  <si>
    <t>T-00254-4958</t>
  </si>
  <si>
    <t>T-00254-4959</t>
  </si>
  <si>
    <t>T-00254-4960</t>
  </si>
  <si>
    <t>T-00254-4961</t>
  </si>
  <si>
    <t>T-00254-4962</t>
  </si>
  <si>
    <t>T-00254-4963</t>
  </si>
  <si>
    <t>T-00254-4964</t>
  </si>
  <si>
    <t>T-00254-4965</t>
  </si>
  <si>
    <t>T-00254-4966</t>
  </si>
  <si>
    <t>T-00254-4967</t>
  </si>
  <si>
    <t>T-00254-4968</t>
  </si>
  <si>
    <t>T-00254-4969</t>
  </si>
  <si>
    <t>T-00254-4970</t>
  </si>
  <si>
    <t>T-00254-4971</t>
  </si>
  <si>
    <t>T-00254-4972</t>
  </si>
  <si>
    <t>T-00254-4973</t>
  </si>
  <si>
    <t>T-00254-4992</t>
  </si>
  <si>
    <t>T-00254-4993</t>
  </si>
  <si>
    <t>T-00254-4994</t>
  </si>
  <si>
    <t>T-00254-4995</t>
  </si>
  <si>
    <t>T-00254-4996</t>
  </si>
  <si>
    <t>T-00254-4997</t>
  </si>
  <si>
    <t>T-00254-4998</t>
  </si>
  <si>
    <t>T-00254-4999</t>
  </si>
  <si>
    <t>T-00254-5000</t>
  </si>
  <si>
    <t>T-00254-5001</t>
  </si>
  <si>
    <t>T-00254-5002</t>
  </si>
  <si>
    <t>T-00254-5003</t>
  </si>
  <si>
    <t>T-00254-5004</t>
  </si>
  <si>
    <t>T-00254-5005</t>
  </si>
  <si>
    <t>T-00254-5006</t>
  </si>
  <si>
    <t>T-00254-5007</t>
  </si>
  <si>
    <t>T-00254-5020</t>
  </si>
  <si>
    <t>T-00254-5021</t>
  </si>
  <si>
    <t>T-00254-5022</t>
  </si>
  <si>
    <t>T-00254-5023</t>
  </si>
  <si>
    <t>T-00254-5024</t>
  </si>
  <si>
    <t>T-00254-5025</t>
  </si>
  <si>
    <t>T-00254-5026</t>
  </si>
  <si>
    <t>T-00254-5027</t>
  </si>
  <si>
    <t>T-00254-5028</t>
  </si>
  <si>
    <t>T-00254-5029</t>
  </si>
  <si>
    <t>T-00254-5030</t>
  </si>
  <si>
    <t>T-00254-5031</t>
  </si>
  <si>
    <t>T-00254-5032</t>
  </si>
  <si>
    <t>T-00254-5033</t>
  </si>
  <si>
    <t>T-00254-5034</t>
  </si>
  <si>
    <t>T-00254-5035</t>
  </si>
  <si>
    <t>T-00254-5048</t>
  </si>
  <si>
    <t>T-00254-5049</t>
  </si>
  <si>
    <t>T-00254-5050</t>
  </si>
  <si>
    <t>T-00254-5051</t>
  </si>
  <si>
    <t>T-00254-5055</t>
  </si>
  <si>
    <t>T-00254-5056</t>
  </si>
  <si>
    <t>T-00254-5057</t>
  </si>
  <si>
    <t>T-00254-5058</t>
  </si>
  <si>
    <t>T-00254-5059</t>
  </si>
  <si>
    <t>T-00254-5060</t>
  </si>
  <si>
    <t>T-00254-5061</t>
  </si>
  <si>
    <t>T-00254-5062</t>
  </si>
  <si>
    <t>T-00254-5069</t>
  </si>
  <si>
    <t>T-00254-5070</t>
  </si>
  <si>
    <t>T-00254-5071</t>
  </si>
  <si>
    <t>T-00254-5075</t>
  </si>
  <si>
    <t>T-00254-5076</t>
  </si>
  <si>
    <t>T-00254-5077</t>
  </si>
  <si>
    <t>T-00254-5078</t>
  </si>
  <si>
    <t>T-00254-5079</t>
  </si>
  <si>
    <t>T-00254-5080</t>
  </si>
  <si>
    <t>T-00254-5081</t>
  </si>
  <si>
    <t>T-00254-5082</t>
  </si>
  <si>
    <t>T-00254-5083</t>
  </si>
  <si>
    <t>T-00254-5084</t>
  </si>
  <si>
    <t>T-00254-5085</t>
  </si>
  <si>
    <t>T-00254-5086</t>
  </si>
  <si>
    <t>T-00254-5087</t>
  </si>
  <si>
    <t>T-00254-5088</t>
  </si>
  <si>
    <t>T-00254-5093</t>
  </si>
  <si>
    <t>T-00254-5094</t>
  </si>
  <si>
    <t>T-00254-5095</t>
  </si>
  <si>
    <t>T-00254-5096</t>
  </si>
  <si>
    <t>T-00254-5097</t>
  </si>
  <si>
    <t>T-00254-5098</t>
  </si>
  <si>
    <t>T-00254-5099</t>
  </si>
  <si>
    <t>T-00254-5100</t>
  </si>
  <si>
    <t>T-00254-5101</t>
  </si>
  <si>
    <t>T-00254-5102</t>
  </si>
  <si>
    <t>T-00254-5103</t>
  </si>
  <si>
    <t>T-00254-5104</t>
  </si>
  <si>
    <t>T-00254-5105</t>
  </si>
  <si>
    <t>T-00254-5106</t>
  </si>
  <si>
    <t>T-00254-5107</t>
  </si>
  <si>
    <t>T-00254-5108</t>
  </si>
  <si>
    <t>T-00254-5113</t>
  </si>
  <si>
    <t>T-00254-5114</t>
  </si>
  <si>
    <t>T-00254-5115</t>
  </si>
  <si>
    <t>T-00254-5116</t>
  </si>
  <si>
    <t>T-00254-5117</t>
  </si>
  <si>
    <t>T-00254-5118</t>
  </si>
  <si>
    <t>T-00254-5119</t>
  </si>
  <si>
    <t>T-00254-5120</t>
  </si>
  <si>
    <t>T-00254-5121</t>
  </si>
  <si>
    <t>T-00254-5122</t>
  </si>
  <si>
    <t>T-00254-5123</t>
  </si>
  <si>
    <t>T-00254-5124</t>
  </si>
  <si>
    <t>T-00254-5125</t>
  </si>
  <si>
    <t>T-00254-5126</t>
  </si>
  <si>
    <t>T-00254-5127</t>
  </si>
  <si>
    <t>T-00254-5128</t>
  </si>
  <si>
    <t>T-00254-5133</t>
  </si>
  <si>
    <t>T-00254-5134</t>
  </si>
  <si>
    <t>T-00254-5135</t>
  </si>
  <si>
    <t>T-00254-5136</t>
  </si>
  <si>
    <t>T-00254-5137</t>
  </si>
  <si>
    <t>T-00254-5138</t>
  </si>
  <si>
    <t>T-00254-5139</t>
  </si>
  <si>
    <t>T-00254-5140</t>
  </si>
  <si>
    <t>T-00254-5141</t>
  </si>
  <si>
    <t>T-00254-5142</t>
  </si>
  <si>
    <t>T-00254-5143</t>
  </si>
  <si>
    <t>T-00254-5144</t>
  </si>
  <si>
    <t>T-00254-5145</t>
  </si>
  <si>
    <t>T-00254-5146</t>
  </si>
  <si>
    <t>T-00254-5147</t>
  </si>
  <si>
    <t>T-00254-5148</t>
  </si>
  <si>
    <t>T-00254-5153</t>
  </si>
  <si>
    <t>T-00254-5154</t>
  </si>
  <si>
    <t>T-00254-5215</t>
  </si>
  <si>
    <t>T-00254-5216</t>
  </si>
  <si>
    <t>T-00254-5217</t>
  </si>
  <si>
    <t>T-00254-5218</t>
  </si>
  <si>
    <t>T-00254-5219</t>
  </si>
  <si>
    <t>T-00254-5220</t>
  </si>
  <si>
    <t>T-00254-5221</t>
  </si>
  <si>
    <t>T-00254-5225</t>
  </si>
  <si>
    <t>T-00254-5226</t>
  </si>
  <si>
    <t>T-00254-5227</t>
  </si>
  <si>
    <t>T-00254-5228</t>
  </si>
  <si>
    <t>T-00254-5229</t>
  </si>
  <si>
    <t>T-00254-5230</t>
  </si>
  <si>
    <t>T-00254-5231</t>
  </si>
  <si>
    <t>T-00254-5232</t>
  </si>
  <si>
    <t>T-00254-5233</t>
  </si>
  <si>
    <t>T-00254-5234</t>
  </si>
  <si>
    <t>T-00254-5235</t>
  </si>
  <si>
    <t>T-00254-5236</t>
  </si>
  <si>
    <t>T-00254-5237</t>
  </si>
  <si>
    <t>T-00254-5238</t>
  </si>
  <si>
    <t>T-00254-5239</t>
  </si>
  <si>
    <t>T-00254-5240</t>
  </si>
  <si>
    <t>T-00254-5253</t>
  </si>
  <si>
    <t>T-00254-5254</t>
  </si>
  <si>
    <t>T-00254-5255</t>
  </si>
  <si>
    <t>T-00254-5256</t>
  </si>
  <si>
    <t>T-00254-5257</t>
  </si>
  <si>
    <t>T-00254-5258</t>
  </si>
  <si>
    <t>T-00254-5259</t>
  </si>
  <si>
    <t>T-00254-5260</t>
  </si>
  <si>
    <t>T-00254-5261</t>
  </si>
  <si>
    <t>T-00254-5262</t>
  </si>
  <si>
    <t>T-00254-5263</t>
  </si>
  <si>
    <t>T-00254-5264</t>
  </si>
  <si>
    <t>T-00254-5265</t>
  </si>
  <si>
    <t>T-00254-5266</t>
  </si>
  <si>
    <t>T-00254-5267</t>
  </si>
  <si>
    <t>T-00254-5268</t>
  </si>
  <si>
    <t>T-00254-5269</t>
  </si>
  <si>
    <t>T-00254-5270</t>
  </si>
  <si>
    <t>T-00254-5271</t>
  </si>
  <si>
    <t>T-00254-5272</t>
  </si>
  <si>
    <t>T-00254-5273</t>
  </si>
  <si>
    <t>T-00254-5274</t>
  </si>
  <si>
    <t>T-00254-5275</t>
  </si>
  <si>
    <t>T-00254-5276</t>
  </si>
  <si>
    <t>T-00254-5295</t>
  </si>
  <si>
    <t>T-00254-5296</t>
  </si>
  <si>
    <t>T-00254-5297</t>
  </si>
  <si>
    <t>T-00254-5298</t>
  </si>
  <si>
    <t>T-00254-5299</t>
  </si>
  <si>
    <t>T-00254-5300</t>
  </si>
  <si>
    <t>T-00254-5301</t>
  </si>
  <si>
    <t>T-00254-5302</t>
  </si>
  <si>
    <t>T-00254-5303</t>
  </si>
  <si>
    <t>T-00254-5304</t>
  </si>
  <si>
    <t>T-00254-5305</t>
  </si>
  <si>
    <t>T-00254-5306</t>
  </si>
  <si>
    <t>T-00254-5307</t>
  </si>
  <si>
    <t>T-00254-5308</t>
  </si>
  <si>
    <t>T-00254-5309</t>
  </si>
  <si>
    <t>T-00254-5310</t>
  </si>
  <si>
    <t>T-00254-5317</t>
  </si>
  <si>
    <t>T-00254-5328</t>
  </si>
  <si>
    <t>T-00254-5329</t>
  </si>
  <si>
    <t>T-00254-5330</t>
  </si>
  <si>
    <t>T-00254-5331</t>
  </si>
  <si>
    <t>T-00254-5332</t>
  </si>
  <si>
    <t>T-00254-5333</t>
  </si>
  <si>
    <t>T-00254-5334</t>
  </si>
  <si>
    <t>T-00254-5335</t>
  </si>
  <si>
    <t>T-00254-5336</t>
  </si>
  <si>
    <t>T-00254-5337</t>
  </si>
  <si>
    <t>T-00254-5338</t>
  </si>
  <si>
    <t>T-00254-5339</t>
  </si>
  <si>
    <t>T-00254-5340</t>
  </si>
  <si>
    <t>T-00254-5341</t>
  </si>
  <si>
    <t>T-00254-5342</t>
  </si>
  <si>
    <t>T-00254-5351</t>
  </si>
  <si>
    <t>T-00254-5352</t>
  </si>
  <si>
    <t>T-00254-5353</t>
  </si>
  <si>
    <t>T-00254-5354</t>
  </si>
  <si>
    <t>T-00254-5358</t>
  </si>
  <si>
    <t>T-00254-5359</t>
  </si>
  <si>
    <t>T-00254-5360</t>
  </si>
  <si>
    <t>T-00254-5361</t>
  </si>
  <si>
    <t>T-00254-5362</t>
  </si>
  <si>
    <t>T-00254-5363</t>
  </si>
  <si>
    <t>T-00254-5364</t>
  </si>
  <si>
    <t>T-00254-5365</t>
  </si>
  <si>
    <t>T-00254-5366</t>
  </si>
  <si>
    <t>T-00254-5367</t>
  </si>
  <si>
    <t>T-00254-5368</t>
  </si>
  <si>
    <t>T-00254-5369</t>
  </si>
  <si>
    <t>T-00254-5388</t>
  </si>
  <si>
    <t>T-00254-5389</t>
  </si>
  <si>
    <t>T-00254-5390</t>
  </si>
  <si>
    <t>T-00254-5391</t>
  </si>
  <si>
    <t>T-00254-5393</t>
  </si>
  <si>
    <t>T-00254-5394</t>
  </si>
  <si>
    <t>T-00254-5395</t>
  </si>
  <si>
    <t>T-00254-5396</t>
  </si>
  <si>
    <t>T-00254-5397</t>
  </si>
  <si>
    <t>T-00254-5398</t>
  </si>
  <si>
    <t>T-00254-5399</t>
  </si>
  <si>
    <t>T-00254-5400</t>
  </si>
  <si>
    <t>T-00254-5401</t>
  </si>
  <si>
    <t>T-00254-5402</t>
  </si>
  <si>
    <t>T-00254-5403</t>
  </si>
  <si>
    <t>T-00254-5404</t>
  </si>
  <si>
    <t>T-00254-5405</t>
  </si>
  <si>
    <t>T-00254-5406</t>
  </si>
  <si>
    <t>T-00254-5407</t>
  </si>
  <si>
    <t>T-00254-5408</t>
  </si>
  <si>
    <t>T-00254-5409</t>
  </si>
  <si>
    <t>T-00254-5410</t>
  </si>
  <si>
    <t>T-00254-5411</t>
  </si>
  <si>
    <t>T-00254-5412</t>
  </si>
  <si>
    <t>T-00254-5413</t>
  </si>
  <si>
    <t>T-00254-5414</t>
  </si>
  <si>
    <t>T-00254-5415</t>
  </si>
  <si>
    <t>T-00254-5416</t>
  </si>
  <si>
    <t>T-00254-5417</t>
  </si>
  <si>
    <t>T-00254-5418</t>
  </si>
  <si>
    <t>T-00254-5419</t>
  </si>
  <si>
    <t>T-00254-5420</t>
  </si>
  <si>
    <t>T-00254-5454</t>
  </si>
  <si>
    <t>T-00254-5461</t>
  </si>
  <si>
    <t>T-00254-5464</t>
  </si>
  <si>
    <t>T-00254-5467</t>
  </si>
  <si>
    <t>T-00254-5486</t>
  </si>
  <si>
    <t>T-00254-5487</t>
  </si>
  <si>
    <t>T-00254-5488</t>
  </si>
  <si>
    <t>T-00254-5489</t>
  </si>
  <si>
    <t>T-00254-5493</t>
  </si>
  <si>
    <t>T-00254-5494</t>
  </si>
  <si>
    <t>T-00254-5495</t>
  </si>
  <si>
    <t>T-00254-5496</t>
  </si>
  <si>
    <t>T-00254-5497</t>
  </si>
  <si>
    <t>T-00254-5498</t>
  </si>
  <si>
    <t>T-00254-5499</t>
  </si>
  <si>
    <t>T-00254-5502</t>
  </si>
  <si>
    <t>T-00254-5504</t>
  </si>
  <si>
    <t>T-00254-5505</t>
  </si>
  <si>
    <t>T-00254-5506</t>
  </si>
  <si>
    <t>T-00254-5507</t>
  </si>
  <si>
    <t>T-00254-5508</t>
  </si>
  <si>
    <t>T-00254-5509</t>
  </si>
  <si>
    <t>T-00254-5510</t>
  </si>
  <si>
    <t>T-00254-5511</t>
  </si>
  <si>
    <t>T-00254-5514</t>
  </si>
  <si>
    <t>T-00254-5518</t>
  </si>
  <si>
    <t>T-00254-5519</t>
  </si>
  <si>
    <t>T-00254-5528</t>
  </si>
  <si>
    <t>T-00254-5529</t>
  </si>
  <si>
    <t>T-00254-5530</t>
  </si>
  <si>
    <t>T-00254-5531</t>
  </si>
  <si>
    <t>T-00254-5532</t>
  </si>
  <si>
    <t>T-00254-5533</t>
  </si>
  <si>
    <t>T-00254-5534</t>
  </si>
  <si>
    <t>T-00254-5535</t>
  </si>
  <si>
    <t>T-00254-5536</t>
  </si>
  <si>
    <t>T-00254-5537</t>
  </si>
  <si>
    <t>T-00254-5538</t>
  </si>
  <si>
    <t>T-00254-5539</t>
  </si>
  <si>
    <t>T-00254-5540</t>
  </si>
  <si>
    <t>T-00254-5541</t>
  </si>
  <si>
    <t>T-00254-5542</t>
  </si>
  <si>
    <t>T-00254-5543</t>
  </si>
  <si>
    <t>T-00254-5547</t>
  </si>
  <si>
    <t>T-00254-5550</t>
  </si>
  <si>
    <t>T-00254-5557</t>
  </si>
  <si>
    <t>T-00254-5558</t>
  </si>
  <si>
    <t>T-00254-5570</t>
  </si>
  <si>
    <t>T-00254-5571</t>
  </si>
  <si>
    <t>T-00254-5578</t>
  </si>
  <si>
    <t>T-00254-5582</t>
  </si>
  <si>
    <t>T-00254-5604</t>
  </si>
  <si>
    <t>T-00254-5605</t>
  </si>
  <si>
    <t>T-00254-5606</t>
  </si>
  <si>
    <t>T-00254-5607</t>
  </si>
  <si>
    <t>T-00254-5610</t>
  </si>
  <si>
    <t>T-00254-5611</t>
  </si>
  <si>
    <t>T-00254-5614</t>
  </si>
  <si>
    <t>T-00254-5615</t>
  </si>
  <si>
    <t>T-00254-9420</t>
  </si>
  <si>
    <t>T-00256-0027</t>
  </si>
  <si>
    <t>TJX12 - Optical fiber cable</t>
  </si>
  <si>
    <t>TM-00256</t>
  </si>
  <si>
    <t>T-00256-0028</t>
  </si>
  <si>
    <t>T-00256-0029</t>
  </si>
  <si>
    <t>T-00256-0090</t>
  </si>
  <si>
    <t>T-00257-0169</t>
  </si>
  <si>
    <t>TJX13 - Thermowell</t>
  </si>
  <si>
    <t>TM-00257</t>
  </si>
  <si>
    <t>T-00257-0173</t>
  </si>
  <si>
    <t>T-00257-0174</t>
  </si>
  <si>
    <t>T-00257-0175</t>
  </si>
  <si>
    <t>T-00257-0176</t>
  </si>
  <si>
    <t>T-00257-0177</t>
  </si>
  <si>
    <t>T-00257-0182</t>
  </si>
  <si>
    <t>T-00257-0183</t>
  </si>
  <si>
    <t>T-00257-0184</t>
  </si>
  <si>
    <t>T-00257-0186</t>
  </si>
  <si>
    <t>T-00257-0194</t>
  </si>
  <si>
    <t>T-00257-0198</t>
  </si>
  <si>
    <t>T-00257-0207</t>
  </si>
  <si>
    <t>T-00257-0208</t>
  </si>
  <si>
    <t>T-00257-0209</t>
  </si>
  <si>
    <t>T-00257-0210</t>
  </si>
  <si>
    <t>T-00275-1945</t>
  </si>
  <si>
    <t>TIX01 - RJ45 Cable</t>
  </si>
  <si>
    <t>RJ45 Cable</t>
  </si>
  <si>
    <t>TM-00275</t>
  </si>
  <si>
    <t>T-00275-1946</t>
  </si>
  <si>
    <t>T-00275-1947</t>
  </si>
  <si>
    <t>T-00275-1948</t>
  </si>
  <si>
    <t>T-00275-1949</t>
  </si>
  <si>
    <t>T-00275-1950</t>
  </si>
  <si>
    <t>T-00275-1951</t>
  </si>
  <si>
    <t>T-00275-1952</t>
  </si>
  <si>
    <t>T-00275-1953</t>
  </si>
  <si>
    <t>T-00275-1954</t>
  </si>
  <si>
    <t>T-00275-1955</t>
  </si>
  <si>
    <t>T-00275-1956</t>
  </si>
  <si>
    <t>T-00275-1968</t>
  </si>
  <si>
    <t>T-00275-1969</t>
  </si>
  <si>
    <t>T-00275-1970</t>
  </si>
  <si>
    <t>T-00275-1971</t>
  </si>
  <si>
    <t>T-00275-1972</t>
  </si>
  <si>
    <t>T-00275-1973</t>
  </si>
  <si>
    <t>T-00275-1974</t>
  </si>
  <si>
    <t>T-00275-1975</t>
  </si>
  <si>
    <t>T-00275-1976</t>
  </si>
  <si>
    <t>T-00275-1977</t>
  </si>
  <si>
    <t>T-00275-1981</t>
  </si>
  <si>
    <t>T-00275-1982</t>
  </si>
  <si>
    <t>T-00275-1983</t>
  </si>
  <si>
    <t>T-00275-1984</t>
  </si>
  <si>
    <t>T-00275-1988</t>
  </si>
  <si>
    <t>T-00275-1989</t>
  </si>
  <si>
    <t>T-00275-1990</t>
  </si>
  <si>
    <t>T-00275-1991</t>
  </si>
  <si>
    <t>T-00275-1995</t>
  </si>
  <si>
    <t>T-00275-1996</t>
  </si>
  <si>
    <t>T-00275-1997</t>
  </si>
  <si>
    <t>T-00275-1998</t>
  </si>
  <si>
    <t>T-00275-1999</t>
  </si>
  <si>
    <t>T-00275-2000</t>
  </si>
  <si>
    <t>T-00275-2007</t>
  </si>
  <si>
    <t>T-00275-2011</t>
  </si>
  <si>
    <t>T-00275-2012</t>
  </si>
  <si>
    <t>T-00275-2013</t>
  </si>
  <si>
    <t>T-00284-0085</t>
  </si>
  <si>
    <t>TJX06 - Tubing pressure test</t>
  </si>
  <si>
    <t>Tubing Pressure Test</t>
  </si>
  <si>
    <t>TM-00284</t>
  </si>
  <si>
    <t>T-00284-0091</t>
  </si>
  <si>
    <t>T-00284-0096</t>
  </si>
  <si>
    <t>T-00284-0186</t>
  </si>
  <si>
    <t>T-00608-0456</t>
  </si>
  <si>
    <t>PS5-71-DM-3500A-CL01</t>
  </si>
  <si>
    <t>CPX09b - LV Power Cable (One end by HU CTR)</t>
  </si>
  <si>
    <t>Cable FROM PS5-61-IK-0001 TO PS5-71-DM-3500A</t>
  </si>
  <si>
    <t>TM-00608</t>
  </si>
  <si>
    <t>T-00608-0457</t>
  </si>
  <si>
    <t>PS5-71-DM-3500B-CL01</t>
  </si>
  <si>
    <t>Cable FROM PS5-61-IK-0001 TO PS5-71-DM-3500B</t>
  </si>
  <si>
    <t>T-00610-0220</t>
  </si>
  <si>
    <t>PS5-60-IE-0003A-CD06</t>
  </si>
  <si>
    <t>CPX10b - Multicore Electrical Control Cable (One end by HU CTR)</t>
  </si>
  <si>
    <t>Cable FROM PS5-61-IJ-0001 TO PS5-60-IE-0003A</t>
  </si>
  <si>
    <t>TM-00610</t>
  </si>
  <si>
    <t>T-00610-0221</t>
  </si>
  <si>
    <t>PS5-60-IE-0003A-CD08</t>
  </si>
  <si>
    <t>T-00610-0222</t>
  </si>
  <si>
    <t>PS5-60-IE-0003A-CD12</t>
  </si>
  <si>
    <t>T-00610-0223</t>
  </si>
  <si>
    <t>PS5-60-IE-0003B-CD06</t>
  </si>
  <si>
    <t>Cable FROM PS5-61-IJ-0001 TO PS5-60-IE-0003B</t>
  </si>
  <si>
    <t>T-00610-0224</t>
  </si>
  <si>
    <t>PS5-60-IE-0003B-CD08</t>
  </si>
  <si>
    <t>T-00610-0225</t>
  </si>
  <si>
    <t>PS5-60-IE-0003B-CD12</t>
  </si>
  <si>
    <t>T-00610-0226</t>
  </si>
  <si>
    <t>PS5-60-IE-0003C-CD06</t>
  </si>
  <si>
    <t>Cable FROM PS5-61-IJ-0001 TO PS5-60-IE-0003C</t>
  </si>
  <si>
    <t>T-00610-0227</t>
  </si>
  <si>
    <t>PS5-60-IE-0003C-CD08</t>
  </si>
  <si>
    <t>T-00610-0228</t>
  </si>
  <si>
    <t>PS5-60-IE-0003C-CD12</t>
  </si>
  <si>
    <t>T-00610-0229</t>
  </si>
  <si>
    <t>PS5-60-IE-0003D-CD06</t>
  </si>
  <si>
    <t>Cable FROM PS5-61-IJ-0001 TO PS5-60-IE-0003D</t>
  </si>
  <si>
    <t>T-00610-0230</t>
  </si>
  <si>
    <t>PS5-60-IE-0003D-CD08</t>
  </si>
  <si>
    <t>T-00610-0231</t>
  </si>
  <si>
    <t>PS5-60-IE-0003D-CD12</t>
  </si>
  <si>
    <t>T-00610-0241</t>
  </si>
  <si>
    <t>PS5-60-IE-0004-CD01</t>
  </si>
  <si>
    <t>Cable FROM PS5-61-IJ-0001 TO PS5-60-IE-0004</t>
  </si>
  <si>
    <t>T-00610-0242</t>
  </si>
  <si>
    <t>PS5-60-IE-0004-CD02</t>
  </si>
  <si>
    <t>T-00610-0284</t>
  </si>
  <si>
    <t>PS5-71-IES-3500A-CD01</t>
  </si>
  <si>
    <t>Cable FROM PS5-61-IK-0001 TO PS5-71-IES-3500A</t>
  </si>
  <si>
    <t>T-00610-0285</t>
  </si>
  <si>
    <t>PS5-71-IES-3500B-CD01</t>
  </si>
  <si>
    <t>Cable FROM PS5-61-IK-0001 TO PS5-71-IES-3500B</t>
  </si>
  <si>
    <t>T-00610-0574</t>
  </si>
  <si>
    <t>PS5-60-IE-0004-CD14</t>
  </si>
  <si>
    <t>T-00610-0575</t>
  </si>
  <si>
    <t>PS5-60-IE-0004-CD15</t>
  </si>
  <si>
    <t>T-00610-0576</t>
  </si>
  <si>
    <t>PS5-60-IE-0004-CD16</t>
  </si>
  <si>
    <t>T-00614-0853</t>
  </si>
  <si>
    <t>PS5-01-BI-1117-CC01</t>
  </si>
  <si>
    <t>CJX10a - Multi/Single-core instrument control cable (One end by HU CTR)</t>
  </si>
  <si>
    <t>Cable FROM PS5-04-PMC-0002 TO PS5-01-BI-1117</t>
  </si>
  <si>
    <t>TM-00614</t>
  </si>
  <si>
    <t>T-00614-0854</t>
  </si>
  <si>
    <t>PS5-01-BI-1118-CC01</t>
  </si>
  <si>
    <t>Cable FROM PS5-04-PMC-0001 TO PS5-01-BI-1118</t>
  </si>
  <si>
    <t>T-00614-0856</t>
  </si>
  <si>
    <t>PS5-01-BI-1515-CC01</t>
  </si>
  <si>
    <t>Cable FROM PS5-03-SFMC-0008 TO PS5-01-BI-1515</t>
  </si>
  <si>
    <t>T-00614-0859</t>
  </si>
  <si>
    <t>PS5-01-BI-2110-CC01</t>
  </si>
  <si>
    <t>Cable FROM PS5-04-PMC-0006 TO PS5-01-BI-2110</t>
  </si>
  <si>
    <t>T-00614-0893</t>
  </si>
  <si>
    <t>PS5-03-BI-2503-CC01</t>
  </si>
  <si>
    <t>Cable FROM PS5-03-SFMC-0009 TO PS5-03-BI-2503</t>
  </si>
  <si>
    <t>T-00614-0896</t>
  </si>
  <si>
    <t>PS5-03-BI-2506-CC01</t>
  </si>
  <si>
    <t>Cable FROM PS5-03-SFMC-0010 TO PS5-03-BI-2506</t>
  </si>
  <si>
    <t>T-00614-0899</t>
  </si>
  <si>
    <t>PS5-03-BI-2509-CC01</t>
  </si>
  <si>
    <t>Cable FROM PS5-03-SFMC-0010 TO PS5-03-BI-2509</t>
  </si>
  <si>
    <t>T-00614-0903</t>
  </si>
  <si>
    <t>PS5-03-BI-2514-CC01</t>
  </si>
  <si>
    <t>Cable FROM PS5-03-SFMC-0009 TO PS5-03-BI-2514</t>
  </si>
  <si>
    <t>T-00614-0904</t>
  </si>
  <si>
    <t>PS5-03-BI-2515-CC01</t>
  </si>
  <si>
    <t>Cable FROM PS5-03-SFMC-0009 TO PS5-03-BI-2515</t>
  </si>
  <si>
    <t>T-00614-0922</t>
  </si>
  <si>
    <t>PS5-03-SEA-0003-CC01</t>
  </si>
  <si>
    <t>Cable FROM PS5-03-SFMC-0010 TO PS5-03-SEA-0003</t>
  </si>
  <si>
    <t>T-00614-0923</t>
  </si>
  <si>
    <t>PS5-03-SEA-0003-CJ01</t>
  </si>
  <si>
    <t>Cable FROM PS5-04-PMC-0004 TO PS5-03-SEA-0003</t>
  </si>
  <si>
    <t>T-00614-0953</t>
  </si>
  <si>
    <t>PS5-25-BI-1101-CC01</t>
  </si>
  <si>
    <t>Cable FROM PS5-04-PMC-0001 TO PS5-25-BI-1101</t>
  </si>
  <si>
    <t>T-00614-0954</t>
  </si>
  <si>
    <t>PS5-25-BI-1102-CC01</t>
  </si>
  <si>
    <t>Cable FROM PS5-04-PMC-0002 TO PS5-25-BI-1102</t>
  </si>
  <si>
    <t>T-00614-0955</t>
  </si>
  <si>
    <t>PS5-25-BI-1103-CC01</t>
  </si>
  <si>
    <t>Cable FROM PS5-04-PMC-0001 TO PS5-25-BI-1103</t>
  </si>
  <si>
    <t>T-00614-0956</t>
  </si>
  <si>
    <t>PS5-25-BI-1104-CC01</t>
  </si>
  <si>
    <t>Cable FROM PS5-04-PMC-0002 TO PS5-25-BI-1104</t>
  </si>
  <si>
    <t>T-00614-0957</t>
  </si>
  <si>
    <t>PS5-25-BI-1115-CC01</t>
  </si>
  <si>
    <t>Cable FROM PS5-04-PMC-0002 TO PS5-25-BI-1115</t>
  </si>
  <si>
    <t>T-00614-0961</t>
  </si>
  <si>
    <t>PS5-25-BI-1201-CC01</t>
  </si>
  <si>
    <t>Cable FROM PS5-03-SFMC-0001 TO PS5-25-BI-1201</t>
  </si>
  <si>
    <t>T-00614-0965</t>
  </si>
  <si>
    <t>PS5-25-BI-1301-CC01</t>
  </si>
  <si>
    <t>Cable FROM PS5-03-SFMC-0002 TO PS5-25-BI-1301</t>
  </si>
  <si>
    <t>T-00614-0966</t>
  </si>
  <si>
    <t>PS5-25-BI-1302-CC01</t>
  </si>
  <si>
    <t>Cable FROM PS5-03-SFMC-0002 TO PS5-25-BI-1302</t>
  </si>
  <si>
    <t>T-00614-0967</t>
  </si>
  <si>
    <t>PS5-25-BI-1310-CC01</t>
  </si>
  <si>
    <t>Cable FROM PS5-03-SFMC-0002 TO PS5-25-BI-1310</t>
  </si>
  <si>
    <t>T-00614-0982</t>
  </si>
  <si>
    <t>PS5-25-BI-2103-CC01</t>
  </si>
  <si>
    <t>Cable FROM PS5-04-PMC-0006 TO PS5-25-BI-2103</t>
  </si>
  <si>
    <t>T-00614-0983</t>
  </si>
  <si>
    <t>PS5-25-BI-2104-CC01</t>
  </si>
  <si>
    <t>Cable FROM PS5-04-PMC-0003 TO PS5-25-BI-2104</t>
  </si>
  <si>
    <t>T-00614-0984</t>
  </si>
  <si>
    <t>PS5-25-BI-2105-CC01</t>
  </si>
  <si>
    <t>Cable FROM PS5-04-PMC-0006 TO PS5-25-BI-2105</t>
  </si>
  <si>
    <t>T-00614-0985</t>
  </si>
  <si>
    <t>PS5-25-BI-2106-CC01</t>
  </si>
  <si>
    <t>Cable FROM PS5-04-PMC-0006 TO PS5-25-BI-2106</t>
  </si>
  <si>
    <t>T-00614-0986</t>
  </si>
  <si>
    <t>PS5-25-BI-2108-CC01</t>
  </si>
  <si>
    <t>Cable FROM PS5-04-PMC-0004 TO PS5-25-BI-2108</t>
  </si>
  <si>
    <t>T-00614-0987</t>
  </si>
  <si>
    <t>PS5-25-BI-2109-CC01</t>
  </si>
  <si>
    <t>Cable FROM PS5-04-PMC-0004 TO PS5-25-BI-2109</t>
  </si>
  <si>
    <t>T-00614-0988</t>
  </si>
  <si>
    <t>PS5-25-BI-2201-CC01</t>
  </si>
  <si>
    <t>Cable FROM PS5-03-SFMC-0001 TO PS5-25-BI-2201</t>
  </si>
  <si>
    <t>T-00614-0989</t>
  </si>
  <si>
    <t>PS5-25-BI-2203-CC01</t>
  </si>
  <si>
    <t>Cable FROM PS5-03-SFMC-0001 TO PS5-25-BI-2203</t>
  </si>
  <si>
    <t>T-00614-0991</t>
  </si>
  <si>
    <t>PS5-25-BI-2301-CC01</t>
  </si>
  <si>
    <t>Cable FROM PS5-03-SFMC-0003 TO PS5-25-BI-2301</t>
  </si>
  <si>
    <t>T-00614-0992</t>
  </si>
  <si>
    <t>PS5-25-BI-2302-CC01</t>
  </si>
  <si>
    <t>Cable FROM PS5-03-SFMC-0004 TO PS5-25-BI-2302</t>
  </si>
  <si>
    <t>T-00614-0993</t>
  </si>
  <si>
    <t>PS5-25-BI-2305-CC01</t>
  </si>
  <si>
    <t>Cable FROM PS5-03-SFMC-0003 TO PS5-25-BI-2305</t>
  </si>
  <si>
    <t>T-00614-0994</t>
  </si>
  <si>
    <t>PS5-25-BI-2308-CC01</t>
  </si>
  <si>
    <t>Cable FROM PS5-03-SFMC-0005 TO PS5-25-BI-2308</t>
  </si>
  <si>
    <t>T-00614-0995</t>
  </si>
  <si>
    <t>PS5-25-BI-2309-CC01</t>
  </si>
  <si>
    <t>Cable FROM PS5-03-SFMC-0005 TO PS5-25-BI-2309</t>
  </si>
  <si>
    <t>T-00614-0996</t>
  </si>
  <si>
    <t>PS5-25-BI-2312-CC01</t>
  </si>
  <si>
    <t>Cable FROM PS5-03-SFMC-0003 TO PS5-25-BI-2312</t>
  </si>
  <si>
    <t>T-00614-0997</t>
  </si>
  <si>
    <t>PS5-25-BI-2315-CC01</t>
  </si>
  <si>
    <t>Cable FROM PS5-03-SFMC-0003 TO PS5-25-BI-2315</t>
  </si>
  <si>
    <t>T-00614-0998</t>
  </si>
  <si>
    <t>PS5-25-BI-2316-CC01</t>
  </si>
  <si>
    <t>Cable FROM PS5-03-SFMC-0006 TO PS5-25-BI-2316</t>
  </si>
  <si>
    <t>T-00614-1014</t>
  </si>
  <si>
    <t>PS5-28-BI-1105-CC01</t>
  </si>
  <si>
    <t>Cable FROM PS5-04-PMC-0001 TO PS5-28-BI-1105</t>
  </si>
  <si>
    <t>T-00614-1017</t>
  </si>
  <si>
    <t>PS5-28-BI-1303-CC01</t>
  </si>
  <si>
    <t>Cable FROM PS5-03-SFMC-0001 TO PS5-28-BI-1303</t>
  </si>
  <si>
    <t>T-00614-1018</t>
  </si>
  <si>
    <t>PS5-28-BI-1307-CC01</t>
  </si>
  <si>
    <t>Cable FROM PS5-03-SFMC-0001 TO PS5-28-BI-1307</t>
  </si>
  <si>
    <t>T-00614-1023</t>
  </si>
  <si>
    <t>PS5-50-BI-1107-CC01</t>
  </si>
  <si>
    <t>Cable FROM PS5-04-PMC-0002 TO PS5-50-BI-1107</t>
  </si>
  <si>
    <t>T-00614-1030</t>
  </si>
  <si>
    <t>PS5-53-BI-1108-CC01</t>
  </si>
  <si>
    <t>Cable FROM PS5-04-PMC-0002 TO PS5-53-BI-1108</t>
  </si>
  <si>
    <t>T-00614-1034</t>
  </si>
  <si>
    <t>PS5-60-IE-0003A-CC21</t>
  </si>
  <si>
    <t>Cable FROM PS5-04-PMC-0004 TO PS5-60-IE-0003A</t>
  </si>
  <si>
    <t>T-00614-1035</t>
  </si>
  <si>
    <t>PS5-60-IE-0003A-CC22</t>
  </si>
  <si>
    <t>Cable FROM PS5-04-PMC-0005 TO PS5-60-IE-0003A</t>
  </si>
  <si>
    <t>T-00614-1036</t>
  </si>
  <si>
    <t>PS5-60-IE-0003A-CC23</t>
  </si>
  <si>
    <t>Cable FROM PS5-03-SFMC-0003 TO PS5-60-IE-0003A</t>
  </si>
  <si>
    <t>T-00614-1037</t>
  </si>
  <si>
    <t>PS5-60-IE-0003A-CC24</t>
  </si>
  <si>
    <t>Cable FROM PS5-03-SFMC-0005 TO PS5-60-IE-0003A</t>
  </si>
  <si>
    <t>T-00614-1038</t>
  </si>
  <si>
    <t>PS5-60-IE-0003B-CC21</t>
  </si>
  <si>
    <t>Cable FROM PS5-04-PMC-0004 TO PS5-60-IE-0003B</t>
  </si>
  <si>
    <t>T-00614-1039</t>
  </si>
  <si>
    <t>PS5-60-IE-0003B-CC22</t>
  </si>
  <si>
    <t>Cable FROM PS5-04-PMC-0005 TO PS5-60-IE-0003B</t>
  </si>
  <si>
    <t>T-00614-1040</t>
  </si>
  <si>
    <t>PS5-60-IE-0003B-CC23</t>
  </si>
  <si>
    <t>Cable FROM PS5-03-SFMC-0003 TO PS5-60-IE-0003B</t>
  </si>
  <si>
    <t>T-00614-1041</t>
  </si>
  <si>
    <t>PS5-60-IE-0003B-CC24</t>
  </si>
  <si>
    <t>Cable FROM PS5-03-SFMC-0005 TO PS5-60-IE-0003B</t>
  </si>
  <si>
    <t>T-00614-1042</t>
  </si>
  <si>
    <t>PS5-60-IE-0003C-CC21</t>
  </si>
  <si>
    <t>Cable FROM PS5-04-PMC-0004 TO PS5-60-IE-0003C</t>
  </si>
  <si>
    <t>T-00614-1043</t>
  </si>
  <si>
    <t>PS5-60-IE-0003C-CC22</t>
  </si>
  <si>
    <t>Cable FROM PS5-04-PMC-0005 TO PS5-60-IE-0003C</t>
  </si>
  <si>
    <t>T-00614-1044</t>
  </si>
  <si>
    <t>PS5-60-IE-0003C-CC23</t>
  </si>
  <si>
    <t>Cable FROM PS5-03-SFMC-0003 TO PS5-60-IE-0003C</t>
  </si>
  <si>
    <t>T-00614-1045</t>
  </si>
  <si>
    <t>PS5-60-IE-0003C-CC24</t>
  </si>
  <si>
    <t>Cable FROM PS5-03-SFMC-0006 TO PS5-60-IE-0003C</t>
  </si>
  <si>
    <t>T-00614-1046</t>
  </si>
  <si>
    <t>PS5-60-IE-0003D-CC21</t>
  </si>
  <si>
    <t>Cable FROM PS5-04-PMC-0004 TO PS5-60-IE-0003D</t>
  </si>
  <si>
    <t>T-00614-1047</t>
  </si>
  <si>
    <t>PS5-60-IE-0003D-CC22</t>
  </si>
  <si>
    <t>Cable FROM PS5-04-PMC-0005 TO PS5-60-IE-0003D</t>
  </si>
  <si>
    <t>T-00614-1048</t>
  </si>
  <si>
    <t>PS5-60-IE-0003D-CC23</t>
  </si>
  <si>
    <t>Cable FROM PS5-03-SFMC-0003 TO PS5-60-IE-0003D</t>
  </si>
  <si>
    <t>T-00614-1049</t>
  </si>
  <si>
    <t>PS5-60-IE-0003D-CC24</t>
  </si>
  <si>
    <t>Cable FROM PS5-03-SFMC-0005 TO PS5-60-IE-0003D</t>
  </si>
  <si>
    <t>T-00614-1062</t>
  </si>
  <si>
    <t>PS5-60-IE-0004-CC08</t>
  </si>
  <si>
    <t>Cable FROM PS5-04-PMC-0004 TO PS5-60-IE-0004</t>
  </si>
  <si>
    <t>T-00614-1063</t>
  </si>
  <si>
    <t>PS5-60-IE-0004-CC11</t>
  </si>
  <si>
    <t>Cable FROM PS5-03-SFMC-0004 TO PS5-60-IE-0004</t>
  </si>
  <si>
    <t>T-00614-1064</t>
  </si>
  <si>
    <t>PS5-60-IE-0004-CC12</t>
  </si>
  <si>
    <t>Cable FROM PS5-03-SFMC-0005 TO PS5-60-IE-0004</t>
  </si>
  <si>
    <t>T-00614-1065</t>
  </si>
  <si>
    <t>PS5-60-SEA-0001-CC18</t>
  </si>
  <si>
    <t>Cable FROM PS5-03-SFMC-0009 TO PS5-60-SEA-0001</t>
  </si>
  <si>
    <t>T-00614-1078</t>
  </si>
  <si>
    <t>PS5-71-BI-1109-CC01</t>
  </si>
  <si>
    <t>Cable FROM PS5-04-PMC-0002 TO PS5-71-BI-1109</t>
  </si>
  <si>
    <t>T-00614-1079</t>
  </si>
  <si>
    <t>PS5-71-BI-1110-CC01</t>
  </si>
  <si>
    <t>Cable FROM PS5-04-PMC-0001 TO PS5-71-BI-1110</t>
  </si>
  <si>
    <t>T-00614-1080</t>
  </si>
  <si>
    <t>PS5-71-BI-1111-CC01</t>
  </si>
  <si>
    <t>Cable FROM PS5-04-PMC-0002 TO PS5-71-BI-1111</t>
  </si>
  <si>
    <t>T-00614-1082</t>
  </si>
  <si>
    <t>PS5-71-BI-1113-CC01</t>
  </si>
  <si>
    <t>Cable FROM PS5-04-PMC-0002 TO PS5-71-BI-1113</t>
  </si>
  <si>
    <t>T-00614-1083</t>
  </si>
  <si>
    <t>PS5-71-BI-1116-CC01</t>
  </si>
  <si>
    <t>Cable FROM PS5-04-PMC-0002 TO PS5-71-BI-1116</t>
  </si>
  <si>
    <t>T-00614-1084</t>
  </si>
  <si>
    <t>PS5-71-BI-1117-CC01</t>
  </si>
  <si>
    <t>Cable FROM PS5-04-PMC-0001 TO PS5-71-BI-1117</t>
  </si>
  <si>
    <t>T-00614-1085</t>
  </si>
  <si>
    <t>PS5-71-BI-2101-CC01</t>
  </si>
  <si>
    <t>Cable FROM PS5-04-PMC-0004 TO PS5-71-BI-2101</t>
  </si>
  <si>
    <t>T-00614-1086</t>
  </si>
  <si>
    <t>PS5-71-BI-1305-CC01</t>
  </si>
  <si>
    <t>Cable FROM PS5-03-SFMC-0002 TO PS5-71-BI-1305</t>
  </si>
  <si>
    <t>T-00614-1087</t>
  </si>
  <si>
    <t>PS5-71-BI-1306-CC01</t>
  </si>
  <si>
    <t>Cable FROM PS5-03-SFMC-0002 TO PS5-71-BI-1306</t>
  </si>
  <si>
    <t>T-00614-1089</t>
  </si>
  <si>
    <t>PS5-71-BI-2107-CC01</t>
  </si>
  <si>
    <t>Cable FROM PS5-04-PMC-0006 TO PS5-71-BI-2107</t>
  </si>
  <si>
    <t>T-00614-1090</t>
  </si>
  <si>
    <t>PS5-71-BI-2113-CC01</t>
  </si>
  <si>
    <t>Cable FROM PS5-04-PMC-0003 TO PS5-71-BI-2113</t>
  </si>
  <si>
    <t>T-00614-1091</t>
  </si>
  <si>
    <t>PS5-71-BI-2114-CC01</t>
  </si>
  <si>
    <t>Cable FROM PS5-04-PMC-0006 TO PS5-71-BI-2114</t>
  </si>
  <si>
    <t>T-00614-1092</t>
  </si>
  <si>
    <t>PS5-71-BI-2115-CC01</t>
  </si>
  <si>
    <t>Cable FROM PS5-04-PMC-0004 TO PS5-71-BI-2115</t>
  </si>
  <si>
    <t>T-00614-1093</t>
  </si>
  <si>
    <t>PS5-71-BI-2116-CC01</t>
  </si>
  <si>
    <t>Cable FROM PS5-04-PMC-0003 TO PS5-71-BI-2116</t>
  </si>
  <si>
    <t>T-00614-1094</t>
  </si>
  <si>
    <t>PS5-71-BI-2118-CC01</t>
  </si>
  <si>
    <t>Cable FROM PS5-04-PMC-0005 TO PS5-71-BI-2118</t>
  </si>
  <si>
    <t>T-00614-1095</t>
  </si>
  <si>
    <t>PS5-71-BI-2119-CC01</t>
  </si>
  <si>
    <t>Cable FROM PS5-04-PMC-0005 TO PS5-71-BI-2119</t>
  </si>
  <si>
    <t>T-00614-1096</t>
  </si>
  <si>
    <t>PS5-71-BI-2120-CC01</t>
  </si>
  <si>
    <t>Cable FROM PS5-04-PMC-0005 TO PS5-71-BI-2120</t>
  </si>
  <si>
    <t>T-00614-1097</t>
  </si>
  <si>
    <t>PS5-71-BI-2121-CC01</t>
  </si>
  <si>
    <t>Cable FROM PS5-04-PMC-0005 TO PS5-71-BI-2121</t>
  </si>
  <si>
    <t>T-00614-1098</t>
  </si>
  <si>
    <t>PS5-71-BI-2122-CC01</t>
  </si>
  <si>
    <t>Cable FROM PS5-04-PMC-0004 TO PS5-71-BI-2122</t>
  </si>
  <si>
    <t>T-00614-1099</t>
  </si>
  <si>
    <t>PS5-71-BI-2123-CC01</t>
  </si>
  <si>
    <t>Cable FROM PS5-04-PMC-0006 TO PS5-71-BI-2123</t>
  </si>
  <si>
    <t>T-00614-1100</t>
  </si>
  <si>
    <t>PS5-71-BI-2124-CC01</t>
  </si>
  <si>
    <t>Cable FROM PS5-04-PMC-0006 TO PS5-71-BI-2124</t>
  </si>
  <si>
    <t>T-00614-1101</t>
  </si>
  <si>
    <t>PS5-71-BI-2125-CC01</t>
  </si>
  <si>
    <t>Cable FROM PS5-04-PMC-0006 TO PS5-71-BI-2125</t>
  </si>
  <si>
    <t>T-00614-1102</t>
  </si>
  <si>
    <t>PS5-71-BI-2306-CC01</t>
  </si>
  <si>
    <t>Cable FROM PS5-03-SFMC-0004 TO PS5-71-BI-2306</t>
  </si>
  <si>
    <t>T-00614-1104</t>
  </si>
  <si>
    <t>PS5-71-BI-2310-CC01</t>
  </si>
  <si>
    <t>Cable FROM PS5-03-SFMC-0006 TO PS5-71-BI-2310</t>
  </si>
  <si>
    <t>T-00614-1106</t>
  </si>
  <si>
    <t>PS5-71-BI-2314-CC01</t>
  </si>
  <si>
    <t>Cable FROM PS5-03-SFMC-0004 TO PS5-71-BI-2314</t>
  </si>
  <si>
    <t>T-00614-1114</t>
  </si>
  <si>
    <t>PS5-71-IN-0003-CC05</t>
  </si>
  <si>
    <t>Cable FROM PS5-04-PMC-0004 TO PS5-71-IN-0003</t>
  </si>
  <si>
    <t>T-00614-1115</t>
  </si>
  <si>
    <t>PS5-71-IN-0003-CC06</t>
  </si>
  <si>
    <t>Cable FROM PS5-03-SFMC-0004 TO PS5-71-IN-0003</t>
  </si>
  <si>
    <t>T-00614-1116</t>
  </si>
  <si>
    <t>PS5-71-IN-0003-CC07</t>
  </si>
  <si>
    <t>Cable FROM PS5-03-SFMC-0006 TO PS5-71-IN-0003</t>
  </si>
  <si>
    <t>T-00614-1117</t>
  </si>
  <si>
    <t>PS5-71-IN-0004A-CC08</t>
  </si>
  <si>
    <t>Cable FROM PS5-04-PMC-0004 TO PS5-71-IN-0004A</t>
  </si>
  <si>
    <t>T-00614-1118</t>
  </si>
  <si>
    <t>PS5-71-IN-0004A-CC09</t>
  </si>
  <si>
    <t>Cable FROM PS5-03-SFMC-0003 TO PS5-71-IN-0004A</t>
  </si>
  <si>
    <t>T-00614-1119</t>
  </si>
  <si>
    <t>PS5-71-IN-0004A-CC12</t>
  </si>
  <si>
    <t>Cable FROM PS5-03-SFMC-0005 TO PS5-71-IN-0004A</t>
  </si>
  <si>
    <t>T-00614-1120</t>
  </si>
  <si>
    <t>PS5-71-IN-0004B-CC08</t>
  </si>
  <si>
    <t>Cable FROM PS5-04-PMC-0004 TO PS5-71-IN-0004B</t>
  </si>
  <si>
    <t>T-00614-1121</t>
  </si>
  <si>
    <t>PS5-71-IN-0004B-CC09</t>
  </si>
  <si>
    <t>Cable FROM PS5-03-SFMC-0003 TO PS5-71-IN-0004B</t>
  </si>
  <si>
    <t>T-00614-1122</t>
  </si>
  <si>
    <t>PS5-71-IN-0004B-CC12</t>
  </si>
  <si>
    <t>Cable FROM PS5-03-SFMC-0005 TO PS5-71-IN-0004B</t>
  </si>
  <si>
    <t>Grand Total</t>
  </si>
  <si>
    <t>Count of Task ID</t>
  </si>
  <si>
    <t>(Multiple Items)</t>
  </si>
  <si>
    <t>Priority-1 Total</t>
  </si>
  <si>
    <t>Priority-2 Total</t>
  </si>
  <si>
    <t>(All)</t>
  </si>
  <si>
    <t>PG-A/B ITRs + RFC (814 ITR + 28 RFC)</t>
  </si>
  <si>
    <t>PG-A/B ITRs + RFC (924 ITR + 23 RFC)</t>
  </si>
  <si>
    <t>ITR Count</t>
  </si>
  <si>
    <t>Notes</t>
  </si>
  <si>
    <t>1 Crew ( 1 Foremen + 2 skilled Technician + 2 helper)</t>
  </si>
  <si>
    <t>Punch List Team to be created- 5 People</t>
  </si>
  <si>
    <t>Punch List Team to be created - 5 People</t>
  </si>
  <si>
    <t>Required Manpower to execute the PG Job</t>
  </si>
  <si>
    <t>Impulse Tubing Team to be created</t>
  </si>
  <si>
    <t>1 Crew ( 1 Technician + 1 helper) -Required Min 2 Crew</t>
  </si>
  <si>
    <t>Currently Available at site as per POB</t>
  </si>
  <si>
    <t>Balance required to Mobilize</t>
  </si>
  <si>
    <t>Note-1</t>
  </si>
  <si>
    <r>
      <rPr>
        <b/>
        <u/>
        <sz val="10"/>
        <color rgb="FFFF0000"/>
        <rFont val="Aptos"/>
        <family val="2"/>
      </rPr>
      <t xml:space="preserve">Note -1 </t>
    </r>
    <r>
      <rPr>
        <sz val="10"/>
        <color rgb="FFFF0000"/>
        <rFont val="Aptos"/>
        <family val="2"/>
      </rPr>
      <t xml:space="preserve">: </t>
    </r>
    <r>
      <rPr>
        <b/>
        <sz val="10"/>
        <color rgb="FFFF0000"/>
        <rFont val="Aptos"/>
        <family val="2"/>
      </rPr>
      <t>All available manpower shall be allocated to PG priorities to achieve RFCs by 01 Aug for PG A and B, and by 06 Aug for PG C and D. CPY will not respond to RFIs for non-priority activities; only RFIs/ITRs related to PG A, B, C and D will be actioned.</t>
    </r>
  </si>
  <si>
    <t>Required Qty (Existing 8th June POB+ Task Force)</t>
  </si>
  <si>
    <r>
      <t>PRIORITY  PG A to B Pending ITRs and KPI Strategy -</t>
    </r>
    <r>
      <rPr>
        <b/>
        <sz val="10"/>
        <color rgb="FFFF0000"/>
        <rFont val="Aptos Narrow"/>
        <family val="2"/>
      </rPr>
      <t xml:space="preserve"> EIT</t>
    </r>
    <r>
      <rPr>
        <b/>
        <sz val="10"/>
        <color theme="1"/>
        <rFont val="Aptos Narrow"/>
        <family val="2"/>
      </rPr>
      <t xml:space="preserve"> (Pending ITRs and Daily Completion Target)</t>
    </r>
  </si>
  <si>
    <r>
      <t>PRIORITY  PG C to D Pending ITRs and KPI Strategy -</t>
    </r>
    <r>
      <rPr>
        <b/>
        <sz val="10"/>
        <color rgb="FFFF0000"/>
        <rFont val="Aptos Narrow"/>
        <family val="2"/>
      </rPr>
      <t xml:space="preserve"> EIT</t>
    </r>
    <r>
      <rPr>
        <b/>
        <sz val="10"/>
        <color theme="1"/>
        <rFont val="Aptos Narrow"/>
        <family val="2"/>
      </rPr>
      <t xml:space="preserve"> (Pending ITRs and Daily Completion Target)</t>
    </r>
  </si>
  <si>
    <t xml:space="preserve">SUNDAY 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</si>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</sst>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FF0000"/>
      <name val="Aptos"/>
      <family val="2"/>
    </font>
    <font>
      <b/>
      <sz val="10"/>
      <color theme="1"/>
      <name val="Aptos Narrow"/>
      <family val="2"/>
    </font>
    <font>
      <sz val="11"/>
      <color theme="1"/>
      <name val="Aptos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9"/>
      <color theme="1"/>
      <name val="Aptos Narrow"/>
      <family val="2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0"/>
      <color theme="1"/>
      <name val="Aptos"/>
      <family val="2"/>
    </font>
    <font>
      <b/>
      <sz val="9"/>
      <color rgb="FF0000FF"/>
      <name val="Aptos"/>
      <family val="2"/>
    </font>
    <font>
      <b/>
      <u/>
      <sz val="9"/>
      <color rgb="FF0000FF"/>
      <name val="Aptos"/>
      <family val="2"/>
    </font>
    <font>
      <sz val="10"/>
      <color rgb="FFFF0000"/>
      <name val="Aptos"/>
      <family val="2"/>
    </font>
    <font>
      <b/>
      <u/>
      <sz val="10"/>
      <color rgb="FFFF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47">
    <xf numFmtId="0" fontId="0" fillId="0" borderId="0" xfId="0"/>
    <xf numFmtId="0" fontId="1" fillId="0" borderId="0" xfId="0" applyFont="1"/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5" xfId="0" applyFont="1" applyBorder="1"/>
    <xf numFmtId="0" fontId="2" fillId="3" borderId="2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4" borderId="15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4" borderId="17" xfId="0" applyFont="1" applyFill="1" applyBorder="1"/>
    <xf numFmtId="0" fontId="2" fillId="6" borderId="22" xfId="0" applyFont="1" applyFill="1" applyBorder="1"/>
    <xf numFmtId="0" fontId="2" fillId="6" borderId="2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164" fontId="4" fillId="7" borderId="2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7" fillId="7" borderId="25" xfId="0" applyNumberFormat="1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6" fillId="0" borderId="27" xfId="0" applyFont="1" applyBorder="1"/>
    <xf numFmtId="0" fontId="6" fillId="0" borderId="27" xfId="0" applyFont="1" applyBorder="1" applyAlignment="1">
      <alignment horizontal="center"/>
    </xf>
    <xf numFmtId="164" fontId="7" fillId="7" borderId="28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164" fontId="7" fillId="7" borderId="30" xfId="0" applyNumberFormat="1" applyFont="1" applyFill="1" applyBorder="1" applyAlignment="1">
      <alignment horizontal="center"/>
    </xf>
    <xf numFmtId="0" fontId="7" fillId="0" borderId="0" xfId="0" applyFont="1"/>
    <xf numFmtId="0" fontId="7" fillId="7" borderId="36" xfId="0" applyFont="1" applyFill="1" applyBorder="1" applyAlignment="1">
      <alignment horizontal="center"/>
    </xf>
    <xf numFmtId="0" fontId="7" fillId="7" borderId="39" xfId="0" applyFont="1" applyFill="1" applyBorder="1" applyAlignment="1">
      <alignment horizontal="center"/>
    </xf>
    <xf numFmtId="0" fontId="10" fillId="7" borderId="37" xfId="0" applyFont="1" applyFill="1" applyBorder="1" applyAlignment="1">
      <alignment horizontal="center"/>
    </xf>
    <xf numFmtId="0" fontId="4" fillId="0" borderId="0" xfId="0" applyFont="1"/>
    <xf numFmtId="0" fontId="6" fillId="0" borderId="7" xfId="0" applyFont="1" applyBorder="1"/>
    <xf numFmtId="0" fontId="6" fillId="0" borderId="8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7" borderId="43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/>
    </xf>
    <xf numFmtId="0" fontId="4" fillId="7" borderId="44" xfId="0" applyFont="1" applyFill="1" applyBorder="1" applyAlignment="1">
      <alignment horizontal="center"/>
    </xf>
    <xf numFmtId="0" fontId="6" fillId="0" borderId="46" xfId="0" applyFont="1" applyBorder="1"/>
    <xf numFmtId="0" fontId="6" fillId="0" borderId="21" xfId="0" applyFont="1" applyBorder="1"/>
    <xf numFmtId="0" fontId="6" fillId="0" borderId="47" xfId="0" applyFont="1" applyBorder="1"/>
    <xf numFmtId="164" fontId="4" fillId="7" borderId="48" xfId="0" applyNumberFormat="1" applyFont="1" applyFill="1" applyBorder="1" applyAlignment="1">
      <alignment horizontal="center"/>
    </xf>
    <xf numFmtId="0" fontId="4" fillId="7" borderId="31" xfId="0" applyFont="1" applyFill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8" borderId="29" xfId="0" applyFont="1" applyFill="1" applyBorder="1"/>
    <xf numFmtId="0" fontId="6" fillId="8" borderId="16" xfId="0" applyFont="1" applyFill="1" applyBorder="1"/>
    <xf numFmtId="0" fontId="6" fillId="0" borderId="15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8" borderId="26" xfId="0" applyFont="1" applyFill="1" applyBorder="1"/>
    <xf numFmtId="0" fontId="4" fillId="7" borderId="10" xfId="0" applyFont="1" applyFill="1" applyBorder="1" applyAlignment="1">
      <alignment horizontal="center"/>
    </xf>
    <xf numFmtId="0" fontId="1" fillId="3" borderId="20" xfId="0" applyFont="1" applyFill="1" applyBorder="1"/>
    <xf numFmtId="0" fontId="1" fillId="4" borderId="50" xfId="0" applyFont="1" applyFill="1" applyBorder="1"/>
    <xf numFmtId="0" fontId="13" fillId="9" borderId="1" xfId="1" applyFont="1" applyFill="1" applyBorder="1"/>
    <xf numFmtId="0" fontId="12" fillId="0" borderId="0" xfId="1"/>
    <xf numFmtId="0" fontId="12" fillId="0" borderId="0" xfId="1" applyAlignment="1">
      <alignment horizontal="center"/>
    </xf>
    <xf numFmtId="22" fontId="12" fillId="0" borderId="0" xfId="1" applyNumberFormat="1"/>
    <xf numFmtId="0" fontId="12" fillId="6" borderId="0" xfId="1" applyFill="1"/>
    <xf numFmtId="0" fontId="0" fillId="0" borderId="0" xfId="0" pivotButton="1"/>
    <xf numFmtId="0" fontId="7" fillId="6" borderId="51" xfId="0" applyFont="1" applyFill="1" applyBorder="1" applyAlignment="1">
      <alignment horizontal="center"/>
    </xf>
    <xf numFmtId="0" fontId="7" fillId="6" borderId="23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14" fillId="0" borderId="0" xfId="0" applyFont="1"/>
    <xf numFmtId="0" fontId="2" fillId="6" borderId="5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/>
    </xf>
    <xf numFmtId="0" fontId="16" fillId="0" borderId="0" xfId="0" applyFont="1"/>
    <xf numFmtId="0" fontId="4" fillId="7" borderId="42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 vertical="center" wrapText="1"/>
    </xf>
    <xf numFmtId="0" fontId="7" fillId="7" borderId="36" xfId="0" applyFont="1" applyFill="1" applyBorder="1" applyAlignment="1">
      <alignment horizontal="center"/>
    </xf>
    <xf numFmtId="0" fontId="7" fillId="7" borderId="40" xfId="0" applyFont="1" applyFill="1" applyBorder="1" applyAlignment="1">
      <alignment horizontal="center"/>
    </xf>
    <xf numFmtId="0" fontId="7" fillId="7" borderId="45" xfId="0" applyFont="1" applyFill="1" applyBorder="1" applyAlignment="1">
      <alignment horizontal="center"/>
    </xf>
    <xf numFmtId="165" fontId="7" fillId="7" borderId="35" xfId="0" applyNumberFormat="1" applyFont="1" applyFill="1" applyBorder="1" applyAlignment="1">
      <alignment horizontal="center" vertical="center"/>
    </xf>
    <xf numFmtId="165" fontId="7" fillId="7" borderId="20" xfId="0" applyNumberFormat="1" applyFont="1" applyFill="1" applyBorder="1" applyAlignment="1">
      <alignment horizontal="center" vertical="center"/>
    </xf>
    <xf numFmtId="165" fontId="7" fillId="7" borderId="32" xfId="0" applyNumberFormat="1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wrapText="1"/>
    </xf>
    <xf numFmtId="0" fontId="9" fillId="7" borderId="42" xfId="0" applyFont="1" applyFill="1" applyBorder="1" applyAlignment="1">
      <alignment horizontal="center" wrapText="1"/>
    </xf>
    <xf numFmtId="0" fontId="4" fillId="7" borderId="34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/>
    </xf>
    <xf numFmtId="0" fontId="4" fillId="7" borderId="37" xfId="0" applyFont="1" applyFill="1" applyBorder="1" applyAlignment="1">
      <alignment horizontal="center"/>
    </xf>
    <xf numFmtId="0" fontId="4" fillId="7" borderId="36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2" fillId="4" borderId="53" xfId="0" applyFont="1" applyFill="1" applyBorder="1" applyAlignment="1">
      <alignment horizontal="center"/>
    </xf>
    <xf numFmtId="0" fontId="2" fillId="4" borderId="55" xfId="0" applyFont="1" applyFill="1" applyBorder="1" applyAlignment="1">
      <alignment horizontal="center"/>
    </xf>
    <xf numFmtId="0" fontId="2" fillId="4" borderId="5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14E492E-1B09-4D60-8EC6-F5BC05FD4441}"/>
  </cellStyles>
  <dxfs count="0"/>
  <tableStyles count="0" defaultTableStyle="TableStyleMedium2" defaultPivotStyle="PivotStyleLight16"/>
  <colors>
    <mruColors>
      <color rgb="FFFFFF99"/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esh NAIR" refreshedDate="46216.647849074077" createdVersion="8" refreshedVersion="8" minRefreshableVersion="3" recordCount="2192" xr:uid="{F83D18AB-BEDF-44AB-9208-97B3CAC49A7A}">
  <cacheSource type="worksheet">
    <worksheetSource ref="A1:AG2193" sheet="EIT CMT Tasks"/>
  </cacheSource>
  <cacheFields count="33">
    <cacheField name="Task ID" numFmtId="0">
      <sharedItems/>
    </cacheField>
    <cacheField name="Asset - Tag" numFmtId="0">
      <sharedItems/>
    </cacheField>
    <cacheField name="Asset Pack ID" numFmtId="0">
      <sharedItems containsNonDate="0" containsString="0" containsBlank="1"/>
    </cacheField>
    <cacheField name="Cable Pack ID" numFmtId="0">
      <sharedItems containsNonDate="0" containsString="0" containsBlank="1"/>
    </cacheField>
    <cacheField name="Pipe Pack ID" numFmtId="0">
      <sharedItems containsNonDate="0" containsString="0" containsBlank="1"/>
    </cacheField>
    <cacheField name="Loop Name" numFmtId="0">
      <sharedItems containsNonDate="0" containsString="0" containsBlank="1"/>
    </cacheField>
    <cacheField name="Description" numFmtId="0">
      <sharedItems count="39">
        <s v="CPX02 - Power transformer"/>
        <s v="CPX08 - HV Power Cable"/>
        <s v="CPX09 - LV Power Cable"/>
        <s v="CPX10 - Multicore Electrical Control Cable"/>
        <s v="CPX13 - LV Motor"/>
        <s v="CPX21 - Neutral Earthing Resistor"/>
        <s v="CPX26 - Earthing system"/>
        <s v="CPX32 - Console / control panel"/>
        <s v="CZX01E - Package"/>
        <s v="TPX02 - Power transformer"/>
        <s v="TPX08 - HV power cable"/>
        <s v="TPX09 - LV power cable"/>
        <s v="TPX10 - Multicore electrical control cable"/>
        <s v="TPX13 - Motor LV"/>
        <s v="TPX15 - Distribution board/console/control panel"/>
        <s v="TPX21 - Neutral earthing resistor"/>
        <s v="TPX26 - Earthing system"/>
        <s v="CPX09b - LV Power Cable (One end by HU CTR)"/>
        <s v="CPX10b - Multicore Electrical Control Cable (One end by HU CTR)"/>
        <s v="CJX06 - Tubing Hydraulic"/>
        <s v="CJX08 - Electrical instrument"/>
        <s v="CJX10 - Multi/Single-core instrument control cable"/>
        <s v="CJX12 - Optical fiber cable"/>
        <s v="CJX13 - Thermowell"/>
        <s v="CJX16 - Local gauge / indicator"/>
        <s v="CJX23 - Actuated on/off valve - Pneumatic/Hydraulic type"/>
        <s v="CJX24 - Actuated on/off valve - Electrical type"/>
        <s v="CJX27 - Control valve - Pneumatic / Hydraulic type"/>
        <s v="CJX31 - Junction &amp; marshalling box"/>
        <s v="CJX42 - Gas / smoke detector"/>
        <s v="CJX48 - Indoor cabinet / panel"/>
        <s v="CZX01I - Package"/>
        <s v="TJX10 - Multi/Single-core instrument control cable"/>
        <s v="TJX12 - Optical fiber cable"/>
        <s v="TJX13 - Thermowell"/>
        <s v="TJX06 - Tubing pressure test"/>
        <s v="CJX10a - Multi/Single-core instrument control cable (One end by HU CTR)"/>
        <s v="CIX09 - Telecom cable power / Control / Multicore"/>
        <s v="TIX01 - RJ45 Cable"/>
      </sharedItems>
    </cacheField>
    <cacheField name="Category (Summary)" numFmtId="0">
      <sharedItems/>
    </cacheField>
    <cacheField name="Discipline" numFmtId="0">
      <sharedItems/>
    </cacheField>
    <cacheField name="Task Type (Name)" numFmtId="0">
      <sharedItems count="2">
        <s v="Conformity Check"/>
        <s v="Static Test"/>
      </sharedItems>
    </cacheField>
    <cacheField name="Discipline (Summary)" numFmtId="0">
      <sharedItems count="3">
        <s v="E - Electrical"/>
        <s v="I - Instrumentation"/>
        <s v="T - Telecom"/>
      </sharedItems>
    </cacheField>
    <cacheField name="Asset - Description" numFmtId="0">
      <sharedItems/>
    </cacheField>
    <cacheField name="Systemization - Process Plant ID" numFmtId="0">
      <sharedItems/>
    </cacheField>
    <cacheField name="Responsible Company (Summary)" numFmtId="0">
      <sharedItems/>
    </cacheField>
    <cacheField name="Actual Duration" numFmtId="0">
      <sharedItems containsNonDate="0" containsString="0" containsBlank="1"/>
    </cacheField>
    <cacheField name="Scheduled Duration" numFmtId="0">
      <sharedItems containsNonDate="0" containsString="0" containsBlank="1"/>
    </cacheField>
    <cacheField name="Task Duration" numFmtId="0">
      <sharedItems/>
    </cacheField>
    <cacheField name="Title - Actual MH/Person" numFmtId="0">
      <sharedItems containsNonDate="0" containsString="0" containsBlank="1"/>
    </cacheField>
    <cacheField name="Title - Planned MH/Person" numFmtId="0">
      <sharedItems containsBlank="1"/>
    </cacheField>
    <cacheField name="Field005 (Custom)" numFmtId="0">
      <sharedItems containsBlank="1"/>
    </cacheField>
    <cacheField name="Physical Location - Area (Summary)" numFmtId="0">
      <sharedItems/>
    </cacheField>
    <cacheField name="Systemization - Subsystem (Summary)" numFmtId="0">
      <sharedItems/>
    </cacheField>
    <cacheField name="Closing Date" numFmtId="0">
      <sharedItems containsNonDate="0" containsDate="1" containsString="0" containsBlank="1" minDate="2026-02-18T12:59:04" maxDate="2026-07-11T14:04:35"/>
    </cacheField>
    <cacheField name="Subsystem ID" numFmtId="0">
      <sharedItems/>
    </cacheField>
    <cacheField name="Task Priority" numFmtId="0">
      <sharedItems count="2">
        <s v="Priority-1"/>
        <s v="Priority-2"/>
      </sharedItems>
    </cacheField>
    <cacheField name="Priority" numFmtId="0">
      <sharedItems containsNonDate="0" containsString="0" containsBlank="1" count="1">
        <m/>
      </sharedItems>
    </cacheField>
    <cacheField name="Test Form - Description" numFmtId="0">
      <sharedItems containsBlank="1"/>
    </cacheField>
    <cacheField name="Asset Discipline" numFmtId="0">
      <sharedItems/>
    </cacheField>
    <cacheField name="Task State" numFmtId="0">
      <sharedItems count="3">
        <s v="To be completed"/>
        <s v="Closed"/>
        <s v="Submitted"/>
      </sharedItems>
    </cacheField>
    <cacheField name="Subsystem Priority" numFmtId="0">
      <sharedItems/>
    </cacheField>
    <cacheField name="Task Model" numFmtId="0">
      <sharedItems/>
    </cacheField>
    <cacheField name="Closed By" numFmtId="0">
      <sharedItems containsBlank="1"/>
    </cacheField>
    <cacheField name="Document -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2">
  <r>
    <s v="T-00018-0192"/>
    <s v="PS5-61-IU-0001A"/>
    <m/>
    <m/>
    <m/>
    <m/>
    <x v="0"/>
    <s v="PCOM - Precommissioning"/>
    <s v="E"/>
    <x v="0"/>
    <x v="0"/>
    <s v="11/33kV Transformer - 6.8 MVA"/>
    <s v="EACOP"/>
    <s v="CPP AGI"/>
    <m/>
    <m/>
    <s v="16"/>
    <m/>
    <m/>
    <m/>
    <s v="PS5 - TZA - PS5 - Tanzania"/>
    <s v="PS5-60-01 - Power Generation Package A"/>
    <m/>
    <s v="PS5-60-01"/>
    <x v="0"/>
    <x v="0"/>
    <s v="Power Transformer"/>
    <s v="E"/>
    <x v="0"/>
    <s v="PS5 - Milestone B"/>
    <s v="TM-00018"/>
    <m/>
    <m/>
  </r>
  <r>
    <s v="T-00018-0193"/>
    <s v="PS5-61-IU-0001B"/>
    <m/>
    <m/>
    <m/>
    <m/>
    <x v="0"/>
    <s v="PCOM - Precommissioning"/>
    <s v="E"/>
    <x v="0"/>
    <x v="0"/>
    <s v="11/33kV Transformer - 6.8 MVA"/>
    <s v="EACOP"/>
    <s v="CPP AGI"/>
    <m/>
    <m/>
    <s v="16"/>
    <m/>
    <m/>
    <m/>
    <s v="PS5 - TZA - PS5 - Tanzania"/>
    <s v="PS5-60-04 - Power Generation Package B"/>
    <m/>
    <s v="PS5-60-04"/>
    <x v="0"/>
    <x v="0"/>
    <s v="Power Transformer"/>
    <s v="E"/>
    <x v="0"/>
    <s v="PS5 - Milestone B"/>
    <s v="TM-00018"/>
    <m/>
    <m/>
  </r>
  <r>
    <s v="T-00018-0194"/>
    <s v="PS5-61-IU-0001C"/>
    <m/>
    <m/>
    <m/>
    <m/>
    <x v="0"/>
    <s v="PCOM - Precommissioning"/>
    <s v="E"/>
    <x v="0"/>
    <x v="0"/>
    <s v="11/33kV Transformer - 6.8 MVA"/>
    <s v="EACOP"/>
    <s v="CPP AGI"/>
    <m/>
    <m/>
    <s v="16"/>
    <m/>
    <m/>
    <m/>
    <s v="PS5 - TZA - PS5 - Tanzania"/>
    <s v="PS5-60-07 - Power Generation Package C"/>
    <m/>
    <s v="PS5-60-07"/>
    <x v="1"/>
    <x v="0"/>
    <s v="Power Transformer"/>
    <s v="E"/>
    <x v="0"/>
    <s v="PS5 - Milestone D"/>
    <s v="TM-00018"/>
    <m/>
    <m/>
  </r>
  <r>
    <s v="T-00018-0195"/>
    <s v="PS5-61-IU-0001D"/>
    <m/>
    <m/>
    <m/>
    <m/>
    <x v="0"/>
    <s v="PCOM - Precommissioning"/>
    <s v="E"/>
    <x v="0"/>
    <x v="0"/>
    <s v="11/33kV Transformer - 6.8 MVA"/>
    <s v="EACOP"/>
    <s v="CPP AGI"/>
    <m/>
    <m/>
    <s v="16"/>
    <m/>
    <m/>
    <m/>
    <s v="PS5 - TZA - PS5 - Tanzania"/>
    <s v="PS5-60-10 - Power Generation Package D"/>
    <m/>
    <s v="PS5-60-10"/>
    <x v="1"/>
    <x v="0"/>
    <s v="Power Transformer"/>
    <s v="E"/>
    <x v="0"/>
    <s v="PS5 - Milestone D"/>
    <s v="TM-00018"/>
    <m/>
    <m/>
  </r>
  <r>
    <s v="T-00022-3334"/>
    <s v="PS5-60-IJ-0001A-CH04"/>
    <m/>
    <m/>
    <m/>
    <m/>
    <x v="1"/>
    <s v="PCOM - Precommissioning"/>
    <s v="E"/>
    <x v="0"/>
    <x v="0"/>
    <s v="Cable FROM PS5-60-GE-8100A TO PS5-60-IJ-0001A"/>
    <s v="EACOP"/>
    <s v="CPP AGI"/>
    <m/>
    <m/>
    <s v="4"/>
    <m/>
    <m/>
    <s v="TZ-MID-68-WPR2-150101"/>
    <s v="PS5 - TZA - PS5 - Tanzania"/>
    <s v="PS5-60-01 - Power Generation Package A"/>
    <d v="2026-03-07T11:28:48"/>
    <s v="PS5-60-01"/>
    <x v="0"/>
    <x v="0"/>
    <s v="HV Power Cable"/>
    <s v="E"/>
    <x v="1"/>
    <s v="PS5 - Milestone B"/>
    <s v="TM-00022"/>
    <s v="arun, jabesteen"/>
    <s v="TZ-MID-68-WPR2-150101"/>
  </r>
  <r>
    <s v="T-00022-3335"/>
    <s v="PS5-60-IJ-0001B-CH04"/>
    <m/>
    <m/>
    <m/>
    <m/>
    <x v="1"/>
    <s v="PCOM - Precommissioning"/>
    <s v="E"/>
    <x v="0"/>
    <x v="0"/>
    <s v="Cable FROM PS5-60-GE-8100B TO PS5-60-IJ-0001B"/>
    <s v="EACOP"/>
    <s v="CPP AGI"/>
    <m/>
    <m/>
    <s v="4"/>
    <m/>
    <m/>
    <s v="TZ-MID-68-WPR2-150101"/>
    <s v="PS5 - TZA - PS5 - Tanzania"/>
    <s v="PS5-60-04 - Power Generation Package B"/>
    <d v="2026-03-07T11:36:10"/>
    <s v="PS5-60-04"/>
    <x v="0"/>
    <x v="0"/>
    <s v="HV Power Cable"/>
    <s v="E"/>
    <x v="1"/>
    <s v="PS5 - Milestone B"/>
    <s v="TM-00022"/>
    <s v="arun, jabesteen"/>
    <s v="TZ-MID-68-WPR2-150101"/>
  </r>
  <r>
    <s v="T-00022-3336"/>
    <s v="PS5-60-IJ-0001C-CH04"/>
    <m/>
    <m/>
    <m/>
    <m/>
    <x v="1"/>
    <s v="PCOM - Precommissioning"/>
    <s v="E"/>
    <x v="0"/>
    <x v="0"/>
    <s v="Cable FROM PS5-60-GE-8100C TO PS5-60-IJ-0001C"/>
    <s v="EACOP"/>
    <s v="CPP AGI"/>
    <m/>
    <m/>
    <s v="4"/>
    <m/>
    <m/>
    <s v="TZ-MID-68-WPR2-150101"/>
    <s v="PS5 - TZA - PS5 - Tanzania"/>
    <s v="PS5-60-07 - Power Generation Package C"/>
    <d v="2026-03-07T11:39:01"/>
    <s v="PS5-60-07"/>
    <x v="1"/>
    <x v="0"/>
    <s v="HV Power Cable"/>
    <s v="E"/>
    <x v="1"/>
    <s v="PS5 - Milestone D"/>
    <s v="TM-00022"/>
    <s v="arun, jabesteen"/>
    <s v="TZ-MID-68-WPR2-150101"/>
  </r>
  <r>
    <s v="T-00022-3337"/>
    <s v="PS5-60-IJ-0001D-CH04"/>
    <m/>
    <m/>
    <m/>
    <m/>
    <x v="1"/>
    <s v="PCOM - Precommissioning"/>
    <s v="E"/>
    <x v="0"/>
    <x v="0"/>
    <s v="Cable FROM PS5-60-GE-8100D TO PS5-60-IJ-0001D"/>
    <s v="EACOP"/>
    <s v="CPP AGI"/>
    <m/>
    <m/>
    <s v="4"/>
    <m/>
    <m/>
    <s v="TZ-MID-68-WPR2-150101"/>
    <s v="PS5 - TZA - PS5 - Tanzania"/>
    <s v="PS5-60-10 - Power Generation Package D"/>
    <d v="2026-03-07T11:42:22"/>
    <s v="PS5-60-10"/>
    <x v="1"/>
    <x v="0"/>
    <s v="HV Power Cable"/>
    <s v="E"/>
    <x v="1"/>
    <s v="PS5 - Milestone D"/>
    <s v="TM-00022"/>
    <s v="arun, jabesteen"/>
    <s v="TZ-MID-68-WPR2-150101"/>
  </r>
  <r>
    <s v="T-00022-3377"/>
    <s v="PS5-61-IJ-0001-CH01"/>
    <m/>
    <m/>
    <m/>
    <m/>
    <x v="1"/>
    <s v="PCOM - Precommissioning"/>
    <s v="E"/>
    <x v="0"/>
    <x v="0"/>
    <s v="Cable FROM PS5-61-IU-0001A TO PS5-61-IJ-0001"/>
    <s v="EACOP"/>
    <s v="CPP AGI"/>
    <m/>
    <m/>
    <s v="4"/>
    <m/>
    <m/>
    <s v="TZ-MID-68-WPR2-150101"/>
    <s v="PS5 - TZA - PS5 - Tanzania"/>
    <s v="PS5-60-01 - Power Generation Package A"/>
    <d v="2026-04-24T08:12:30"/>
    <s v="PS5-60-01"/>
    <x v="0"/>
    <x v="0"/>
    <s v="HV Power Cable"/>
    <s v="E"/>
    <x v="1"/>
    <s v="PS5 - Milestone B"/>
    <s v="TM-00022"/>
    <s v="ovchinnikov, konstantin"/>
    <s v="TZ-MID-68-WPR2-150101"/>
  </r>
  <r>
    <s v="T-00022-3378"/>
    <s v="PS5-61-IJ-0001-CH02"/>
    <m/>
    <m/>
    <m/>
    <m/>
    <x v="1"/>
    <s v="PCOM - Precommissioning"/>
    <s v="E"/>
    <x v="0"/>
    <x v="0"/>
    <s v="Cable FROM PS5-61-IU-0001A TO PS5-61-IJ-0001"/>
    <s v="EACOP"/>
    <s v="CPP AGI"/>
    <m/>
    <m/>
    <s v="4"/>
    <m/>
    <m/>
    <s v="TZ-MID-68-WPR2-150101"/>
    <s v="PS5 - TZA - PS5 - Tanzania"/>
    <s v="PS5-60-01 - Power Generation Package A"/>
    <d v="2026-04-24T12:59:08"/>
    <s v="PS5-60-01"/>
    <x v="0"/>
    <x v="0"/>
    <s v="HV Power Cable"/>
    <s v="E"/>
    <x v="1"/>
    <s v="PS5 - Milestone B"/>
    <s v="TM-00022"/>
    <s v="Mohamed, Amira"/>
    <s v="TZ-MID-68-WPR2-150101"/>
  </r>
  <r>
    <s v="T-00022-3379"/>
    <s v="PS5-61-IJ-0001-CH03"/>
    <m/>
    <m/>
    <m/>
    <m/>
    <x v="1"/>
    <s v="PCOM - Precommissioning"/>
    <s v="E"/>
    <x v="0"/>
    <x v="0"/>
    <s v="Cable FROM PS5-61-IU-0001A TO PS5-61-IJ-0001"/>
    <s v="EACOP"/>
    <s v="CPP AGI"/>
    <m/>
    <m/>
    <s v="4"/>
    <m/>
    <m/>
    <s v="TZ-MID-68-WPR2-150101"/>
    <s v="PS5 - TZA - PS5 - Tanzania"/>
    <s v="PS5-60-01 - Power Generation Package A"/>
    <d v="2026-04-24T13:00:07"/>
    <s v="PS5-60-01"/>
    <x v="0"/>
    <x v="0"/>
    <s v="HV Power Cable"/>
    <s v="E"/>
    <x v="1"/>
    <s v="PS5 - Milestone B"/>
    <s v="TM-00022"/>
    <s v="Mohamed, Amira"/>
    <s v="TZ-MID-68-WPR2-150101"/>
  </r>
  <r>
    <s v="T-00022-3380"/>
    <s v="PS5-61-IJ-0001-CH04"/>
    <m/>
    <m/>
    <m/>
    <m/>
    <x v="1"/>
    <s v="PCOM - Precommissioning"/>
    <s v="E"/>
    <x v="0"/>
    <x v="0"/>
    <s v="Cable FROM PS5-61-IU-0001B TO PS5-61-IJ-0001"/>
    <s v="EACOP"/>
    <s v="CPP AGI"/>
    <m/>
    <m/>
    <s v="4"/>
    <m/>
    <m/>
    <s v="TZ-MID-68-WPR2-150101"/>
    <s v="PS5 - TZA - PS5 - Tanzania"/>
    <s v="PS5-60-04 - Power Generation Package B"/>
    <d v="2026-04-24T13:00:35"/>
    <s v="PS5-60-04"/>
    <x v="0"/>
    <x v="0"/>
    <s v="HV Power Cable"/>
    <s v="E"/>
    <x v="1"/>
    <s v="PS5 - Milestone B"/>
    <s v="TM-00022"/>
    <s v="Mohamed, Amira"/>
    <s v="TZ-MID-68-WPR2-150101"/>
  </r>
  <r>
    <s v="T-00022-3381"/>
    <s v="PS5-61-IJ-0001-CH05"/>
    <m/>
    <m/>
    <m/>
    <m/>
    <x v="1"/>
    <s v="PCOM - Precommissioning"/>
    <s v="E"/>
    <x v="0"/>
    <x v="0"/>
    <s v="Cable FROM PS5-61-IU-0001B TO PS5-61-IJ-0001"/>
    <s v="EACOP"/>
    <s v="CPP AGI"/>
    <m/>
    <m/>
    <s v="4"/>
    <m/>
    <m/>
    <s v="TZ-MID-68-WPR2-150101"/>
    <s v="PS5 - TZA - PS5 - Tanzania"/>
    <s v="PS5-60-04 - Power Generation Package B"/>
    <d v="2026-04-24T13:01:05"/>
    <s v="PS5-60-04"/>
    <x v="0"/>
    <x v="0"/>
    <s v="HV Power Cable"/>
    <s v="E"/>
    <x v="1"/>
    <s v="PS5 - Milestone B"/>
    <s v="TM-00022"/>
    <s v="Mohamed, Amira"/>
    <s v="TZ-MID-68-WPR2-150101"/>
  </r>
  <r>
    <s v="T-00022-3382"/>
    <s v="PS5-61-IJ-0001-CH06"/>
    <m/>
    <m/>
    <m/>
    <m/>
    <x v="1"/>
    <s v="PCOM - Precommissioning"/>
    <s v="E"/>
    <x v="0"/>
    <x v="0"/>
    <s v="Cable FROM PS5-61-IU-0001B TO PS5-61-IJ-0001"/>
    <s v="EACOP"/>
    <s v="CPP AGI"/>
    <m/>
    <m/>
    <s v="4"/>
    <m/>
    <m/>
    <s v="TZ-MID-68-WPR2-150101"/>
    <s v="PS5 - TZA - PS5 - Tanzania"/>
    <s v="PS5-60-04 - Power Generation Package B"/>
    <d v="2026-04-24T13:47:51"/>
    <s v="PS5-60-04"/>
    <x v="0"/>
    <x v="0"/>
    <s v="HV Power Cable"/>
    <s v="E"/>
    <x v="1"/>
    <s v="PS5 - Milestone B"/>
    <s v="TM-00022"/>
    <s v="Mohamed, Amira"/>
    <s v="TZ-MID-68-WPR2-150101"/>
  </r>
  <r>
    <s v="T-00022-3383"/>
    <s v="PS5-61-IJ-0001-CH07"/>
    <m/>
    <m/>
    <m/>
    <m/>
    <x v="1"/>
    <s v="PCOM - Precommissioning"/>
    <s v="E"/>
    <x v="0"/>
    <x v="0"/>
    <s v="Cable FROM PS5-61-IU-0001C TO PS5-61-IJ-0001"/>
    <s v="EACOP"/>
    <s v="CPP AGI"/>
    <m/>
    <m/>
    <s v="4"/>
    <m/>
    <m/>
    <s v="TZ-MID-68-WPR2-150101"/>
    <s v="PS5 - TZA - PS5 - Tanzania"/>
    <s v="PS5-60-07 - Power Generation Package C"/>
    <d v="2026-04-24T13:48:27"/>
    <s v="PS5-60-07"/>
    <x v="1"/>
    <x v="0"/>
    <s v="HV Power Cable"/>
    <s v="E"/>
    <x v="1"/>
    <s v="PS5 - Milestone D"/>
    <s v="TM-00022"/>
    <s v="Mohamed, Amira"/>
    <s v="TZ-MID-68-WPR2-150101"/>
  </r>
  <r>
    <s v="T-00022-3384"/>
    <s v="PS5-61-IJ-0001-CH08"/>
    <m/>
    <m/>
    <m/>
    <m/>
    <x v="1"/>
    <s v="PCOM - Precommissioning"/>
    <s v="E"/>
    <x v="0"/>
    <x v="0"/>
    <s v="Cable FROM PS5-61-IU-0001C TO PS5-61-IJ-0001"/>
    <s v="EACOP"/>
    <s v="CPP AGI"/>
    <m/>
    <m/>
    <s v="4"/>
    <m/>
    <m/>
    <s v="TZ-MID-68-WPR2-150101"/>
    <s v="PS5 - TZA - PS5 - Tanzania"/>
    <s v="PS5-60-07 - Power Generation Package C"/>
    <d v="2026-04-24T13:48:57"/>
    <s v="PS5-60-07"/>
    <x v="1"/>
    <x v="0"/>
    <s v="HV Power Cable"/>
    <s v="E"/>
    <x v="1"/>
    <s v="PS5 - Milestone D"/>
    <s v="TM-00022"/>
    <s v="Mohamed, Amira"/>
    <s v="TZ-MID-68-WPR2-150101"/>
  </r>
  <r>
    <s v="T-00022-3385"/>
    <s v="PS5-61-IJ-0001-CH09"/>
    <m/>
    <m/>
    <m/>
    <m/>
    <x v="1"/>
    <s v="PCOM - Precommissioning"/>
    <s v="E"/>
    <x v="0"/>
    <x v="0"/>
    <s v="Cable FROM PS5-61-IU-0001C TO PS5-61-IJ-0001"/>
    <s v="EACOP"/>
    <s v="CPP AGI"/>
    <m/>
    <m/>
    <s v="4"/>
    <m/>
    <m/>
    <s v="TZ-MID-68-WPR2-150101"/>
    <s v="PS5 - TZA - PS5 - Tanzania"/>
    <s v="PS5-60-07 - Power Generation Package C"/>
    <d v="2026-04-24T08:14:22"/>
    <s v="PS5-60-07"/>
    <x v="1"/>
    <x v="0"/>
    <s v="HV Power Cable"/>
    <s v="E"/>
    <x v="1"/>
    <s v="PS5 - Milestone D"/>
    <s v="TM-00022"/>
    <s v="ovchinnikov, konstantin"/>
    <s v="TZ-MID-68-WPR2-150101"/>
  </r>
  <r>
    <s v="T-00022-3386"/>
    <s v="PS5-61-IJ-0001-CH10"/>
    <m/>
    <m/>
    <m/>
    <m/>
    <x v="1"/>
    <s v="PCOM - Precommissioning"/>
    <s v="E"/>
    <x v="0"/>
    <x v="0"/>
    <s v="Cable FROM PS5-61-IU-0001D TO PS5-61-IJ-0001"/>
    <s v="EACOP"/>
    <s v="CPP AGI"/>
    <m/>
    <m/>
    <s v="4"/>
    <m/>
    <m/>
    <s v="TZ-MID-68-WPR2-150101"/>
    <s v="PS5 - TZA - PS5 - Tanzania"/>
    <s v="PS5-60-10 - Power Generation Package D"/>
    <d v="2026-04-24T08:14:56"/>
    <s v="PS5-60-10"/>
    <x v="1"/>
    <x v="0"/>
    <s v="HV Power Cable"/>
    <s v="E"/>
    <x v="1"/>
    <s v="PS5 - Milestone D"/>
    <s v="TM-00022"/>
    <s v="ovchinnikov, konstantin"/>
    <s v="TZ-MID-68-WPR2-150101"/>
  </r>
  <r>
    <s v="T-00022-3387"/>
    <s v="PS5-61-IJ-0001-CH11"/>
    <m/>
    <m/>
    <m/>
    <m/>
    <x v="1"/>
    <s v="PCOM - Precommissioning"/>
    <s v="E"/>
    <x v="0"/>
    <x v="0"/>
    <s v="Cable FROM PS5-61-IU-0001D TO PS5-61-IJ-0001"/>
    <s v="EACOP"/>
    <s v="CPP AGI"/>
    <m/>
    <m/>
    <s v="4"/>
    <m/>
    <m/>
    <s v="TZ-MID-68-WPR2-150101"/>
    <s v="PS5 - TZA - PS5 - Tanzania"/>
    <s v="PS5-60-10 - Power Generation Package D"/>
    <d v="2026-04-24T08:15:26"/>
    <s v="PS5-60-10"/>
    <x v="1"/>
    <x v="0"/>
    <s v="HV Power Cable"/>
    <s v="E"/>
    <x v="1"/>
    <s v="PS5 - Milestone D"/>
    <s v="TM-00022"/>
    <s v="ovchinnikov, konstantin"/>
    <s v="TZ-MID-68-WPR2-150101"/>
  </r>
  <r>
    <s v="T-00022-3388"/>
    <s v="PS5-61-IJ-0001-CH12"/>
    <m/>
    <m/>
    <m/>
    <m/>
    <x v="1"/>
    <s v="PCOM - Precommissioning"/>
    <s v="E"/>
    <x v="0"/>
    <x v="0"/>
    <s v="Cable FROM PS5-61-IU-0001D TO PS5-61-IJ-0001"/>
    <s v="EACOP"/>
    <s v="CPP AGI"/>
    <m/>
    <m/>
    <s v="4"/>
    <m/>
    <m/>
    <s v="TZ-MID-68-WPR2-150101"/>
    <s v="PS5 - TZA - PS5 - Tanzania"/>
    <s v="PS5-60-10 - Power Generation Package D"/>
    <d v="2026-04-24T08:16:42"/>
    <s v="PS5-60-10"/>
    <x v="1"/>
    <x v="0"/>
    <s v="HV Power Cable"/>
    <s v="E"/>
    <x v="1"/>
    <s v="PS5 - Milestone D"/>
    <s v="TM-00022"/>
    <s v="ovchinnikov, konstantin"/>
    <s v="TZ-MID-68-WPR2-150101"/>
  </r>
  <r>
    <s v="T-00022-3410"/>
    <s v="PS5-61-IU-0001A-CH01"/>
    <m/>
    <m/>
    <m/>
    <m/>
    <x v="1"/>
    <s v="PCOM - Precommissioning"/>
    <s v="E"/>
    <x v="0"/>
    <x v="0"/>
    <s v="Cable FROM PS5-60-GE-8100A TO PS5-61-IU-0001A"/>
    <s v="EACOP"/>
    <s v="CPP AGI"/>
    <m/>
    <m/>
    <s v="4"/>
    <m/>
    <m/>
    <s v="TZ-MID-68-WPR2-150101"/>
    <s v="PS5 - TZA - PS5 - Tanzania"/>
    <s v="PS5-60-01 - Power Generation Package A"/>
    <d v="2026-02-18T12:59:04"/>
    <s v="PS5-60-01"/>
    <x v="0"/>
    <x v="0"/>
    <s v="HV Power Cable"/>
    <s v="E"/>
    <x v="1"/>
    <s v="PS5 - Milestone B"/>
    <s v="TM-00022"/>
    <s v="arun, jabesteen"/>
    <s v="TZ-MID-68-WPR2-150101"/>
  </r>
  <r>
    <s v="T-00022-3411"/>
    <s v="PS5-61-IU-0001A-CH02"/>
    <m/>
    <m/>
    <m/>
    <m/>
    <x v="1"/>
    <s v="PCOM - Precommissioning"/>
    <s v="E"/>
    <x v="0"/>
    <x v="0"/>
    <s v="Cable FROM PS5-60-GE-8100A TO PS5-61-IU-0001A"/>
    <s v="EACOP"/>
    <s v="CPP AGI"/>
    <m/>
    <m/>
    <s v="4"/>
    <m/>
    <m/>
    <s v="TZ-MID-68-WPR2-150101"/>
    <s v="PS5 - TZA - PS5 - Tanzania"/>
    <s v="PS5-60-01 - Power Generation Package A"/>
    <d v="2026-02-18T13:03:16"/>
    <s v="PS5-60-01"/>
    <x v="0"/>
    <x v="0"/>
    <s v="HV Power Cable"/>
    <s v="E"/>
    <x v="1"/>
    <s v="PS5 - Milestone B"/>
    <s v="TM-00022"/>
    <s v="arun, jabesteen"/>
    <s v="TZ-MID-68-WPR2-150101"/>
  </r>
  <r>
    <s v="T-00022-3412"/>
    <s v="PS5-61-IU-0001A-CH03"/>
    <m/>
    <m/>
    <m/>
    <m/>
    <x v="1"/>
    <s v="PCOM - Precommissioning"/>
    <s v="E"/>
    <x v="0"/>
    <x v="0"/>
    <s v="Cable FROM PS5-60-GE-8100A TO PS5-61-IU-0001A"/>
    <s v="EACOP"/>
    <s v="CPP AGI"/>
    <m/>
    <m/>
    <s v="4"/>
    <m/>
    <m/>
    <s v="TZ-MID-68-WPR2-150101"/>
    <s v="PS5 - TZA - PS5 - Tanzania"/>
    <s v="PS5-60-01 - Power Generation Package A"/>
    <d v="2026-02-18T13:05:55"/>
    <s v="PS5-60-01"/>
    <x v="0"/>
    <x v="0"/>
    <s v="HV Power Cable"/>
    <s v="E"/>
    <x v="1"/>
    <s v="PS5 - Milestone B"/>
    <s v="TM-00022"/>
    <s v="arun, jabesteen"/>
    <s v="TZ-MID-68-WPR2-150101"/>
  </r>
  <r>
    <s v="T-00022-3413"/>
    <s v="PS5-61-IU-0001B-CH01"/>
    <m/>
    <m/>
    <m/>
    <m/>
    <x v="1"/>
    <s v="PCOM - Precommissioning"/>
    <s v="E"/>
    <x v="0"/>
    <x v="0"/>
    <s v="Cable FROM PS5-60-GE-8100B TO PS5-61-IU-0001B"/>
    <s v="EACOP"/>
    <s v="CPP AGI"/>
    <m/>
    <m/>
    <s v="4"/>
    <m/>
    <m/>
    <s v="TZ-MID-68-WPR2-150101"/>
    <s v="PS5 - TZA - PS5 - Tanzania"/>
    <s v="PS5-60-04 - Power Generation Package B"/>
    <d v="2026-02-18T13:08:42"/>
    <s v="PS5-60-04"/>
    <x v="0"/>
    <x v="0"/>
    <s v="HV Power Cable"/>
    <s v="E"/>
    <x v="1"/>
    <s v="PS5 - Milestone B"/>
    <s v="TM-00022"/>
    <s v="arun, jabesteen"/>
    <s v="TZ-MID-68-WPR2-150101"/>
  </r>
  <r>
    <s v="T-00022-3414"/>
    <s v="PS5-61-IU-0001B-CH02"/>
    <m/>
    <m/>
    <m/>
    <m/>
    <x v="1"/>
    <s v="PCOM - Precommissioning"/>
    <s v="E"/>
    <x v="0"/>
    <x v="0"/>
    <s v="Cable FROM PS5-60-GE-8100B TO PS5-61-IU-0001B"/>
    <s v="EACOP"/>
    <s v="CPP AGI"/>
    <m/>
    <m/>
    <s v="4"/>
    <m/>
    <m/>
    <s v="TZ-MID-68-WPR2-150101"/>
    <s v="PS5 - TZA - PS5 - Tanzania"/>
    <s v="PS5-60-04 - Power Generation Package B"/>
    <d v="2026-02-18T13:10:32"/>
    <s v="PS5-60-04"/>
    <x v="0"/>
    <x v="0"/>
    <s v="HV Power Cable"/>
    <s v="E"/>
    <x v="1"/>
    <s v="PS5 - Milestone B"/>
    <s v="TM-00022"/>
    <s v="arun, jabesteen"/>
    <s v="TZ-MID-68-WPR2-150101"/>
  </r>
  <r>
    <s v="T-00022-3415"/>
    <s v="PS5-61-IU-0001B-CH03"/>
    <m/>
    <m/>
    <m/>
    <m/>
    <x v="1"/>
    <s v="PCOM - Precommissioning"/>
    <s v="E"/>
    <x v="0"/>
    <x v="0"/>
    <s v="Cable FROM PS5-60-GE-8100B TO PS5-61-IU-0001B"/>
    <s v="EACOP"/>
    <s v="CPP AGI"/>
    <m/>
    <m/>
    <s v="4"/>
    <m/>
    <m/>
    <s v="TZ-MID-68-WPR2-150101"/>
    <s v="PS5 - TZA - PS5 - Tanzania"/>
    <s v="PS5-60-04 - Power Generation Package B"/>
    <d v="2026-02-18T13:13:14"/>
    <s v="PS5-60-04"/>
    <x v="0"/>
    <x v="0"/>
    <s v="HV Power Cable"/>
    <s v="E"/>
    <x v="1"/>
    <s v="PS5 - Milestone B"/>
    <s v="TM-00022"/>
    <s v="arun, jabesteen"/>
    <s v="TZ-MID-68-WPR2-150101"/>
  </r>
  <r>
    <s v="T-00022-3416"/>
    <s v="PS5-61-IU-0001C-CH01"/>
    <m/>
    <m/>
    <m/>
    <m/>
    <x v="1"/>
    <s v="PCOM - Precommissioning"/>
    <s v="E"/>
    <x v="0"/>
    <x v="0"/>
    <s v="Cable FROM PS5-60-GE-8100C TO PS5-61-IU-0001C"/>
    <s v="EACOP"/>
    <s v="CPP AGI"/>
    <m/>
    <m/>
    <s v="4"/>
    <m/>
    <m/>
    <s v="TZ-MID-68-WPR2-150101"/>
    <s v="PS5 - TZA - PS5 - Tanzania"/>
    <s v="PS5-60-07 - Power Generation Package C"/>
    <d v="2026-02-19T12:38:31"/>
    <s v="PS5-60-07"/>
    <x v="1"/>
    <x v="0"/>
    <s v="HV Power Cable"/>
    <s v="E"/>
    <x v="1"/>
    <s v="PS5 - Milestone D"/>
    <s v="TM-00022"/>
    <s v="arun, jabesteen"/>
    <s v="TZ-MID-68-WPR2-150101"/>
  </r>
  <r>
    <s v="T-00022-3417"/>
    <s v="PS5-61-IU-0001C-CH02"/>
    <m/>
    <m/>
    <m/>
    <m/>
    <x v="1"/>
    <s v="PCOM - Precommissioning"/>
    <s v="E"/>
    <x v="0"/>
    <x v="0"/>
    <s v="Cable FROM PS5-60-GE-8100C TO PS5-61-IU-0001C"/>
    <s v="EACOP"/>
    <s v="CPP AGI"/>
    <m/>
    <m/>
    <s v="4"/>
    <m/>
    <m/>
    <s v="TZ-MID-68-WPR2-150101"/>
    <s v="PS5 - TZA - PS5 - Tanzania"/>
    <s v="PS5-60-07 - Power Generation Package C"/>
    <d v="2026-02-19T12:39:54"/>
    <s v="PS5-60-07"/>
    <x v="1"/>
    <x v="0"/>
    <s v="HV Power Cable"/>
    <s v="E"/>
    <x v="1"/>
    <s v="PS5 - Milestone D"/>
    <s v="TM-00022"/>
    <s v="arun, jabesteen"/>
    <s v="TZ-MID-68-WPR2-150101"/>
  </r>
  <r>
    <s v="T-00022-3418"/>
    <s v="PS5-61-IU-0001C-CH03"/>
    <m/>
    <m/>
    <m/>
    <m/>
    <x v="1"/>
    <s v="PCOM - Precommissioning"/>
    <s v="E"/>
    <x v="0"/>
    <x v="0"/>
    <s v="Cable FROM PS5-60-GE-8100C TO PS5-61-IU-0001C"/>
    <s v="EACOP"/>
    <s v="CPP AGI"/>
    <m/>
    <m/>
    <s v="4"/>
    <m/>
    <m/>
    <s v="TZ-MID-68-WPR2-150101"/>
    <s v="PS5 - TZA - PS5 - Tanzania"/>
    <s v="PS5-60-07 - Power Generation Package C"/>
    <d v="2026-02-19T12:44:50"/>
    <s v="PS5-60-07"/>
    <x v="1"/>
    <x v="0"/>
    <s v="HV Power Cable"/>
    <s v="E"/>
    <x v="1"/>
    <s v="PS5 - Milestone D"/>
    <s v="TM-00022"/>
    <s v="arun, jabesteen"/>
    <s v="TZ-MID-68-WPR2-150101"/>
  </r>
  <r>
    <s v="T-00022-3419"/>
    <s v="PS5-61-IU-0001D-CH01"/>
    <m/>
    <m/>
    <m/>
    <m/>
    <x v="1"/>
    <s v="PCOM - Precommissioning"/>
    <s v="E"/>
    <x v="0"/>
    <x v="0"/>
    <s v="Cable FROM PS5-60-GE-8100D TO PS5-61-IU-0001D"/>
    <s v="EACOP"/>
    <s v="CPP AGI"/>
    <m/>
    <m/>
    <s v="4"/>
    <m/>
    <m/>
    <s v="TZ-MID-68-WPR2-150101"/>
    <s v="PS5 - TZA - PS5 - Tanzania"/>
    <s v="PS5-60-10 - Power Generation Package D"/>
    <d v="2026-02-19T12:46:16"/>
    <s v="PS5-60-10"/>
    <x v="1"/>
    <x v="0"/>
    <s v="HV Power Cable"/>
    <s v="E"/>
    <x v="1"/>
    <s v="PS5 - Milestone D"/>
    <s v="TM-00022"/>
    <s v="arun, jabesteen"/>
    <s v="TZ-MID-68-WPR2-150101"/>
  </r>
  <r>
    <s v="T-00022-3420"/>
    <s v="PS5-61-IU-0001D-CH02"/>
    <m/>
    <m/>
    <m/>
    <m/>
    <x v="1"/>
    <s v="PCOM - Precommissioning"/>
    <s v="E"/>
    <x v="0"/>
    <x v="0"/>
    <s v="Cable FROM PS5-60-GE-8100D TO PS5-61-IU-0001D"/>
    <s v="EACOP"/>
    <s v="CPP AGI"/>
    <m/>
    <m/>
    <s v="4"/>
    <m/>
    <m/>
    <s v="TZ-MID-68-WPR2-150101"/>
    <s v="PS5 - TZA - PS5 - Tanzania"/>
    <s v="PS5-60-10 - Power Generation Package D"/>
    <d v="2026-02-19T12:48:04"/>
    <s v="PS5-60-10"/>
    <x v="1"/>
    <x v="0"/>
    <s v="HV Power Cable"/>
    <s v="E"/>
    <x v="1"/>
    <s v="PS5 - Milestone D"/>
    <s v="TM-00022"/>
    <s v="arun, jabesteen"/>
    <s v="TZ-MID-68-WPR2-150101"/>
  </r>
  <r>
    <s v="T-00022-3421"/>
    <s v="PS5-61-IU-0001D-CH03"/>
    <m/>
    <m/>
    <m/>
    <m/>
    <x v="1"/>
    <s v="PCOM - Precommissioning"/>
    <s v="E"/>
    <x v="0"/>
    <x v="0"/>
    <s v="Cable FROM PS5-60-GE-8100D TO PS5-61-IU-0001D"/>
    <s v="EACOP"/>
    <s v="CPP AGI"/>
    <m/>
    <m/>
    <s v="4"/>
    <m/>
    <m/>
    <s v="TZ-MID-68-WPR2-150101"/>
    <s v="PS5 - TZA - PS5 - Tanzania"/>
    <s v="PS5-60-10 - Power Generation Package D"/>
    <d v="2026-02-19T12:50:11"/>
    <s v="PS5-60-10"/>
    <x v="1"/>
    <x v="0"/>
    <s v="HV Power Cable"/>
    <s v="E"/>
    <x v="1"/>
    <s v="PS5 - Milestone D"/>
    <s v="TM-00022"/>
    <s v="arun, jabesteen"/>
    <s v="TZ-MID-68-WPR2-150101"/>
  </r>
  <r>
    <s v="T-00023-10536"/>
    <s v="PS5-60-IN-0002A-CG01"/>
    <m/>
    <m/>
    <m/>
    <m/>
    <x v="2"/>
    <s v="PCOM - Precommissioning"/>
    <s v="E"/>
    <x v="0"/>
    <x v="0"/>
    <s v="Cable FROM PS5-60-IH-0001A TO PS5-60-IN-0002A"/>
    <s v="EACOP"/>
    <s v="CPP AGI"/>
    <m/>
    <m/>
    <s v="1"/>
    <m/>
    <s v="1"/>
    <m/>
    <s v="PS5 - TZA - PS5 - Tanzania"/>
    <s v="PS5-60-57 - Fuel Conditioning Module PS5-60-UZ-8900A (UCP)"/>
    <m/>
    <s v="PS5-60-57"/>
    <x v="0"/>
    <x v="0"/>
    <s v="LV Power Cable"/>
    <s v="E"/>
    <x v="0"/>
    <s v="PS5 - Milestone B"/>
    <s v="TM-00023"/>
    <m/>
    <m/>
  </r>
  <r>
    <s v="T-00023-10537"/>
    <s v="PS5-60-IN-0002B-CG01"/>
    <m/>
    <m/>
    <m/>
    <m/>
    <x v="2"/>
    <s v="PCOM - Precommissioning"/>
    <s v="E"/>
    <x v="0"/>
    <x v="0"/>
    <s v="Cable FROM PS5-60-IH-0001B TO PS5-60-IN-0002B"/>
    <s v="EACOP"/>
    <s v="CPP AGI"/>
    <m/>
    <m/>
    <s v="1"/>
    <m/>
    <s v="1"/>
    <m/>
    <s v="PS5 - TZA - PS5 - Tanzania"/>
    <s v="PS5-60-59 - Fuel Conditioning Module PS5-60-UZ-8900B (UCP)"/>
    <m/>
    <s v="PS5-60-59"/>
    <x v="0"/>
    <x v="0"/>
    <s v="LV Power Cable"/>
    <s v="E"/>
    <x v="0"/>
    <s v="PS5 - Milestone B"/>
    <s v="TM-00023"/>
    <m/>
    <m/>
  </r>
  <r>
    <s v="T-00023-10538"/>
    <s v="PS5-60-IN-0002C-CG01"/>
    <m/>
    <m/>
    <m/>
    <m/>
    <x v="2"/>
    <s v="PCOM - Precommissioning"/>
    <s v="E"/>
    <x v="0"/>
    <x v="0"/>
    <s v="Cable FROM PS5-60-IH-0001C TO PS5-60-IN-0002C"/>
    <s v="EACOP"/>
    <s v="CPP AGI"/>
    <m/>
    <m/>
    <s v="1"/>
    <m/>
    <s v="1"/>
    <m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023"/>
    <m/>
    <m/>
  </r>
  <r>
    <s v="T-00023-10539"/>
    <s v="PS5-60-IN-0002D-CG01"/>
    <m/>
    <m/>
    <m/>
    <m/>
    <x v="2"/>
    <s v="PCOM - Precommissioning"/>
    <s v="E"/>
    <x v="0"/>
    <x v="0"/>
    <s v="Cable FROM PS5-60-IH-0001D TO PS5-60-IN-0002D"/>
    <s v="EACOP"/>
    <s v="CPP AGI"/>
    <m/>
    <m/>
    <s v="1"/>
    <m/>
    <s v="1"/>
    <m/>
    <s v="PS5 - TZA - PS5 - Tanzania"/>
    <s v="PS5-60-63 - Fuel Conditioning Module PS5-60-UZ-8900D (UCP)"/>
    <m/>
    <s v="PS5-60-63"/>
    <x v="1"/>
    <x v="0"/>
    <s v="LV Power Cable"/>
    <s v="E"/>
    <x v="0"/>
    <s v="PS5 - Milestone D"/>
    <s v="TM-00023"/>
    <m/>
    <m/>
  </r>
  <r>
    <s v="T-00023-10593"/>
    <s v="PS5-60-IH-0001A-CG01"/>
    <m/>
    <m/>
    <m/>
    <m/>
    <x v="2"/>
    <s v="PCOM - Precommissioning"/>
    <s v="E"/>
    <x v="0"/>
    <x v="0"/>
    <s v="Cable FROM PS5-61-IK-0003 TO PS5-60-IH-0001A"/>
    <s v="EACOP"/>
    <s v="CPP AGI"/>
    <m/>
    <m/>
    <s v="1"/>
    <m/>
    <s v="1"/>
    <m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m/>
  </r>
  <r>
    <s v="T-00023-10594"/>
    <s v="PS5-60-IH-0001B-CG01"/>
    <m/>
    <m/>
    <m/>
    <m/>
    <x v="2"/>
    <s v="PCOM - Precommissioning"/>
    <s v="E"/>
    <x v="0"/>
    <x v="0"/>
    <s v="Cable FROM PS5-61-IK-0003 TO PS5-60-IH-0001B"/>
    <s v="EACOP"/>
    <s v="CPP AGI"/>
    <m/>
    <m/>
    <s v="1"/>
    <m/>
    <s v="1"/>
    <m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m/>
  </r>
  <r>
    <s v="T-00023-10595"/>
    <s v="PS5-60-IH-0001C-CG01"/>
    <m/>
    <m/>
    <m/>
    <m/>
    <x v="2"/>
    <s v="PCOM - Precommissioning"/>
    <s v="E"/>
    <x v="0"/>
    <x v="0"/>
    <s v="Cable FROM PS5-61-IK-0003 TO PS5-60-IH-0001C"/>
    <s v="EACOP"/>
    <s v="CPP AGI"/>
    <m/>
    <m/>
    <s v="1"/>
    <m/>
    <s v="1"/>
    <m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m/>
  </r>
  <r>
    <s v="T-00023-10596"/>
    <s v="PS5-60-IH-0001D-CG01"/>
    <m/>
    <m/>
    <m/>
    <m/>
    <x v="2"/>
    <s v="PCOM - Precommissioning"/>
    <s v="E"/>
    <x v="0"/>
    <x v="0"/>
    <s v="Cable FROM PS5-61-IK-0003 TO PS5-60-IH-0001D"/>
    <s v="EACOP"/>
    <s v="CPP AGI"/>
    <m/>
    <m/>
    <s v="1"/>
    <m/>
    <s v="1"/>
    <m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m/>
  </r>
  <r>
    <s v="T-00023-10600"/>
    <s v="PS5-60-IH-0002-CG01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s v="1"/>
    <m/>
    <s v="PS5 - TZA - PS5 - Tanzania"/>
    <s v="PS5-60-22 - Power Gen Master UCP"/>
    <m/>
    <s v="PS5-60-22"/>
    <x v="0"/>
    <x v="0"/>
    <s v="LV Power Cable"/>
    <s v="E"/>
    <x v="0"/>
    <s v="PS5 - Milestone B"/>
    <s v="TM-00023"/>
    <m/>
    <m/>
  </r>
  <r>
    <s v="T-00023-10601"/>
    <s v="PS5-60-IH-0002-CG02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s v="1"/>
    <m/>
    <s v="PS5 - TZA - PS5 - Tanzania"/>
    <s v="PS5-60-22 - Power Gen Master UCP"/>
    <m/>
    <s v="PS5-60-22"/>
    <x v="0"/>
    <x v="0"/>
    <s v="LV Power Cable"/>
    <s v="E"/>
    <x v="0"/>
    <s v="PS5 - Milestone B"/>
    <s v="TM-00023"/>
    <m/>
    <m/>
  </r>
  <r>
    <s v="T-00023-10887"/>
    <s v="PS5-60-BE-0007A-CL02"/>
    <m/>
    <m/>
    <m/>
    <m/>
    <x v="2"/>
    <s v="PCOM - Precommissioning"/>
    <s v="E"/>
    <x v="0"/>
    <x v="0"/>
    <s v="Cable FROM PS5-60-IN-0002A TO PS5-60-BE-0007A"/>
    <s v="EACOP"/>
    <s v="CPP AGI"/>
    <m/>
    <m/>
    <s v="1"/>
    <m/>
    <s v="1"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10888"/>
    <s v="PS5-60-BE-0007A-CL03"/>
    <m/>
    <m/>
    <m/>
    <m/>
    <x v="2"/>
    <s v="PCOM - Precommissioning"/>
    <s v="E"/>
    <x v="0"/>
    <x v="0"/>
    <s v="Cable FROM PS5-60-IN-0002A TO PS5-60-BE-0007A"/>
    <s v="EACOP"/>
    <s v="CPP AGI"/>
    <m/>
    <m/>
    <s v="1"/>
    <m/>
    <s v="1"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10889"/>
    <s v="PS5-60-BE-0007B-CL02"/>
    <m/>
    <m/>
    <m/>
    <m/>
    <x v="2"/>
    <s v="PCOM - Precommissioning"/>
    <s v="E"/>
    <x v="0"/>
    <x v="0"/>
    <s v="Cable FROM PS5-60-IN-0002B TO PS5-60-BE-0007B"/>
    <s v="EACOP"/>
    <s v="CPP AGI"/>
    <m/>
    <m/>
    <s v="1"/>
    <m/>
    <s v="1"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10890"/>
    <s v="PS5-60-BE-0007B-CL03"/>
    <m/>
    <m/>
    <m/>
    <m/>
    <x v="2"/>
    <s v="PCOM - Precommissioning"/>
    <s v="E"/>
    <x v="0"/>
    <x v="0"/>
    <s v="Cable FROM PS5-60-IN-0002B TO PS5-60-BE-0007B"/>
    <s v="EACOP"/>
    <s v="CPP AGI"/>
    <m/>
    <m/>
    <s v="1"/>
    <m/>
    <s v="1"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10891"/>
    <s v="PS5-60-BE-0007C-CL02"/>
    <m/>
    <m/>
    <m/>
    <m/>
    <x v="2"/>
    <s v="PCOM - Precommissioning"/>
    <s v="E"/>
    <x v="0"/>
    <x v="0"/>
    <s v="Cable FROM PS5-60-IN-0002C TO PS5-60-BE-0007C"/>
    <s v="EACOP"/>
    <s v="CPP AGI"/>
    <m/>
    <m/>
    <s v="1"/>
    <m/>
    <s v="1"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10892"/>
    <s v="PS5-60-BE-0007C-CL03"/>
    <m/>
    <m/>
    <m/>
    <m/>
    <x v="2"/>
    <s v="PCOM - Precommissioning"/>
    <s v="E"/>
    <x v="0"/>
    <x v="0"/>
    <s v="Cable FROM PS5-60-IN-0002C TO PS5-60-BE-0007C"/>
    <s v="EACOP"/>
    <s v="CPP AGI"/>
    <m/>
    <m/>
    <s v="1"/>
    <m/>
    <s v="1"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10893"/>
    <s v="PS5-60-BE-0007D-CL02"/>
    <m/>
    <m/>
    <m/>
    <m/>
    <x v="2"/>
    <s v="PCOM - Precommissioning"/>
    <s v="E"/>
    <x v="0"/>
    <x v="0"/>
    <s v="Cable FROM PS5-60-IN-0002D TO PS5-60-BE-0007D"/>
    <s v="EACOP"/>
    <s v="CPP AGI"/>
    <m/>
    <m/>
    <s v="1"/>
    <m/>
    <s v="1"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10894"/>
    <s v="PS5-60-BE-0007D-CL03"/>
    <m/>
    <m/>
    <m/>
    <m/>
    <x v="2"/>
    <s v="PCOM - Precommissioning"/>
    <s v="E"/>
    <x v="0"/>
    <x v="0"/>
    <s v="Cable FROM PS5-60-IN-0002D TO PS5-60-BE-0007D"/>
    <s v="EACOP"/>
    <s v="CPP AGI"/>
    <m/>
    <m/>
    <s v="1"/>
    <m/>
    <s v="1"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10901"/>
    <s v="PS5-60-ISO-62800A-CL01"/>
    <m/>
    <m/>
    <m/>
    <m/>
    <x v="2"/>
    <s v="PCOM - Precommissioning"/>
    <s v="E"/>
    <x v="0"/>
    <x v="0"/>
    <s v="Cable FROM PS5-60-IH-0001A TO PS5-60-ISO-62800A"/>
    <s v="EACOP"/>
    <s v="CPP AGI"/>
    <m/>
    <m/>
    <s v="1"/>
    <m/>
    <s v="1"/>
    <m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m/>
  </r>
  <r>
    <s v="T-00023-10902"/>
    <s v="PS5-60-ISO-62800C-CL01"/>
    <m/>
    <m/>
    <m/>
    <m/>
    <x v="2"/>
    <s v="PCOM - Precommissioning"/>
    <s v="E"/>
    <x v="0"/>
    <x v="0"/>
    <s v="Cable FROM PS5-60-IH-0001C TO PS5-60-ISO-62800C"/>
    <s v="EACOP"/>
    <s v="CPP AGI"/>
    <m/>
    <m/>
    <s v="1"/>
    <m/>
    <s v="1"/>
    <m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m/>
  </r>
  <r>
    <s v="T-00023-11250"/>
    <s v="PS5-71-BE-0001A-CL01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1"/>
    <s v="PS5-71-BE-0001A-CL02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2"/>
    <s v="PS5-71-BE-0001A-CL03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3"/>
    <s v="PS5-71-BE-0001A-CL04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4"/>
    <s v="PS5-71-BE-0001A-CL05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5"/>
    <s v="PS5-71-BE-0001A-CL06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6"/>
    <s v="PS5-71-BE-0001A-CL07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7"/>
    <s v="PS5-71-BE-0001A-CL08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8"/>
    <s v="PS5-71-BE-0001A-CL09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59"/>
    <s v="PS5-71-BE-0001A-CL10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0"/>
    <s v="PS5-71-BE-0001A-CL11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1"/>
    <s v="PS5-71-BE-0001A-CL12"/>
    <m/>
    <m/>
    <m/>
    <m/>
    <x v="2"/>
    <s v="PCOM - Precommissioning"/>
    <s v="E"/>
    <x v="0"/>
    <x v="0"/>
    <s v="Cable FROM PS5-71-IN-0004A TO PS5-71-BE-0001A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2"/>
    <s v="PS5-71-BE-0001B-CL01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3"/>
    <s v="PS5-71-BE-0001B-CL02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4"/>
    <s v="PS5-71-BE-0001B-CL03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5"/>
    <s v="PS5-71-BE-0001B-CL04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6"/>
    <s v="PS5-71-BE-0001B-CL05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7"/>
    <s v="PS5-71-BE-0001B-CL06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8"/>
    <s v="PS5-71-BE-0001B-CL07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69"/>
    <s v="PS5-71-BE-0001B-CL08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70"/>
    <s v="PS5-71-BE-0001B-CL09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71"/>
    <s v="PS5-71-BE-0001B-CL10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72"/>
    <s v="PS5-71-BE-0001B-CL11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11273"/>
    <s v="PS5-71-BE-0001B-CL12"/>
    <m/>
    <m/>
    <m/>
    <m/>
    <x v="2"/>
    <s v="PCOM - Precommissioning"/>
    <s v="E"/>
    <x v="0"/>
    <x v="0"/>
    <s v="Cable FROM PS5-71-IN-0004B TO PS5-71-BE-0001B"/>
    <s v="EACOP"/>
    <s v="CPP AGI"/>
    <m/>
    <m/>
    <s v="1"/>
    <m/>
    <s v="1"/>
    <m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m/>
  </r>
  <r>
    <s v="T-00023-4725"/>
    <s v="PS5-03-SEA-0003-CL01"/>
    <m/>
    <m/>
    <m/>
    <m/>
    <x v="2"/>
    <s v="PCOM - Precommissioning"/>
    <s v="E"/>
    <x v="0"/>
    <x v="0"/>
    <s v="Cable FROM PS5-06-IG-0004A TO PS5-03-SEA-0003"/>
    <s v="EACOP"/>
    <s v="CPP AGI"/>
    <m/>
    <m/>
    <s v="1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023"/>
    <m/>
    <s v="TZ-MID-68-WPR2-150101"/>
  </r>
  <r>
    <s v="T-00023-4978"/>
    <s v="PS5-60-BE-0001-CL01"/>
    <m/>
    <m/>
    <m/>
    <m/>
    <x v="2"/>
    <s v="PCOM - Precommissioning"/>
    <s v="E"/>
    <x v="0"/>
    <x v="0"/>
    <s v="Cable FROM PS5-60-IH-0002 TO PS5-60-BE-0001"/>
    <s v="EACOP"/>
    <s v="CPP AGI"/>
    <m/>
    <m/>
    <s v="1"/>
    <m/>
    <m/>
    <s v="TZ-MID-68-WPR2-150101"/>
    <s v="PS5 - TZA - PS5 - Tanzania"/>
    <s v="PS5-60-27 - Compressed Air Starting Skid"/>
    <m/>
    <s v="PS5-60-27"/>
    <x v="0"/>
    <x v="0"/>
    <s v="LV Power Cable"/>
    <s v="E"/>
    <x v="0"/>
    <s v="PS5 - Milestone B"/>
    <s v="TM-00023"/>
    <m/>
    <s v="TZ-MID-68-WPR2-150101"/>
  </r>
  <r>
    <s v="T-00023-4979"/>
    <s v="PS5-60-BE-0001-CL02"/>
    <m/>
    <m/>
    <m/>
    <m/>
    <x v="2"/>
    <s v="PCOM - Precommissioning"/>
    <s v="E"/>
    <x v="0"/>
    <x v="0"/>
    <s v="Cable FROM PS5-60-IH-0002 TO PS5-60-BE-0001"/>
    <s v="EACOP"/>
    <s v="CPP AGI"/>
    <m/>
    <m/>
    <s v="1"/>
    <m/>
    <m/>
    <s v="TZ-MID-68-WPR2-150101"/>
    <s v="PS5 - TZA - PS5 - Tanzania"/>
    <s v="PS5-60-27 - Compressed Air Starting Skid"/>
    <m/>
    <s v="PS5-60-27"/>
    <x v="0"/>
    <x v="0"/>
    <s v="LV Power Cable"/>
    <s v="E"/>
    <x v="0"/>
    <s v="PS5 - Milestone B"/>
    <s v="TM-00023"/>
    <m/>
    <s v="TZ-MID-68-WPR2-150101"/>
  </r>
  <r>
    <s v="T-00023-4981"/>
    <s v="PS5-60-BE-0001-CL04"/>
    <m/>
    <m/>
    <m/>
    <m/>
    <x v="2"/>
    <s v="PCOM - Precommissioning"/>
    <s v="E"/>
    <x v="0"/>
    <x v="0"/>
    <s v="Cable FROM PS5-06-IG-0004B TO PS5-60-BE-0001"/>
    <s v="EACOP"/>
    <s v="CPP AGI"/>
    <m/>
    <m/>
    <s v="1"/>
    <m/>
    <m/>
    <s v="TZ-MID-68-WPR2-150101"/>
    <s v="PS5 - TZA - PS5 - Tanzania"/>
    <s v="PS5-60-27 - Compressed Air Starting Skid"/>
    <m/>
    <s v="PS5-60-27"/>
    <x v="0"/>
    <x v="0"/>
    <s v="LV Power Cable"/>
    <s v="E"/>
    <x v="0"/>
    <s v="PS5 - Milestone B"/>
    <s v="TM-00023"/>
    <m/>
    <s v="TZ-MID-68-WPR2-150101"/>
  </r>
  <r>
    <s v="T-00023-4982"/>
    <s v="PS5-60-BE-0002-CL01"/>
    <m/>
    <m/>
    <m/>
    <m/>
    <x v="2"/>
    <s v="PCOM - Precommissioning"/>
    <s v="E"/>
    <x v="0"/>
    <x v="0"/>
    <s v="Cable FROM PS5-60-IH-0002 TO PS5-60-BE-0002"/>
    <s v="EACOP"/>
    <s v="CPP AGI"/>
    <m/>
    <m/>
    <s v="1"/>
    <m/>
    <m/>
    <s v="TZ-MID-68-WPR2-150101"/>
    <s v="PS5 - TZA - PS5 - Tanzania"/>
    <s v="PS5-60-26 - Instrument Air Compressor Skid"/>
    <m/>
    <s v="PS5-60-26"/>
    <x v="0"/>
    <x v="0"/>
    <s v="LV Power Cable"/>
    <s v="E"/>
    <x v="0"/>
    <s v="PS5 - Milestone B"/>
    <s v="TM-00023"/>
    <m/>
    <s v="TZ-MID-68-WPR2-150101"/>
  </r>
  <r>
    <s v="T-00023-4983"/>
    <s v="PS5-60-BE-0002-CL02"/>
    <m/>
    <m/>
    <m/>
    <m/>
    <x v="2"/>
    <s v="PCOM - Precommissioning"/>
    <s v="E"/>
    <x v="0"/>
    <x v="0"/>
    <s v="Cable FROM PS5-60-IH-0002 TO PS5-60-BE-0002"/>
    <s v="EACOP"/>
    <s v="CPP AGI"/>
    <m/>
    <m/>
    <s v="1"/>
    <m/>
    <m/>
    <s v="TZ-MID-68-WPR2-150101"/>
    <s v="PS5 - TZA - PS5 - Tanzania"/>
    <s v="PS5-60-26 - Instrument Air Compressor Skid"/>
    <m/>
    <s v="PS5-60-26"/>
    <x v="0"/>
    <x v="0"/>
    <s v="LV Power Cable"/>
    <s v="E"/>
    <x v="0"/>
    <s v="PS5 - Milestone B"/>
    <s v="TM-00023"/>
    <m/>
    <s v="TZ-MID-68-WPR2-150101"/>
  </r>
  <r>
    <s v="T-00023-4984"/>
    <s v="PS5-60-BE-0002-CL03"/>
    <m/>
    <m/>
    <m/>
    <m/>
    <x v="2"/>
    <s v="PCOM - Precommissioning"/>
    <s v="E"/>
    <x v="0"/>
    <x v="0"/>
    <s v="Cable FROM PS5-60-IH-0002 TO PS5-60-BE-0002"/>
    <s v="EACOP"/>
    <s v="CPP AGI"/>
    <m/>
    <m/>
    <s v="1"/>
    <m/>
    <m/>
    <s v="TZ-MID-68-WPR2-150101"/>
    <s v="PS5 - TZA - PS5 - Tanzania"/>
    <s v="PS5-60-26 - Instrument Air Compressor Skid"/>
    <m/>
    <s v="PS5-60-26"/>
    <x v="0"/>
    <x v="0"/>
    <s v="LV Power Cable"/>
    <s v="E"/>
    <x v="0"/>
    <s v="PS5 - Milestone B"/>
    <s v="TM-00023"/>
    <m/>
    <s v="TZ-MID-68-WPR2-150101"/>
  </r>
  <r>
    <s v="T-00023-4986"/>
    <s v="PS5-60-BE-0002-CL05"/>
    <m/>
    <m/>
    <m/>
    <m/>
    <x v="2"/>
    <s v="PCOM - Precommissioning"/>
    <s v="E"/>
    <x v="0"/>
    <x v="0"/>
    <s v="Cable FROM PS5-06-IG-0004B TO PS5-60-BE-0002"/>
    <s v="EACOP"/>
    <s v="CPP AGI"/>
    <m/>
    <m/>
    <s v="1"/>
    <m/>
    <m/>
    <s v="TZ-MID-68-WPR2-150101"/>
    <s v="PS5 - TZA - PS5 - Tanzania"/>
    <s v="PS5-60-26 - Instrument Air Compressor Skid"/>
    <m/>
    <s v="PS5-60-26"/>
    <x v="0"/>
    <x v="0"/>
    <s v="LV Power Cable"/>
    <s v="E"/>
    <x v="0"/>
    <s v="PS5 - Milestone B"/>
    <s v="TM-00023"/>
    <m/>
    <s v="TZ-MID-68-WPR2-150101"/>
  </r>
  <r>
    <s v="T-00023-4987"/>
    <s v="PS5-60-BE-0003A-CL01"/>
    <m/>
    <m/>
    <m/>
    <m/>
    <x v="2"/>
    <s v="PCOM - Precommissioning"/>
    <s v="E"/>
    <x v="0"/>
    <x v="0"/>
    <s v="Cable FROM PS5-60-IH-0001A TO PS5-60-BE-0003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4988"/>
    <s v="PS5-60-BE-0003B-CL01"/>
    <m/>
    <m/>
    <m/>
    <m/>
    <x v="2"/>
    <s v="PCOM - Precommissioning"/>
    <s v="E"/>
    <x v="0"/>
    <x v="0"/>
    <s v="Cable FROM PS5-60-IH-0001B TO PS5-60-BE-0003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4989"/>
    <s v="PS5-60-BE-0003C-CL01"/>
    <m/>
    <m/>
    <m/>
    <m/>
    <x v="2"/>
    <s v="PCOM - Precommissioning"/>
    <s v="E"/>
    <x v="0"/>
    <x v="0"/>
    <s v="Cable FROM PS5-60-IH-0001C TO PS5-60-BE-0003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4990"/>
    <s v="PS5-60-BE-0003D-CL01"/>
    <m/>
    <m/>
    <m/>
    <m/>
    <x v="2"/>
    <s v="PCOM - Precommissioning"/>
    <s v="E"/>
    <x v="0"/>
    <x v="0"/>
    <s v="Cable FROM PS5-60-IH-0001D TO PS5-60-BE-0003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4994"/>
    <s v="PS5-60-BE-0004A-CL01"/>
    <m/>
    <m/>
    <m/>
    <m/>
    <x v="2"/>
    <s v="PCOM - Precommissioning"/>
    <s v="E"/>
    <x v="0"/>
    <x v="0"/>
    <s v="Cable FROM PS5-60-IH-0001A TO PS5-60-BE-0004A"/>
    <s v="EACOP"/>
    <s v="CPP AGI"/>
    <m/>
    <m/>
    <s v="1"/>
    <m/>
    <m/>
    <s v="TZ-MID-68-WPR2-150101"/>
    <s v="PS5 - TZA - PS5 - Tanzania"/>
    <s v="PS5-60-49 - Lube Oil Separator Module PS5-60-UO-81100A"/>
    <m/>
    <s v="PS5-60-49"/>
    <x v="0"/>
    <x v="0"/>
    <s v="LV Power Cable"/>
    <s v="E"/>
    <x v="0"/>
    <s v="PS5 - Milestone B"/>
    <s v="TM-00023"/>
    <m/>
    <s v="TZ-MID-68-WPR2-150101"/>
  </r>
  <r>
    <s v="T-00023-4995"/>
    <s v="PS5-60-BE-0004B-CL01"/>
    <m/>
    <m/>
    <m/>
    <m/>
    <x v="2"/>
    <s v="PCOM - Precommissioning"/>
    <s v="E"/>
    <x v="0"/>
    <x v="0"/>
    <s v="Cable FROM PS5-60-IH-0001B TO PS5-60-BE-0004B"/>
    <s v="EACOP"/>
    <s v="CPP AGI"/>
    <m/>
    <m/>
    <s v="1"/>
    <m/>
    <m/>
    <s v="TZ-MID-68-WPR2-150101"/>
    <s v="PS5 - TZA - PS5 - Tanzania"/>
    <s v="PS5-60-50 - Lube Oil Separator Module PS5-60-UO-81100B"/>
    <m/>
    <s v="PS5-60-50"/>
    <x v="0"/>
    <x v="0"/>
    <s v="LV Power Cable"/>
    <s v="E"/>
    <x v="0"/>
    <s v="PS5 - Milestone B"/>
    <s v="TM-00023"/>
    <m/>
    <s v="TZ-MID-68-WPR2-150101"/>
  </r>
  <r>
    <s v="T-00023-4996"/>
    <s v="PS5-60-BE-0004C-CL01"/>
    <m/>
    <m/>
    <m/>
    <m/>
    <x v="2"/>
    <s v="PCOM - Precommissioning"/>
    <s v="E"/>
    <x v="0"/>
    <x v="0"/>
    <s v="Cable FROM PS5-60-IH-0001C TO PS5-60-BE-0004C"/>
    <s v="EACOP"/>
    <s v="CPP AGI"/>
    <m/>
    <m/>
    <s v="1"/>
    <m/>
    <m/>
    <s v="TZ-MID-68-WPR2-150101"/>
    <s v="PS5 - TZA - PS5 - Tanzania"/>
    <s v="PS5-60-51 - Lube Oil Separator Module PS5-60-UO-81100C"/>
    <m/>
    <s v="PS5-60-51"/>
    <x v="1"/>
    <x v="0"/>
    <s v="LV Power Cable"/>
    <s v="E"/>
    <x v="0"/>
    <s v="PS5 - Milestone D"/>
    <s v="TM-00023"/>
    <m/>
    <s v="TZ-MID-68-WPR2-150101"/>
  </r>
  <r>
    <s v="T-00023-4997"/>
    <s v="PS5-60-BE-0004D-CL01"/>
    <m/>
    <m/>
    <m/>
    <m/>
    <x v="2"/>
    <s v="PCOM - Precommissioning"/>
    <s v="E"/>
    <x v="0"/>
    <x v="0"/>
    <s v="Cable FROM PS5-60-IH-0001D TO PS5-60-BE-0004D"/>
    <s v="EACOP"/>
    <s v="CPP AGI"/>
    <m/>
    <m/>
    <s v="1"/>
    <m/>
    <m/>
    <s v="TZ-MID-68-WPR2-150101"/>
    <s v="PS5 - TZA - PS5 - Tanzania"/>
    <s v="PS5-60-52 - Lube Oil Separator Module PS5-60-UO-81100D"/>
    <m/>
    <s v="PS5-60-52"/>
    <x v="1"/>
    <x v="0"/>
    <s v="LV Power Cable"/>
    <s v="E"/>
    <x v="0"/>
    <s v="PS5 - Milestone D"/>
    <s v="TM-00023"/>
    <m/>
    <s v="TZ-MID-68-WPR2-150101"/>
  </r>
  <r>
    <s v="T-00023-5001"/>
    <s v="PS5-60-BE-0005A-CL01"/>
    <m/>
    <m/>
    <m/>
    <m/>
    <x v="2"/>
    <s v="PCOM - Precommissioning"/>
    <s v="E"/>
    <x v="0"/>
    <x v="0"/>
    <s v="Cable FROM PS5-60-IH-0001A TO PS5-60-BE-0005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02"/>
    <s v="PS5-60-BE-0005B-CL01"/>
    <m/>
    <m/>
    <m/>
    <m/>
    <x v="2"/>
    <s v="PCOM - Precommissioning"/>
    <s v="E"/>
    <x v="0"/>
    <x v="0"/>
    <s v="Cable FROM PS5-60-IH-0001B TO PS5-60-BE-0005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03"/>
    <s v="PS5-60-BE-0005C-CL01"/>
    <m/>
    <m/>
    <m/>
    <m/>
    <x v="2"/>
    <s v="PCOM - Precommissioning"/>
    <s v="E"/>
    <x v="0"/>
    <x v="0"/>
    <s v="Cable FROM PS5-60-IH-0001C TO PS5-60-BE-0005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04"/>
    <s v="PS5-60-BE-0005D-CL01"/>
    <m/>
    <m/>
    <m/>
    <m/>
    <x v="2"/>
    <s v="PCOM - Precommissioning"/>
    <s v="E"/>
    <x v="0"/>
    <x v="0"/>
    <s v="Cable FROM PS5-60-IH-0001D TO PS5-60-BE-0005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08"/>
    <s v="PS5-60-BE-0011A-CL01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09"/>
    <s v="PS5-60-BE-0011A-CL02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0"/>
    <s v="PS5-60-BE-0011A-CL03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1"/>
    <s v="PS5-60-BE-0011A-CL04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2"/>
    <s v="PS5-60-BE-0011A-CL05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3"/>
    <s v="PS5-60-BE-0011A-CL06"/>
    <m/>
    <m/>
    <m/>
    <m/>
    <x v="2"/>
    <s v="PCOM - Precommissioning"/>
    <s v="E"/>
    <x v="0"/>
    <x v="0"/>
    <s v="Cable FROM PS5-60-IH-0001A TO PS5-60-BE-0011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4"/>
    <s v="PS5-60-BE-0011B-CL01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5"/>
    <s v="PS5-60-BE-0011B-CL02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6"/>
    <s v="PS5-60-BE-0011B-CL03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7"/>
    <s v="PS5-60-BE-0011B-CL04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8"/>
    <s v="PS5-60-BE-0011B-CL05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19"/>
    <s v="PS5-60-BE-0011B-CL06"/>
    <m/>
    <m/>
    <m/>
    <m/>
    <x v="2"/>
    <s v="PCOM - Precommissioning"/>
    <s v="E"/>
    <x v="0"/>
    <x v="0"/>
    <s v="Cable FROM PS5-60-IH-0001A TO PS5-60-BE-0011B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020"/>
    <s v="PS5-60-BE-0012A-CL01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1"/>
    <s v="PS5-60-BE-0012A-CL02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2"/>
    <s v="PS5-60-BE-0012A-CL03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3"/>
    <s v="PS5-60-BE-0012A-CL04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4"/>
    <s v="PS5-60-BE-0012A-CL05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5"/>
    <s v="PS5-60-BE-0012A-CL06"/>
    <m/>
    <m/>
    <m/>
    <m/>
    <x v="2"/>
    <s v="PCOM - Precommissioning"/>
    <s v="E"/>
    <x v="0"/>
    <x v="0"/>
    <s v="Cable FROM PS5-60-IH-0001B TO PS5-60-BE-0012A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6"/>
    <s v="PS5-60-BE-0012B-CL01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7"/>
    <s v="PS5-60-BE-0012B-CL02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8"/>
    <s v="PS5-60-BE-0012B-CL03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29"/>
    <s v="PS5-60-BE-0012B-CL04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30"/>
    <s v="PS5-60-BE-0012B-CL05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31"/>
    <s v="PS5-60-BE-0012B-CL06"/>
    <m/>
    <m/>
    <m/>
    <m/>
    <x v="2"/>
    <s v="PCOM - Precommissioning"/>
    <s v="E"/>
    <x v="0"/>
    <x v="0"/>
    <s v="Cable FROM PS5-60-IH-0001B TO PS5-60-BE-001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032"/>
    <s v="PS5-60-BE-0013A-CL01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3"/>
    <s v="PS5-60-BE-0013A-CL02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4"/>
    <s v="PS5-60-BE-0013A-CL03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5"/>
    <s v="PS5-60-BE-0013A-CL04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6"/>
    <s v="PS5-60-BE-0013A-CL05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7"/>
    <s v="PS5-60-BE-0013A-CL06"/>
    <m/>
    <m/>
    <m/>
    <m/>
    <x v="2"/>
    <s v="PCOM - Precommissioning"/>
    <s v="E"/>
    <x v="0"/>
    <x v="0"/>
    <s v="Cable FROM PS5-60-IH-0001C TO PS5-60-BE-0013A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8"/>
    <s v="PS5-60-BE-0013B-CL01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39"/>
    <s v="PS5-60-BE-0013B-CL02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40"/>
    <s v="PS5-60-BE-0013B-CL03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41"/>
    <s v="PS5-60-BE-0013B-CL04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42"/>
    <s v="PS5-60-BE-0013B-CL05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43"/>
    <s v="PS5-60-BE-0013B-CL06"/>
    <m/>
    <m/>
    <m/>
    <m/>
    <x v="2"/>
    <s v="PCOM - Precommissioning"/>
    <s v="E"/>
    <x v="0"/>
    <x v="0"/>
    <s v="Cable FROM PS5-60-IH-0001C TO PS5-60-BE-0013B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044"/>
    <s v="PS5-60-BE-0014A-CL01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45"/>
    <s v="PS5-60-BE-0014A-CL02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46"/>
    <s v="PS5-60-BE-0014A-CL03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47"/>
    <s v="PS5-60-BE-0014A-CL04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48"/>
    <s v="PS5-60-BE-0014A-CL05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49"/>
    <s v="PS5-60-BE-0014A-CL06"/>
    <m/>
    <m/>
    <m/>
    <m/>
    <x v="2"/>
    <s v="PCOM - Precommissioning"/>
    <s v="E"/>
    <x v="0"/>
    <x v="0"/>
    <s v="Cable FROM PS5-60-IH-0001D TO PS5-60-BE-0014A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0"/>
    <s v="PS5-60-BE-0014B-CL01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1"/>
    <s v="PS5-60-BE-0014B-CL02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2"/>
    <s v="PS5-60-BE-0014B-CL03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3"/>
    <s v="PS5-60-BE-0014B-CL04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4"/>
    <s v="PS5-60-BE-0014B-CL05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55"/>
    <s v="PS5-60-BE-0014B-CL06"/>
    <m/>
    <m/>
    <m/>
    <m/>
    <x v="2"/>
    <s v="PCOM - Precommissioning"/>
    <s v="E"/>
    <x v="0"/>
    <x v="0"/>
    <s v="Cable FROM PS5-60-IH-0001D TO PS5-60-BE-0014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092"/>
    <s v="PS5-60-BE-0021A-CL01"/>
    <m/>
    <m/>
    <m/>
    <m/>
    <x v="2"/>
    <s v="PCOM - Precommissioning"/>
    <s v="E"/>
    <x v="0"/>
    <x v="0"/>
    <s v="Cable FROM PS5-60-IH-0002 TO PS5-60-BE-0021A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093"/>
    <s v="PS5-60-BE-0021B-CL01"/>
    <m/>
    <m/>
    <m/>
    <m/>
    <x v="2"/>
    <s v="PCOM - Precommissioning"/>
    <s v="E"/>
    <x v="0"/>
    <x v="0"/>
    <s v="Cable FROM PS5-60-IH-0002 TO PS5-60-BE-0021B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094"/>
    <s v="PS5-60-BE-0024A-CL01"/>
    <m/>
    <m/>
    <m/>
    <m/>
    <x v="2"/>
    <s v="PCOM - Precommissioning"/>
    <s v="E"/>
    <x v="0"/>
    <x v="0"/>
    <s v="Cable FROM PS5-60-IH-0001A TO PS5-60-BE-0024A"/>
    <s v="EACOP"/>
    <s v="CPP AGI"/>
    <m/>
    <m/>
    <s v="1"/>
    <m/>
    <m/>
    <s v="TZ-MID-68-WPR2-150101"/>
    <s v="PS5 - TZA - PS5 - Tanzania"/>
    <s v="PS5-60-35 - Injector Tip Cooling Module A"/>
    <m/>
    <s v="PS5-60-35"/>
    <x v="0"/>
    <x v="0"/>
    <s v="LV Power Cable"/>
    <s v="E"/>
    <x v="0"/>
    <s v="PS5 - Milestone B"/>
    <s v="TM-00023"/>
    <m/>
    <s v="TZ-MID-68-WPR2-150101"/>
  </r>
  <r>
    <s v="T-00023-5095"/>
    <s v="PS5-60-BE-0024A-CL02"/>
    <m/>
    <m/>
    <m/>
    <m/>
    <x v="2"/>
    <s v="PCOM - Precommissioning"/>
    <s v="E"/>
    <x v="0"/>
    <x v="0"/>
    <s v="Cable FROM PS5-60-IH-0001A TO PS5-60-BE-0024A"/>
    <s v="EACOP"/>
    <s v="CPP AGI"/>
    <m/>
    <m/>
    <s v="1"/>
    <m/>
    <m/>
    <s v="TZ-MID-68-WPR2-150101"/>
    <s v="PS5 - TZA - PS5 - Tanzania"/>
    <s v="PS5-60-35 - Injector Tip Cooling Module A"/>
    <m/>
    <s v="PS5-60-35"/>
    <x v="0"/>
    <x v="0"/>
    <s v="LV Power Cable"/>
    <s v="E"/>
    <x v="0"/>
    <s v="PS5 - Milestone B"/>
    <s v="TM-00023"/>
    <m/>
    <s v="TZ-MID-68-WPR2-150101"/>
  </r>
  <r>
    <s v="T-00023-5096"/>
    <s v="PS5-60-BE-0024B-CL01"/>
    <m/>
    <m/>
    <m/>
    <m/>
    <x v="2"/>
    <s v="PCOM - Precommissioning"/>
    <s v="E"/>
    <x v="0"/>
    <x v="0"/>
    <s v="Cable FROM PS5-60-IH-0001B TO PS5-60-BE-0024B"/>
    <s v="EACOP"/>
    <s v="CPP AGI"/>
    <m/>
    <m/>
    <s v="1"/>
    <m/>
    <m/>
    <s v="TZ-MID-68-WPR2-150101"/>
    <s v="PS5 - TZA - PS5 - Tanzania"/>
    <s v="PS5-60-36 - Injector Tip Cooling Module B"/>
    <m/>
    <s v="PS5-60-36"/>
    <x v="0"/>
    <x v="0"/>
    <s v="LV Power Cable"/>
    <s v="E"/>
    <x v="0"/>
    <s v="PS5 - Milestone B"/>
    <s v="TM-00023"/>
    <m/>
    <s v="TZ-MID-68-WPR2-150101"/>
  </r>
  <r>
    <s v="T-00023-5097"/>
    <s v="PS5-60-BE-0024B-CL02"/>
    <m/>
    <m/>
    <m/>
    <m/>
    <x v="2"/>
    <s v="PCOM - Precommissioning"/>
    <s v="E"/>
    <x v="0"/>
    <x v="0"/>
    <s v="Cable FROM PS5-60-IH-0001B TO PS5-60-BE-0024B"/>
    <s v="EACOP"/>
    <s v="CPP AGI"/>
    <m/>
    <m/>
    <s v="1"/>
    <m/>
    <m/>
    <s v="TZ-MID-68-WPR2-150101"/>
    <s v="PS5 - TZA - PS5 - Tanzania"/>
    <s v="PS5-60-36 - Injector Tip Cooling Module B"/>
    <m/>
    <s v="PS5-60-36"/>
    <x v="0"/>
    <x v="0"/>
    <s v="LV Power Cable"/>
    <s v="E"/>
    <x v="0"/>
    <s v="PS5 - Milestone B"/>
    <s v="TM-00023"/>
    <m/>
    <s v="TZ-MID-68-WPR2-150101"/>
  </r>
  <r>
    <s v="T-00023-5098"/>
    <s v="PS5-60-BE-0024C-CL01"/>
    <m/>
    <m/>
    <m/>
    <m/>
    <x v="2"/>
    <s v="PCOM - Precommissioning"/>
    <s v="E"/>
    <x v="0"/>
    <x v="0"/>
    <s v="Cable FROM PS5-60-IH-0001C TO PS5-60-BE-0024C"/>
    <s v="EACOP"/>
    <s v="CPP AGI"/>
    <m/>
    <m/>
    <s v="1"/>
    <m/>
    <m/>
    <s v="TZ-MID-68-WPR2-150101"/>
    <s v="PS5 - TZA - PS5 - Tanzania"/>
    <s v="PS5-60-37 - Injector Tip Cooling Module C"/>
    <m/>
    <s v="PS5-60-37"/>
    <x v="1"/>
    <x v="0"/>
    <s v="LV Power Cable"/>
    <s v="E"/>
    <x v="0"/>
    <s v="PS5 - Milestone D"/>
    <s v="TM-00023"/>
    <m/>
    <s v="TZ-MID-68-WPR2-150101"/>
  </r>
  <r>
    <s v="T-00023-5099"/>
    <s v="PS5-60-BE-0024C-CL02"/>
    <m/>
    <m/>
    <m/>
    <m/>
    <x v="2"/>
    <s v="PCOM - Precommissioning"/>
    <s v="E"/>
    <x v="0"/>
    <x v="0"/>
    <s v="Cable FROM PS5-60-IH-0001C TO PS5-60-BE-0024C"/>
    <s v="EACOP"/>
    <s v="CPP AGI"/>
    <m/>
    <m/>
    <s v="1"/>
    <m/>
    <m/>
    <s v="TZ-MID-68-WPR2-150101"/>
    <s v="PS5 - TZA - PS5 - Tanzania"/>
    <s v="PS5-60-37 - Injector Tip Cooling Module C"/>
    <m/>
    <s v="PS5-60-37"/>
    <x v="1"/>
    <x v="0"/>
    <s v="LV Power Cable"/>
    <s v="E"/>
    <x v="0"/>
    <s v="PS5 - Milestone D"/>
    <s v="TM-00023"/>
    <m/>
    <s v="TZ-MID-68-WPR2-150101"/>
  </r>
  <r>
    <s v="T-00023-5100"/>
    <s v="PS5-60-BE-0024D-CL01"/>
    <m/>
    <m/>
    <m/>
    <m/>
    <x v="2"/>
    <s v="PCOM - Precommissioning"/>
    <s v="E"/>
    <x v="0"/>
    <x v="0"/>
    <s v="Cable FROM PS5-60-IH-0001D TO PS5-60-BE-0024D"/>
    <s v="EACOP"/>
    <s v="CPP AGI"/>
    <m/>
    <m/>
    <s v="1"/>
    <m/>
    <m/>
    <s v="TZ-MID-68-WPR2-150101"/>
    <s v="PS5 - TZA - PS5 - Tanzania"/>
    <s v="PS5-60-38 - Injector Tip Cooling Module D"/>
    <m/>
    <s v="PS5-60-38"/>
    <x v="1"/>
    <x v="0"/>
    <s v="LV Power Cable"/>
    <s v="E"/>
    <x v="0"/>
    <s v="PS5 - Milestone D"/>
    <s v="TM-00023"/>
    <m/>
    <s v="TZ-MID-68-WPR2-150101"/>
  </r>
  <r>
    <s v="T-00023-5101"/>
    <s v="PS5-60-BE-0024D-CL02"/>
    <m/>
    <m/>
    <m/>
    <m/>
    <x v="2"/>
    <s v="PCOM - Precommissioning"/>
    <s v="E"/>
    <x v="0"/>
    <x v="0"/>
    <s v="Cable FROM PS5-60-IH-0001D TO PS5-60-BE-0024D"/>
    <s v="EACOP"/>
    <s v="CPP AGI"/>
    <m/>
    <m/>
    <s v="1"/>
    <m/>
    <m/>
    <s v="TZ-MID-68-WPR2-150101"/>
    <s v="PS5 - TZA - PS5 - Tanzania"/>
    <s v="PS5-60-38 - Injector Tip Cooling Module D"/>
    <m/>
    <s v="PS5-60-38"/>
    <x v="1"/>
    <x v="0"/>
    <s v="LV Power Cable"/>
    <s v="E"/>
    <x v="0"/>
    <s v="PS5 - Milestone D"/>
    <s v="TM-00023"/>
    <m/>
    <s v="TZ-MID-68-WPR2-150101"/>
  </r>
  <r>
    <s v="T-00023-5108"/>
    <s v="PS5-60-BE-0025A-CL01"/>
    <m/>
    <m/>
    <m/>
    <m/>
    <x v="2"/>
    <s v="PCOM - Precommissioning"/>
    <s v="E"/>
    <x v="0"/>
    <x v="0"/>
    <s v="Cable FROM PS5-60-IH-0001A TO PS5-60-BE-0025A"/>
    <s v="EACOP"/>
    <s v="CPP AGI"/>
    <m/>
    <m/>
    <s v="1"/>
    <m/>
    <m/>
    <s v="TZ-MID-68-WPR2-150101"/>
    <s v="PS5 - TZA - PS5 - Tanzania"/>
    <s v="PS5-60-35 - Injector Tip Cooling Module A"/>
    <m/>
    <s v="PS5-60-35"/>
    <x v="0"/>
    <x v="0"/>
    <s v="LV Power Cable"/>
    <s v="E"/>
    <x v="0"/>
    <s v="PS5 - Milestone B"/>
    <s v="TM-00023"/>
    <m/>
    <s v="TZ-MID-68-WPR2-150101"/>
  </r>
  <r>
    <s v="T-00023-5109"/>
    <s v="PS5-60-BE-0025B-CL01"/>
    <m/>
    <m/>
    <m/>
    <m/>
    <x v="2"/>
    <s v="PCOM - Precommissioning"/>
    <s v="E"/>
    <x v="0"/>
    <x v="0"/>
    <s v="Cable FROM PS5-60-IH-0001B TO PS5-60-BE-0025B"/>
    <s v="EACOP"/>
    <s v="CPP AGI"/>
    <m/>
    <m/>
    <s v="1"/>
    <m/>
    <m/>
    <s v="TZ-MID-68-WPR2-150101"/>
    <s v="PS5 - TZA - PS5 - Tanzania"/>
    <s v="PS5-60-36 - Injector Tip Cooling Module B"/>
    <m/>
    <s v="PS5-60-36"/>
    <x v="0"/>
    <x v="0"/>
    <s v="LV Power Cable"/>
    <s v="E"/>
    <x v="0"/>
    <s v="PS5 - Milestone B"/>
    <s v="TM-00023"/>
    <m/>
    <s v="TZ-MID-68-WPR2-150101"/>
  </r>
  <r>
    <s v="T-00023-5110"/>
    <s v="PS5-60-BE-0025C-CL01"/>
    <m/>
    <m/>
    <m/>
    <m/>
    <x v="2"/>
    <s v="PCOM - Precommissioning"/>
    <s v="E"/>
    <x v="0"/>
    <x v="0"/>
    <s v="Cable FROM PS5-60-IH-0001C TO PS5-60-BE-0025C"/>
    <s v="EACOP"/>
    <s v="CPP AGI"/>
    <m/>
    <m/>
    <s v="1"/>
    <m/>
    <m/>
    <s v="TZ-MID-68-WPR2-150101"/>
    <s v="PS5 - TZA - PS5 - Tanzania"/>
    <s v="PS5-60-37 - Injector Tip Cooling Module C"/>
    <m/>
    <s v="PS5-60-37"/>
    <x v="1"/>
    <x v="0"/>
    <s v="LV Power Cable"/>
    <s v="E"/>
    <x v="0"/>
    <s v="PS5 - Milestone D"/>
    <s v="TM-00023"/>
    <m/>
    <s v="TZ-MID-68-WPR2-150101"/>
  </r>
  <r>
    <s v="T-00023-5111"/>
    <s v="PS5-60-BE-0025D-CL01"/>
    <m/>
    <m/>
    <m/>
    <m/>
    <x v="2"/>
    <s v="PCOM - Precommissioning"/>
    <s v="E"/>
    <x v="0"/>
    <x v="0"/>
    <s v="Cable FROM PS5-60-IH-0001D TO PS5-60-BE-0025D"/>
    <s v="EACOP"/>
    <s v="CPP AGI"/>
    <m/>
    <m/>
    <s v="1"/>
    <m/>
    <m/>
    <s v="TZ-MID-68-WPR2-150101"/>
    <s v="PS5 - TZA - PS5 - Tanzania"/>
    <s v="PS5-60-38 - Injector Tip Cooling Module D"/>
    <m/>
    <s v="PS5-60-38"/>
    <x v="1"/>
    <x v="0"/>
    <s v="LV Power Cable"/>
    <s v="E"/>
    <x v="0"/>
    <s v="PS5 - Milestone D"/>
    <s v="TM-00023"/>
    <m/>
    <s v="TZ-MID-68-WPR2-150101"/>
  </r>
  <r>
    <s v="T-00023-5115"/>
    <s v="PS5-60-BE-0026A-CL01"/>
    <m/>
    <m/>
    <m/>
    <m/>
    <x v="2"/>
    <s v="PCOM - Precommissioning"/>
    <s v="E"/>
    <x v="0"/>
    <x v="0"/>
    <s v="Cable FROM PS5-60-IH-0001A TO PS5-60-BE-0026A"/>
    <s v="EACOP"/>
    <s v="CPP AGI"/>
    <m/>
    <m/>
    <s v="1"/>
    <m/>
    <m/>
    <s v="TZ-MID-68-WPR2-150101"/>
    <s v="PS5 - TZA - PS5 - Tanzania"/>
    <s v="PS5-60-70 - Engine A Cooling system"/>
    <m/>
    <s v="PS5-60-70"/>
    <x v="0"/>
    <x v="0"/>
    <s v="LV Power Cable"/>
    <s v="E"/>
    <x v="0"/>
    <s v="PS5 - Milestone B"/>
    <s v="TM-00023"/>
    <m/>
    <s v="TZ-MID-68-WPR2-150101"/>
  </r>
  <r>
    <s v="T-00023-5116"/>
    <s v="PS5-60-BE-0026A-CL02"/>
    <m/>
    <m/>
    <m/>
    <m/>
    <x v="2"/>
    <s v="PCOM - Precommissioning"/>
    <s v="E"/>
    <x v="0"/>
    <x v="0"/>
    <s v="Cable FROM PS5-60-IH-0001A TO PS5-60-BE-0026A"/>
    <s v="EACOP"/>
    <s v="CPP AGI"/>
    <m/>
    <m/>
    <s v="1"/>
    <m/>
    <m/>
    <s v="TZ-MID-68-WPR2-150101"/>
    <s v="PS5 - TZA - PS5 - Tanzania"/>
    <s v="PS5-60-70 - Engine A Cooling system"/>
    <m/>
    <s v="PS5-60-70"/>
    <x v="0"/>
    <x v="0"/>
    <s v="LV Power Cable"/>
    <s v="E"/>
    <x v="0"/>
    <s v="PS5 - Milestone B"/>
    <s v="TM-00023"/>
    <m/>
    <s v="TZ-MID-68-WPR2-150101"/>
  </r>
  <r>
    <s v="T-00023-5117"/>
    <s v="PS5-60-BE-0026B-CL01"/>
    <m/>
    <m/>
    <m/>
    <m/>
    <x v="2"/>
    <s v="PCOM - Precommissioning"/>
    <s v="E"/>
    <x v="0"/>
    <x v="0"/>
    <s v="Cable FROM PS5-60-IH-0001B TO PS5-60-BE-0026B"/>
    <s v="EACOP"/>
    <s v="CPP AGI"/>
    <m/>
    <m/>
    <s v="1"/>
    <m/>
    <m/>
    <s v="TZ-MID-68-WPR2-150101"/>
    <s v="PS5 - TZA - PS5 - Tanzania"/>
    <s v="PS5-60-71 - Engine B Cooling system"/>
    <m/>
    <s v="PS5-60-71"/>
    <x v="0"/>
    <x v="0"/>
    <s v="LV Power Cable"/>
    <s v="E"/>
    <x v="0"/>
    <s v="PS5 - Milestone B"/>
    <s v="TM-00023"/>
    <m/>
    <s v="TZ-MID-68-WPR2-150101"/>
  </r>
  <r>
    <s v="T-00023-5118"/>
    <s v="PS5-60-BE-0026B-CL02"/>
    <m/>
    <m/>
    <m/>
    <m/>
    <x v="2"/>
    <s v="PCOM - Precommissioning"/>
    <s v="E"/>
    <x v="0"/>
    <x v="0"/>
    <s v="Cable FROM PS5-60-IH-0001B TO PS5-60-BE-0026B"/>
    <s v="EACOP"/>
    <s v="CPP AGI"/>
    <m/>
    <m/>
    <s v="1"/>
    <m/>
    <m/>
    <s v="TZ-MID-68-WPR2-150101"/>
    <s v="PS5 - TZA - PS5 - Tanzania"/>
    <s v="PS5-60-71 - Engine B Cooling system"/>
    <m/>
    <s v="PS5-60-71"/>
    <x v="0"/>
    <x v="0"/>
    <s v="LV Power Cable"/>
    <s v="E"/>
    <x v="0"/>
    <s v="PS5 - Milestone B"/>
    <s v="TM-00023"/>
    <m/>
    <s v="TZ-MID-68-WPR2-150101"/>
  </r>
  <r>
    <s v="T-00023-5119"/>
    <s v="PS5-60-BE-0026C-CL01"/>
    <m/>
    <m/>
    <m/>
    <m/>
    <x v="2"/>
    <s v="PCOM - Precommissioning"/>
    <s v="E"/>
    <x v="0"/>
    <x v="0"/>
    <s v="Cable FROM PS5-60-IH-0001C TO PS5-60-BE-0026C"/>
    <s v="EACOP"/>
    <s v="CPP AGI"/>
    <m/>
    <m/>
    <s v="1"/>
    <m/>
    <m/>
    <s v="TZ-MID-68-WPR2-150101"/>
    <s v="PS5 - TZA - PS5 - Tanzania"/>
    <s v="PS5-60-72 - Engine C Cooling system"/>
    <m/>
    <s v="PS5-60-72"/>
    <x v="1"/>
    <x v="0"/>
    <s v="LV Power Cable"/>
    <s v="E"/>
    <x v="0"/>
    <s v="PS5 - Milestone D"/>
    <s v="TM-00023"/>
    <m/>
    <s v="TZ-MID-68-WPR2-150101"/>
  </r>
  <r>
    <s v="T-00023-5120"/>
    <s v="PS5-60-BE-0026C-CL02"/>
    <m/>
    <m/>
    <m/>
    <m/>
    <x v="2"/>
    <s v="PCOM - Precommissioning"/>
    <s v="E"/>
    <x v="0"/>
    <x v="0"/>
    <s v="Cable FROM PS5-60-IH-0001C TO PS5-60-BE-0026C"/>
    <s v="EACOP"/>
    <s v="CPP AGI"/>
    <m/>
    <m/>
    <s v="1"/>
    <m/>
    <m/>
    <s v="TZ-MID-68-WPR2-150101"/>
    <s v="PS5 - TZA - PS5 - Tanzania"/>
    <s v="PS5-60-72 - Engine C Cooling system"/>
    <m/>
    <s v="PS5-60-72"/>
    <x v="1"/>
    <x v="0"/>
    <s v="LV Power Cable"/>
    <s v="E"/>
    <x v="0"/>
    <s v="PS5 - Milestone D"/>
    <s v="TM-00023"/>
    <m/>
    <s v="TZ-MID-68-WPR2-150101"/>
  </r>
  <r>
    <s v="T-00023-5121"/>
    <s v="PS5-60-BE-0026D-CL01"/>
    <m/>
    <m/>
    <m/>
    <m/>
    <x v="2"/>
    <s v="PCOM - Precommissioning"/>
    <s v="E"/>
    <x v="0"/>
    <x v="0"/>
    <s v="Cable FROM PS5-60-IH-0001D TO PS5-60-BE-0026D"/>
    <s v="EACOP"/>
    <s v="CPP AGI"/>
    <m/>
    <m/>
    <s v="1"/>
    <m/>
    <m/>
    <s v="TZ-MID-68-WPR2-150101"/>
    <s v="PS5 - TZA - PS5 - Tanzania"/>
    <s v="PS5-60-73 - Engine D Cooling system"/>
    <m/>
    <s v="PS5-60-73"/>
    <x v="1"/>
    <x v="0"/>
    <s v="LV Power Cable"/>
    <s v="E"/>
    <x v="0"/>
    <s v="PS5 - Milestone D"/>
    <s v="TM-00023"/>
    <m/>
    <s v="TZ-MID-68-WPR2-150101"/>
  </r>
  <r>
    <s v="T-00023-5122"/>
    <s v="PS5-60-BE-0026D-CL02"/>
    <m/>
    <m/>
    <m/>
    <m/>
    <x v="2"/>
    <s v="PCOM - Precommissioning"/>
    <s v="E"/>
    <x v="0"/>
    <x v="0"/>
    <s v="Cable FROM PS5-60-IH-0001D TO PS5-60-BE-0026D"/>
    <s v="EACOP"/>
    <s v="CPP AGI"/>
    <m/>
    <m/>
    <s v="1"/>
    <m/>
    <m/>
    <s v="TZ-MID-68-WPR2-150101"/>
    <s v="PS5 - TZA - PS5 - Tanzania"/>
    <s v="PS5-60-73 - Engine D Cooling system"/>
    <m/>
    <s v="PS5-60-73"/>
    <x v="1"/>
    <x v="0"/>
    <s v="LV Power Cable"/>
    <s v="E"/>
    <x v="0"/>
    <s v="PS5 - Milestone D"/>
    <s v="TM-00023"/>
    <m/>
    <s v="TZ-MID-68-WPR2-150101"/>
  </r>
  <r>
    <s v="T-00023-5129"/>
    <s v="PS5-60-BI-0005A-CL01"/>
    <m/>
    <m/>
    <m/>
    <m/>
    <x v="2"/>
    <s v="PCOM - Precommissioning"/>
    <s v="E"/>
    <x v="0"/>
    <x v="0"/>
    <s v="Cable FROM PS5-60-IH-0001A TO PS5-60-BI-0005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30"/>
    <s v="PS5-60-BI-0005B-CL01"/>
    <m/>
    <m/>
    <m/>
    <m/>
    <x v="2"/>
    <s v="PCOM - Precommissioning"/>
    <s v="E"/>
    <x v="0"/>
    <x v="0"/>
    <s v="Cable FROM PS5-60-IH-0001B TO PS5-60-BI-0005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31"/>
    <s v="PS5-60-BI-0005C-CL01"/>
    <m/>
    <m/>
    <m/>
    <m/>
    <x v="2"/>
    <s v="PCOM - Precommissioning"/>
    <s v="E"/>
    <x v="0"/>
    <x v="0"/>
    <s v="Cable FROM PS5-60-IH-0001C TO PS5-60-BI-0005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32"/>
    <s v="PS5-60-BI-0005D-CL01"/>
    <m/>
    <m/>
    <m/>
    <m/>
    <x v="2"/>
    <s v="PCOM - Precommissioning"/>
    <s v="E"/>
    <x v="0"/>
    <x v="0"/>
    <s v="Cable FROM PS5-60-IH-0001D TO PS5-60-BI-0005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36"/>
    <s v="PS5-60-BI-0015A-CL01"/>
    <m/>
    <m/>
    <m/>
    <m/>
    <x v="2"/>
    <s v="PCOM - Precommissioning"/>
    <s v="E"/>
    <x v="0"/>
    <x v="0"/>
    <s v="Cable FROM PS5-60-IH-0001A TO PS5-60-BI-0015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37"/>
    <s v="PS5-60-BI-0015A-CL02"/>
    <m/>
    <m/>
    <m/>
    <m/>
    <x v="2"/>
    <s v="PCOM - Precommissioning"/>
    <s v="E"/>
    <x v="0"/>
    <x v="0"/>
    <s v="Cable FROM PS5-60-IH-0001A TO PS5-60-BI-0015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38"/>
    <s v="PS5-60-BI-0015A-CL03"/>
    <m/>
    <m/>
    <m/>
    <m/>
    <x v="2"/>
    <s v="PCOM - Precommissioning"/>
    <s v="E"/>
    <x v="0"/>
    <x v="0"/>
    <s v="Cable FROM PS5-60-IH-0001A TO PS5-60-BI-0015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39"/>
    <s v="PS5-60-BI-0015B-CL01"/>
    <m/>
    <m/>
    <m/>
    <m/>
    <x v="2"/>
    <s v="PCOM - Precommissioning"/>
    <s v="E"/>
    <x v="0"/>
    <x v="0"/>
    <s v="Cable FROM PS5-60-IH-0001B TO PS5-60-BI-0015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40"/>
    <s v="PS5-60-BI-0015B-CL02"/>
    <m/>
    <m/>
    <m/>
    <m/>
    <x v="2"/>
    <s v="PCOM - Precommissioning"/>
    <s v="E"/>
    <x v="0"/>
    <x v="0"/>
    <s v="Cable FROM PS5-60-IH-0001B TO PS5-60-BI-0015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41"/>
    <s v="PS5-60-BI-0015B-CL03"/>
    <m/>
    <m/>
    <m/>
    <m/>
    <x v="2"/>
    <s v="PCOM - Precommissioning"/>
    <s v="E"/>
    <x v="0"/>
    <x v="0"/>
    <s v="Cable FROM PS5-60-IH-0001B TO PS5-60-BI-0015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42"/>
    <s v="PS5-60-BI-0015C-CL01"/>
    <m/>
    <m/>
    <m/>
    <m/>
    <x v="2"/>
    <s v="PCOM - Precommissioning"/>
    <s v="E"/>
    <x v="0"/>
    <x v="0"/>
    <s v="Cable FROM PS5-60-IH-0001C TO PS5-60-BI-0015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43"/>
    <s v="PS5-60-BI-0015C-CL02"/>
    <m/>
    <m/>
    <m/>
    <m/>
    <x v="2"/>
    <s v="PCOM - Precommissioning"/>
    <s v="E"/>
    <x v="0"/>
    <x v="0"/>
    <s v="Cable FROM PS5-60-IH-0001C TO PS5-60-BI-0015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44"/>
    <s v="PS5-60-BI-0015C-CL03"/>
    <m/>
    <m/>
    <m/>
    <m/>
    <x v="2"/>
    <s v="PCOM - Precommissioning"/>
    <s v="E"/>
    <x v="0"/>
    <x v="0"/>
    <s v="Cable FROM PS5-60-IH-0001C TO PS5-60-BI-0015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45"/>
    <s v="PS5-60-BI-0015D-CL01"/>
    <m/>
    <m/>
    <m/>
    <m/>
    <x v="2"/>
    <s v="PCOM - Precommissioning"/>
    <s v="E"/>
    <x v="0"/>
    <x v="0"/>
    <s v="Cable FROM PS5-60-IH-0001D TO PS5-60-BI-0015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46"/>
    <s v="PS5-60-BI-0015D-CL02"/>
    <m/>
    <m/>
    <m/>
    <m/>
    <x v="2"/>
    <s v="PCOM - Precommissioning"/>
    <s v="E"/>
    <x v="0"/>
    <x v="0"/>
    <s v="Cable FROM PS5-60-IH-0001D TO PS5-60-BI-0015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47"/>
    <s v="PS5-60-BI-0015D-CL03"/>
    <m/>
    <m/>
    <m/>
    <m/>
    <x v="2"/>
    <s v="PCOM - Precommissioning"/>
    <s v="E"/>
    <x v="0"/>
    <x v="0"/>
    <s v="Cable FROM PS5-60-IH-0001D TO PS5-60-BI-0015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57"/>
    <s v="PS5-60-DD-62800A-CL01"/>
    <m/>
    <m/>
    <m/>
    <m/>
    <x v="2"/>
    <s v="PCOM - Precommissioning"/>
    <s v="E"/>
    <x v="0"/>
    <x v="0"/>
    <s v="Cable FROM PS5-60-IH-0001A TO PS5-60-DD-62800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59"/>
    <s v="PS5-60-DD-62800C-CL01"/>
    <m/>
    <m/>
    <m/>
    <m/>
    <x v="2"/>
    <s v="PCOM - Precommissioning"/>
    <s v="E"/>
    <x v="0"/>
    <x v="0"/>
    <s v="Cable FROM PS5-60-IH-0001C TO PS5-60-DD-62800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66"/>
    <s v="PS5-60-IE-0002A-CL01"/>
    <m/>
    <m/>
    <m/>
    <m/>
    <x v="2"/>
    <s v="PCOM - Precommissioning"/>
    <s v="E"/>
    <x v="0"/>
    <x v="0"/>
    <s v="Cable FROM PS5-06-IG-0004A TO PS5-60-IE-0002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67"/>
    <s v="PS5-60-IE-0002A-CL02"/>
    <m/>
    <m/>
    <m/>
    <m/>
    <x v="2"/>
    <s v="PCOM - Precommissioning"/>
    <s v="E"/>
    <x v="0"/>
    <x v="0"/>
    <s v="Cable FROM PS5-06-IG-0004B TO PS5-60-IE-0002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68"/>
    <s v="PS5-60-IE-0002A-CL03"/>
    <m/>
    <m/>
    <m/>
    <m/>
    <x v="2"/>
    <s v="PCOM - Precommissioning"/>
    <s v="E"/>
    <x v="0"/>
    <x v="0"/>
    <s v="Cable FROM PS5-60-BI-0015A TO PS5-60-IE-0002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169"/>
    <s v="PS5-60-IE-0002B-CL01"/>
    <m/>
    <m/>
    <m/>
    <m/>
    <x v="2"/>
    <s v="PCOM - Precommissioning"/>
    <s v="E"/>
    <x v="0"/>
    <x v="0"/>
    <s v="Cable FROM PS5-06-IG-0004A TO PS5-60-IE-000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70"/>
    <s v="PS5-60-IE-0002B-CL02"/>
    <m/>
    <m/>
    <m/>
    <m/>
    <x v="2"/>
    <s v="PCOM - Precommissioning"/>
    <s v="E"/>
    <x v="0"/>
    <x v="0"/>
    <s v="Cable FROM PS5-06-IG-0004B TO PS5-60-IE-000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71"/>
    <s v="PS5-60-IE-0002B-CL03"/>
    <m/>
    <m/>
    <m/>
    <m/>
    <x v="2"/>
    <s v="PCOM - Precommissioning"/>
    <s v="E"/>
    <x v="0"/>
    <x v="0"/>
    <s v="Cable FROM PS5-60-BI-0015B TO PS5-60-IE-0002B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172"/>
    <s v="PS5-60-IE-0002C-CL01"/>
    <m/>
    <m/>
    <m/>
    <m/>
    <x v="2"/>
    <s v="PCOM - Precommissioning"/>
    <s v="E"/>
    <x v="0"/>
    <x v="0"/>
    <s v="Cable FROM PS5-06-IG-0004A TO PS5-60-IE-0002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73"/>
    <s v="PS5-60-IE-0002C-CL02"/>
    <m/>
    <m/>
    <m/>
    <m/>
    <x v="2"/>
    <s v="PCOM - Precommissioning"/>
    <s v="E"/>
    <x v="0"/>
    <x v="0"/>
    <s v="Cable FROM PS5-06-IG-0004B TO PS5-60-IE-0002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74"/>
    <s v="PS5-60-IE-0002C-CL03"/>
    <m/>
    <m/>
    <m/>
    <m/>
    <x v="2"/>
    <s v="PCOM - Precommissioning"/>
    <s v="E"/>
    <x v="0"/>
    <x v="0"/>
    <s v="Cable FROM PS5-60-BI-0015C TO PS5-60-IE-0002C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175"/>
    <s v="PS5-60-IE-0002D-CL01"/>
    <m/>
    <m/>
    <m/>
    <m/>
    <x v="2"/>
    <s v="PCOM - Precommissioning"/>
    <s v="E"/>
    <x v="0"/>
    <x v="0"/>
    <s v="Cable FROM PS5-06-IG-0004A TO PS5-60-IE-0002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76"/>
    <s v="PS5-60-IE-0002D-CL02"/>
    <m/>
    <m/>
    <m/>
    <m/>
    <x v="2"/>
    <s v="PCOM - Precommissioning"/>
    <s v="E"/>
    <x v="0"/>
    <x v="0"/>
    <s v="Cable FROM PS5-06-IG-0004B TO PS5-60-IE-0002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77"/>
    <s v="PS5-60-IE-0002D-CL03"/>
    <m/>
    <m/>
    <m/>
    <m/>
    <x v="2"/>
    <s v="PCOM - Precommissioning"/>
    <s v="E"/>
    <x v="0"/>
    <x v="0"/>
    <s v="Cable FROM PS5-60-BI-0015D TO PS5-60-IE-0002D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187"/>
    <s v="PS5-60-IE-0003A-CL01"/>
    <m/>
    <m/>
    <m/>
    <m/>
    <x v="2"/>
    <s v="PCOM - Precommissioning"/>
    <s v="E"/>
    <x v="0"/>
    <x v="0"/>
    <s v="Cable FROM PS5-06-IG-0004A TO PS5-60-IE-0003A"/>
    <s v="EACOP"/>
    <s v="CPP AGI"/>
    <m/>
    <m/>
    <s v="1"/>
    <m/>
    <m/>
    <s v="TZ-MID-68-WPR2-150101"/>
    <s v="PS5 - TZA - PS5 - Tanzania"/>
    <s v="PS5-60-02 - Power Gen Package A (UCP)"/>
    <m/>
    <s v="PS5-60-02"/>
    <x v="0"/>
    <x v="0"/>
    <s v="LV Power Cable"/>
    <s v="E"/>
    <x v="0"/>
    <s v="PS5 - Milestone B"/>
    <s v="TM-00023"/>
    <m/>
    <s v="TZ-MID-68-WPR2-150101"/>
  </r>
  <r>
    <s v="T-00023-5188"/>
    <s v="PS5-60-IE-0003A-CL02"/>
    <m/>
    <m/>
    <m/>
    <m/>
    <x v="2"/>
    <s v="PCOM - Precommissioning"/>
    <s v="E"/>
    <x v="0"/>
    <x v="0"/>
    <s v="Cable FROM PS5-06-IG-0004B TO PS5-60-IE-0003A"/>
    <s v="EACOP"/>
    <s v="CPP AGI"/>
    <m/>
    <m/>
    <s v="1"/>
    <m/>
    <m/>
    <s v="TZ-MID-68-WPR2-150101"/>
    <s v="PS5 - TZA - PS5 - Tanzania"/>
    <s v="PS5-60-02 - Power Gen Package A (UCP)"/>
    <m/>
    <s v="PS5-60-02"/>
    <x v="0"/>
    <x v="0"/>
    <s v="LV Power Cable"/>
    <s v="E"/>
    <x v="0"/>
    <s v="PS5 - Milestone B"/>
    <s v="TM-00023"/>
    <m/>
    <s v="TZ-MID-68-WPR2-150101"/>
  </r>
  <r>
    <s v="T-00023-5189"/>
    <s v="PS5-60-IE-0003B-CL01"/>
    <m/>
    <m/>
    <m/>
    <m/>
    <x v="2"/>
    <s v="PCOM - Precommissioning"/>
    <s v="E"/>
    <x v="0"/>
    <x v="0"/>
    <s v="Cable FROM PS5-06-IG-0004A TO PS5-60-IE-0003B"/>
    <s v="EACOP"/>
    <s v="CPP AGI"/>
    <m/>
    <m/>
    <s v="1"/>
    <m/>
    <m/>
    <s v="TZ-MID-68-WPR2-150101"/>
    <s v="PS5 - TZA - PS5 - Tanzania"/>
    <s v="PS5-60-05 - Power Gen Package B (UCP)"/>
    <m/>
    <s v="PS5-60-05"/>
    <x v="0"/>
    <x v="0"/>
    <s v="LV Power Cable"/>
    <s v="E"/>
    <x v="0"/>
    <s v="PS5 - Milestone B"/>
    <s v="TM-00023"/>
    <m/>
    <s v="TZ-MID-68-WPR2-150101"/>
  </r>
  <r>
    <s v="T-00023-5190"/>
    <s v="PS5-60-IE-0003B-CL02"/>
    <m/>
    <m/>
    <m/>
    <m/>
    <x v="2"/>
    <s v="PCOM - Precommissioning"/>
    <s v="E"/>
    <x v="0"/>
    <x v="0"/>
    <s v="Cable FROM PS5-06-IG-0004B TO PS5-60-IE-0003B"/>
    <s v="EACOP"/>
    <s v="CPP AGI"/>
    <m/>
    <m/>
    <s v="1"/>
    <m/>
    <m/>
    <s v="TZ-MID-68-WPR2-150101"/>
    <s v="PS5 - TZA - PS5 - Tanzania"/>
    <s v="PS5-60-05 - Power Gen Package B (UCP)"/>
    <m/>
    <s v="PS5-60-05"/>
    <x v="0"/>
    <x v="0"/>
    <s v="LV Power Cable"/>
    <s v="E"/>
    <x v="0"/>
    <s v="PS5 - Milestone B"/>
    <s v="TM-00023"/>
    <m/>
    <s v="TZ-MID-68-WPR2-150101"/>
  </r>
  <r>
    <s v="T-00023-5191"/>
    <s v="PS5-60-IE-0003C-CL01"/>
    <m/>
    <m/>
    <m/>
    <m/>
    <x v="2"/>
    <s v="PCOM - Precommissioning"/>
    <s v="E"/>
    <x v="0"/>
    <x v="0"/>
    <s v="Cable FROM PS5-06-IG-0004A TO PS5-60-IE-0003C"/>
    <s v="EACOP"/>
    <s v="CPP AGI"/>
    <m/>
    <m/>
    <s v="1"/>
    <m/>
    <m/>
    <s v="TZ-MID-68-WPR2-150101"/>
    <s v="PS5 - TZA - PS5 - Tanzania"/>
    <s v="PS5-60-08 - Power Gen Package C (UCP)"/>
    <m/>
    <s v="PS5-60-08"/>
    <x v="1"/>
    <x v="0"/>
    <s v="LV Power Cable"/>
    <s v="E"/>
    <x v="0"/>
    <s v="PS5 - Milestone D"/>
    <s v="TM-00023"/>
    <m/>
    <s v="TZ-MID-68-WPR2-150101"/>
  </r>
  <r>
    <s v="T-00023-5192"/>
    <s v="PS5-60-IE-0003C-CL02"/>
    <m/>
    <m/>
    <m/>
    <m/>
    <x v="2"/>
    <s v="PCOM - Precommissioning"/>
    <s v="E"/>
    <x v="0"/>
    <x v="0"/>
    <s v="Cable FROM PS5-06-IG-0004B TO PS5-60-IE-0003C"/>
    <s v="EACOP"/>
    <s v="CPP AGI"/>
    <m/>
    <m/>
    <s v="1"/>
    <m/>
    <m/>
    <s v="TZ-MID-68-WPR2-150101"/>
    <s v="PS5 - TZA - PS5 - Tanzania"/>
    <s v="PS5-60-08 - Power Gen Package C (UCP)"/>
    <m/>
    <s v="PS5-60-08"/>
    <x v="1"/>
    <x v="0"/>
    <s v="LV Power Cable"/>
    <s v="E"/>
    <x v="0"/>
    <s v="PS5 - Milestone D"/>
    <s v="TM-00023"/>
    <m/>
    <s v="TZ-MID-68-WPR2-150101"/>
  </r>
  <r>
    <s v="T-00023-5193"/>
    <s v="PS5-60-IE-0003D-CL01"/>
    <m/>
    <m/>
    <m/>
    <m/>
    <x v="2"/>
    <s v="PCOM - Precommissioning"/>
    <s v="E"/>
    <x v="0"/>
    <x v="0"/>
    <s v="Cable FROM PS5-06-IG-0004A TO PS5-60-IE-0003D"/>
    <s v="EACOP"/>
    <s v="CPP AGI"/>
    <m/>
    <m/>
    <s v="1"/>
    <m/>
    <m/>
    <s v="TZ-MID-68-WPR2-150101"/>
    <s v="PS5 - TZA - PS5 - Tanzania"/>
    <s v="PS5-60-11 - Power Gen Package D (UCP)"/>
    <m/>
    <s v="PS5-60-11"/>
    <x v="1"/>
    <x v="0"/>
    <s v="LV Power Cable"/>
    <s v="E"/>
    <x v="0"/>
    <s v="PS5 - Milestone D"/>
    <s v="TM-00023"/>
    <m/>
    <s v="TZ-MID-68-WPR2-150101"/>
  </r>
  <r>
    <s v="T-00023-5194"/>
    <s v="PS5-60-IE-0003D-CL02"/>
    <m/>
    <m/>
    <m/>
    <m/>
    <x v="2"/>
    <s v="PCOM - Precommissioning"/>
    <s v="E"/>
    <x v="0"/>
    <x v="0"/>
    <s v="Cable FROM PS5-06-IG-0004B TO PS5-60-IE-0003D"/>
    <s v="EACOP"/>
    <s v="CPP AGI"/>
    <m/>
    <m/>
    <s v="1"/>
    <m/>
    <m/>
    <s v="TZ-MID-68-WPR2-150101"/>
    <s v="PS5 - TZA - PS5 - Tanzania"/>
    <s v="PS5-60-11 - Power Gen Package D (UCP)"/>
    <m/>
    <s v="PS5-60-11"/>
    <x v="1"/>
    <x v="0"/>
    <s v="LV Power Cable"/>
    <s v="E"/>
    <x v="0"/>
    <s v="PS5 - Milestone D"/>
    <s v="TM-00023"/>
    <m/>
    <s v="TZ-MID-68-WPR2-150101"/>
  </r>
  <r>
    <s v="T-00023-5201"/>
    <s v="PS5-60-IE-0004-CL01"/>
    <m/>
    <m/>
    <m/>
    <m/>
    <x v="2"/>
    <s v="PCOM - Precommissioning"/>
    <s v="E"/>
    <x v="0"/>
    <x v="0"/>
    <s v="Cable FROM PS5-06-IG-0004A TO PS5-60-IE-0004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02"/>
    <s v="PS5-60-IE-0004-CL02"/>
    <m/>
    <m/>
    <m/>
    <m/>
    <x v="2"/>
    <s v="PCOM - Precommissioning"/>
    <s v="E"/>
    <x v="0"/>
    <x v="0"/>
    <s v="Cable FROM PS5-06-IG-0004B TO PS5-60-IE-0004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04"/>
    <s v="PS5-60-IH-0001A-CL01"/>
    <m/>
    <m/>
    <m/>
    <m/>
    <x v="2"/>
    <s v="PCOM - Precommissioning"/>
    <s v="E"/>
    <x v="0"/>
    <x v="0"/>
    <s v="Cable FROM PS5-61-IK-0003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05"/>
    <s v="PS5-60-IH-0001A-CL02"/>
    <m/>
    <m/>
    <m/>
    <m/>
    <x v="2"/>
    <s v="PCOM - Precommissioning"/>
    <s v="E"/>
    <x v="0"/>
    <x v="0"/>
    <s v="Cable FROM PS5-61-IK-0003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06"/>
    <s v="PS5-60-IH-0001A-CL03"/>
    <m/>
    <m/>
    <m/>
    <m/>
    <x v="2"/>
    <s v="PCOM - Precommissioning"/>
    <s v="E"/>
    <x v="0"/>
    <x v="0"/>
    <s v="Cable FROM PS5-61-IK-0003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07"/>
    <s v="PS5-60-IH-0001A-CL04"/>
    <m/>
    <m/>
    <m/>
    <m/>
    <x v="2"/>
    <s v="PCOM - Precommissioning"/>
    <s v="E"/>
    <x v="0"/>
    <x v="0"/>
    <s v="Cable FROM PS5-61-IK-0003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08"/>
    <s v="PS5-60-IH-0001A-CL05"/>
    <m/>
    <m/>
    <m/>
    <m/>
    <x v="2"/>
    <s v="PCOM - Precommissioning"/>
    <s v="E"/>
    <x v="0"/>
    <x v="0"/>
    <s v="Cable FROM PS5-06-IG-0004A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09"/>
    <s v="PS5-60-IH-0001A-CL06"/>
    <m/>
    <m/>
    <m/>
    <m/>
    <x v="2"/>
    <s v="PCOM - Precommissioning"/>
    <s v="E"/>
    <x v="0"/>
    <x v="0"/>
    <s v="Cable FROM PS5-06-IG-0004B TO PS5-60-IH-0001A"/>
    <s v="EACOP"/>
    <s v="CPP AGI"/>
    <m/>
    <m/>
    <s v="1"/>
    <m/>
    <m/>
    <s v="TZ-MID-68-WPR2-150101"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023"/>
    <m/>
    <s v="TZ-MID-68-WPR2-150101"/>
  </r>
  <r>
    <s v="T-00023-5211"/>
    <s v="PS5-60-IH-0001B-CL01"/>
    <m/>
    <m/>
    <m/>
    <m/>
    <x v="2"/>
    <s v="PCOM - Precommissioning"/>
    <s v="E"/>
    <x v="0"/>
    <x v="0"/>
    <s v="Cable FROM PS5-61-IK-0003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2"/>
    <s v="PS5-60-IH-0001B-CL02"/>
    <m/>
    <m/>
    <m/>
    <m/>
    <x v="2"/>
    <s v="PCOM - Precommissioning"/>
    <s v="E"/>
    <x v="0"/>
    <x v="0"/>
    <s v="Cable FROM PS5-61-IK-0003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3"/>
    <s v="PS5-60-IH-0001B-CL03"/>
    <m/>
    <m/>
    <m/>
    <m/>
    <x v="2"/>
    <s v="PCOM - Precommissioning"/>
    <s v="E"/>
    <x v="0"/>
    <x v="0"/>
    <s v="Cable FROM PS5-61-IK-0003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4"/>
    <s v="PS5-60-IH-0001B-CL04"/>
    <m/>
    <m/>
    <m/>
    <m/>
    <x v="2"/>
    <s v="PCOM - Precommissioning"/>
    <s v="E"/>
    <x v="0"/>
    <x v="0"/>
    <s v="Cable FROM PS5-61-IK-0003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5"/>
    <s v="PS5-60-IH-0001B-CL05"/>
    <m/>
    <m/>
    <m/>
    <m/>
    <x v="2"/>
    <s v="PCOM - Precommissioning"/>
    <s v="E"/>
    <x v="0"/>
    <x v="0"/>
    <s v="Cable FROM PS5-06-IG-0004A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6"/>
    <s v="PS5-60-IH-0001B-CL06"/>
    <m/>
    <m/>
    <m/>
    <m/>
    <x v="2"/>
    <s v="PCOM - Precommissioning"/>
    <s v="E"/>
    <x v="0"/>
    <x v="0"/>
    <s v="Cable FROM PS5-06-IG-0004B TO PS5-60-IH-0001B"/>
    <s v="EACOP"/>
    <s v="CPP AGI"/>
    <m/>
    <m/>
    <s v="1"/>
    <m/>
    <m/>
    <s v="TZ-MID-68-WPR2-150101"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023"/>
    <m/>
    <s v="TZ-MID-68-WPR2-150101"/>
  </r>
  <r>
    <s v="T-00023-5218"/>
    <s v="PS5-60-IH-0001C-CL01"/>
    <m/>
    <m/>
    <m/>
    <m/>
    <x v="2"/>
    <s v="PCOM - Precommissioning"/>
    <s v="E"/>
    <x v="0"/>
    <x v="0"/>
    <s v="Cable FROM PS5-61-IK-0003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19"/>
    <s v="PS5-60-IH-0001C-CL02"/>
    <m/>
    <m/>
    <m/>
    <m/>
    <x v="2"/>
    <s v="PCOM - Precommissioning"/>
    <s v="E"/>
    <x v="0"/>
    <x v="0"/>
    <s v="Cable FROM PS5-61-IK-0003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20"/>
    <s v="PS5-60-IH-0001C-CL03"/>
    <m/>
    <m/>
    <m/>
    <m/>
    <x v="2"/>
    <s v="PCOM - Precommissioning"/>
    <s v="E"/>
    <x v="0"/>
    <x v="0"/>
    <s v="Cable FROM PS5-61-IK-0003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21"/>
    <s v="PS5-60-IH-0001C-CL04"/>
    <m/>
    <m/>
    <m/>
    <m/>
    <x v="2"/>
    <s v="PCOM - Precommissioning"/>
    <s v="E"/>
    <x v="0"/>
    <x v="0"/>
    <s v="Cable FROM PS5-61-IK-0003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22"/>
    <s v="PS5-60-IH-0001C-CL05"/>
    <m/>
    <m/>
    <m/>
    <m/>
    <x v="2"/>
    <s v="PCOM - Precommissioning"/>
    <s v="E"/>
    <x v="0"/>
    <x v="0"/>
    <s v="Cable FROM PS5-06-IG-0004B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23"/>
    <s v="PS5-60-IH-0001C-CL06"/>
    <m/>
    <m/>
    <m/>
    <m/>
    <x v="2"/>
    <s v="PCOM - Precommissioning"/>
    <s v="E"/>
    <x v="0"/>
    <x v="0"/>
    <s v="Cable FROM PS5-06-IG-0004A TO PS5-60-IH-0001C"/>
    <s v="EACOP"/>
    <s v="CPP AGI"/>
    <m/>
    <m/>
    <s v="1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023"/>
    <m/>
    <s v="TZ-MID-68-WPR2-150101"/>
  </r>
  <r>
    <s v="T-00023-5225"/>
    <s v="PS5-60-IH-0001D-CL01"/>
    <m/>
    <m/>
    <m/>
    <m/>
    <x v="2"/>
    <s v="PCOM - Precommissioning"/>
    <s v="E"/>
    <x v="0"/>
    <x v="0"/>
    <s v="Cable FROM PS5-61-IK-0003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26"/>
    <s v="PS5-60-IH-0001D-CL02"/>
    <m/>
    <m/>
    <m/>
    <m/>
    <x v="2"/>
    <s v="PCOM - Precommissioning"/>
    <s v="E"/>
    <x v="0"/>
    <x v="0"/>
    <s v="Cable FROM PS5-61-IK-0003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27"/>
    <s v="PS5-60-IH-0001D-CL03"/>
    <m/>
    <m/>
    <m/>
    <m/>
    <x v="2"/>
    <s v="PCOM - Precommissioning"/>
    <s v="E"/>
    <x v="0"/>
    <x v="0"/>
    <s v="Cable FROM PS5-61-IK-0003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28"/>
    <s v="PS5-60-IH-0001D-CL04"/>
    <m/>
    <m/>
    <m/>
    <m/>
    <x v="2"/>
    <s v="PCOM - Precommissioning"/>
    <s v="E"/>
    <x v="0"/>
    <x v="0"/>
    <s v="Cable FROM PS5-61-IK-0003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29"/>
    <s v="PS5-60-IH-0001D-CL05"/>
    <m/>
    <m/>
    <m/>
    <m/>
    <x v="2"/>
    <s v="PCOM - Precommissioning"/>
    <s v="E"/>
    <x v="0"/>
    <x v="0"/>
    <s v="Cable FROM PS5-06-IG-0004B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30"/>
    <s v="PS5-60-IH-0001D-CL06"/>
    <m/>
    <m/>
    <m/>
    <m/>
    <x v="2"/>
    <s v="PCOM - Precommissioning"/>
    <s v="E"/>
    <x v="0"/>
    <x v="0"/>
    <s v="Cable FROM PS5-06-IG-0004A TO PS5-60-IH-0001D"/>
    <s v="EACOP"/>
    <s v="CPP AGI"/>
    <m/>
    <m/>
    <s v="1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023"/>
    <m/>
    <s v="TZ-MID-68-WPR2-150101"/>
  </r>
  <r>
    <s v="T-00023-5254"/>
    <s v="PS5-60-IH-0002-CL01"/>
    <m/>
    <m/>
    <m/>
    <m/>
    <x v="2"/>
    <s v="PCOM - Precommissioning"/>
    <s v="E"/>
    <x v="0"/>
    <x v="0"/>
    <s v="Cable FROM PS5-06-IG-0004A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55"/>
    <s v="PS5-60-IH-0002-CL02"/>
    <m/>
    <m/>
    <m/>
    <m/>
    <x v="2"/>
    <s v="PCOM - Precommissioning"/>
    <s v="E"/>
    <x v="0"/>
    <x v="0"/>
    <s v="Cable FROM PS5-06-IG-0004B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56"/>
    <s v="PS5-60-IH-0002-CL03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57"/>
    <s v="PS5-60-IH-0002-CL04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58"/>
    <s v="PS5-60-IH-0002-CL05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59"/>
    <s v="PS5-60-IH-0002-CL06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60"/>
    <s v="PS5-60-IH-0002-CL07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61"/>
    <s v="PS5-60-IH-0002-CL08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62"/>
    <s v="PS5-60-IH-0002-CL09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63"/>
    <s v="PS5-60-IH-0002-CL10"/>
    <m/>
    <m/>
    <m/>
    <m/>
    <x v="2"/>
    <s v="PCOM - Precommissioning"/>
    <s v="E"/>
    <x v="0"/>
    <x v="0"/>
    <s v="Cable FROM PS5-61-IK-0003 TO PS5-60-IH-0002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64"/>
    <s v="PS5-60-IN-0001A-CL01"/>
    <m/>
    <m/>
    <m/>
    <m/>
    <x v="2"/>
    <s v="PCOM - Precommissioning"/>
    <s v="E"/>
    <x v="0"/>
    <x v="0"/>
    <s v="Cable FROM PS5-60-IH-0001A TO PS5-60-IN-0001A"/>
    <s v="EACOP"/>
    <s v="CPP AGI"/>
    <m/>
    <m/>
    <s v="1"/>
    <m/>
    <m/>
    <s v="TZ-MID-68-WPR2-150101"/>
    <s v="PS5 - TZA - PS5 - Tanzania"/>
    <s v="PS5-60-49 - Lube Oil Separator Module PS5-60-UO-81100A"/>
    <m/>
    <s v="PS5-60-49"/>
    <x v="0"/>
    <x v="0"/>
    <s v="LV Power Cable"/>
    <s v="E"/>
    <x v="0"/>
    <s v="PS5 - Milestone B"/>
    <s v="TM-00023"/>
    <m/>
    <s v="TZ-MID-68-WPR2-150101"/>
  </r>
  <r>
    <s v="T-00023-5265"/>
    <s v="PS5-60-IN-0001B-CL01"/>
    <m/>
    <m/>
    <m/>
    <m/>
    <x v="2"/>
    <s v="PCOM - Precommissioning"/>
    <s v="E"/>
    <x v="0"/>
    <x v="0"/>
    <s v="Cable FROM PS5-60-IH-0001B TO PS5-60-IN-0001B"/>
    <s v="EACOP"/>
    <s v="CPP AGI"/>
    <m/>
    <m/>
    <s v="1"/>
    <m/>
    <m/>
    <s v="TZ-MID-68-WPR2-150101"/>
    <s v="PS5 - TZA - PS5 - Tanzania"/>
    <s v="PS5-60-50 - Lube Oil Separator Module PS5-60-UO-81100B"/>
    <m/>
    <s v="PS5-60-50"/>
    <x v="0"/>
    <x v="0"/>
    <s v="LV Power Cable"/>
    <s v="E"/>
    <x v="0"/>
    <s v="PS5 - Milestone B"/>
    <s v="TM-00023"/>
    <m/>
    <s v="TZ-MID-68-WPR2-150101"/>
  </r>
  <r>
    <s v="T-00023-5266"/>
    <s v="PS5-60-IN-0001C-CL01"/>
    <m/>
    <m/>
    <m/>
    <m/>
    <x v="2"/>
    <s v="PCOM - Precommissioning"/>
    <s v="E"/>
    <x v="0"/>
    <x v="0"/>
    <s v="Cable FROM PS5-60-IH-0001C TO PS5-60-IN-0001C"/>
    <s v="EACOP"/>
    <s v="CPP AGI"/>
    <m/>
    <m/>
    <s v="1"/>
    <m/>
    <m/>
    <s v="TZ-MID-68-WPR2-150101"/>
    <s v="PS5 - TZA - PS5 - Tanzania"/>
    <s v="PS5-60-51 - Lube Oil Separator Module PS5-60-UO-81100C"/>
    <m/>
    <s v="PS5-60-51"/>
    <x v="1"/>
    <x v="0"/>
    <s v="LV Power Cable"/>
    <s v="E"/>
    <x v="0"/>
    <s v="PS5 - Milestone D"/>
    <s v="TM-00023"/>
    <m/>
    <s v="TZ-MID-68-WPR2-150101"/>
  </r>
  <r>
    <s v="T-00023-5267"/>
    <s v="PS5-60-IN-0001D-CL01"/>
    <m/>
    <m/>
    <m/>
    <m/>
    <x v="2"/>
    <s v="PCOM - Precommissioning"/>
    <s v="E"/>
    <x v="0"/>
    <x v="0"/>
    <s v="Cable FROM PS5-60-IH-0001D TO PS5-60-IN-0001D"/>
    <s v="EACOP"/>
    <s v="CPP AGI"/>
    <m/>
    <m/>
    <s v="1"/>
    <m/>
    <m/>
    <s v="TZ-MID-68-WPR2-150101"/>
    <s v="PS5 - TZA - PS5 - Tanzania"/>
    <s v="PS5-60-52 - Lube Oil Separator Module PS5-60-UO-81100D"/>
    <m/>
    <s v="PS5-60-52"/>
    <x v="1"/>
    <x v="0"/>
    <s v="LV Power Cable"/>
    <s v="E"/>
    <x v="0"/>
    <s v="PS5 - Milestone D"/>
    <s v="TM-00023"/>
    <m/>
    <s v="TZ-MID-68-WPR2-150101"/>
  </r>
  <r>
    <s v="T-00023-5271"/>
    <s v="PS5-60-IN-0002A-CL01"/>
    <m/>
    <m/>
    <m/>
    <m/>
    <x v="2"/>
    <s v="PCOM - Precommissioning"/>
    <s v="E"/>
    <x v="0"/>
    <x v="0"/>
    <s v="Cable FROM PS5-60-IH-0001A TO PS5-60-IN-0002A"/>
    <s v="EACOP"/>
    <s v="CPP AGI"/>
    <m/>
    <m/>
    <s v="1"/>
    <m/>
    <m/>
    <s v="TZ-MID-68-WPR2-150101"/>
    <s v="PS5 - TZA - PS5 - Tanzania"/>
    <s v="PS5-60-57 - Fuel Conditioning Module PS5-60-UZ-8900A (UCP)"/>
    <m/>
    <s v="PS5-60-57"/>
    <x v="0"/>
    <x v="0"/>
    <s v="LV Power Cable"/>
    <s v="E"/>
    <x v="0"/>
    <s v="PS5 - Milestone B"/>
    <s v="TM-00023"/>
    <m/>
    <s v="TZ-MID-68-WPR2-150101"/>
  </r>
  <r>
    <s v="T-00023-5272"/>
    <s v="PS5-60-IN-0002A-CL02"/>
    <m/>
    <m/>
    <m/>
    <m/>
    <x v="2"/>
    <s v="PCOM - Precommissioning"/>
    <s v="E"/>
    <x v="0"/>
    <x v="0"/>
    <s v="Cable FROM PS5-06-IG-0004A TO PS5-60-IN-0002A"/>
    <s v="EACOP"/>
    <s v="CPP AGI"/>
    <m/>
    <m/>
    <s v="1"/>
    <m/>
    <m/>
    <s v="TZ-MID-68-WPR2-150101"/>
    <s v="PS5 - TZA - PS5 - Tanzania"/>
    <s v="PS5-60-57 - Fuel Conditioning Module PS5-60-UZ-8900A (UCP)"/>
    <m/>
    <s v="PS5-60-57"/>
    <x v="0"/>
    <x v="0"/>
    <s v="LV Power Cable"/>
    <s v="E"/>
    <x v="0"/>
    <s v="PS5 - Milestone B"/>
    <s v="TM-00023"/>
    <m/>
    <s v="TZ-MID-68-WPR2-150101"/>
  </r>
  <r>
    <s v="T-00023-5273"/>
    <s v="PS5-60-IN-0002A-CL03"/>
    <m/>
    <m/>
    <m/>
    <m/>
    <x v="2"/>
    <s v="PCOM - Precommissioning"/>
    <s v="E"/>
    <x v="0"/>
    <x v="0"/>
    <s v="Cable FROM PS5-06-IG-0004B TO PS5-60-IN-0002A"/>
    <s v="EACOP"/>
    <s v="CPP AGI"/>
    <m/>
    <m/>
    <s v="1"/>
    <m/>
    <m/>
    <s v="TZ-MID-68-WPR2-150101"/>
    <s v="PS5 - TZA - PS5 - Tanzania"/>
    <s v="PS5-60-57 - Fuel Conditioning Module PS5-60-UZ-8900A (UCP)"/>
    <m/>
    <s v="PS5-60-57"/>
    <x v="0"/>
    <x v="0"/>
    <s v="LV Power Cable"/>
    <s v="E"/>
    <x v="0"/>
    <s v="PS5 - Milestone B"/>
    <s v="TM-00023"/>
    <m/>
    <s v="TZ-MID-68-WPR2-150101"/>
  </r>
  <r>
    <s v="T-00023-5274"/>
    <s v="PS5-60-IN-0002B-CL01"/>
    <m/>
    <m/>
    <m/>
    <m/>
    <x v="2"/>
    <s v="PCOM - Precommissioning"/>
    <s v="E"/>
    <x v="0"/>
    <x v="0"/>
    <s v="Cable FROM PS5-60-IH-0001B TO PS5-60-IN-0002B"/>
    <s v="EACOP"/>
    <s v="CPP AGI"/>
    <m/>
    <m/>
    <s v="1"/>
    <m/>
    <m/>
    <s v="TZ-MID-68-WPR2-150101"/>
    <s v="PS5 - TZA - PS5 - Tanzania"/>
    <s v="PS5-60-59 - Fuel Conditioning Module PS5-60-UZ-8900B (UCP)"/>
    <m/>
    <s v="PS5-60-59"/>
    <x v="0"/>
    <x v="0"/>
    <s v="LV Power Cable"/>
    <s v="E"/>
    <x v="0"/>
    <s v="PS5 - Milestone B"/>
    <s v="TM-00023"/>
    <m/>
    <s v="TZ-MID-68-WPR2-150101"/>
  </r>
  <r>
    <s v="T-00023-5275"/>
    <s v="PS5-60-IN-0002B-CL02"/>
    <m/>
    <m/>
    <m/>
    <m/>
    <x v="2"/>
    <s v="PCOM - Precommissioning"/>
    <s v="E"/>
    <x v="0"/>
    <x v="0"/>
    <s v="Cable FROM PS5-06-IG-0004A TO PS5-60-IN-0002B"/>
    <s v="EACOP"/>
    <s v="CPP AGI"/>
    <m/>
    <m/>
    <s v="1"/>
    <m/>
    <m/>
    <s v="TZ-MID-68-WPR2-150101"/>
    <s v="PS5 - TZA - PS5 - Tanzania"/>
    <s v="PS5-60-59 - Fuel Conditioning Module PS5-60-UZ-8900B (UCP)"/>
    <m/>
    <s v="PS5-60-59"/>
    <x v="0"/>
    <x v="0"/>
    <s v="LV Power Cable"/>
    <s v="E"/>
    <x v="0"/>
    <s v="PS5 - Milestone B"/>
    <s v="TM-00023"/>
    <m/>
    <s v="TZ-MID-68-WPR2-150101"/>
  </r>
  <r>
    <s v="T-00023-5276"/>
    <s v="PS5-60-IN-0002B-CL03"/>
    <m/>
    <m/>
    <m/>
    <m/>
    <x v="2"/>
    <s v="PCOM - Precommissioning"/>
    <s v="E"/>
    <x v="0"/>
    <x v="0"/>
    <s v="Cable FROM PS5-06-IG-0004B TO PS5-60-IN-0002B"/>
    <s v="EACOP"/>
    <s v="CPP AGI"/>
    <m/>
    <m/>
    <s v="1"/>
    <m/>
    <m/>
    <s v="TZ-MID-68-WPR2-150101"/>
    <s v="PS5 - TZA - PS5 - Tanzania"/>
    <s v="PS5-60-59 - Fuel Conditioning Module PS5-60-UZ-8900B (UCP)"/>
    <m/>
    <s v="PS5-60-59"/>
    <x v="0"/>
    <x v="0"/>
    <s v="LV Power Cable"/>
    <s v="E"/>
    <x v="0"/>
    <s v="PS5 - Milestone B"/>
    <s v="TM-00023"/>
    <m/>
    <s v="TZ-MID-68-WPR2-150101"/>
  </r>
  <r>
    <s v="T-00023-5277"/>
    <s v="PS5-60-IN-0002C-CL01"/>
    <m/>
    <m/>
    <m/>
    <m/>
    <x v="2"/>
    <s v="PCOM - Precommissioning"/>
    <s v="E"/>
    <x v="0"/>
    <x v="0"/>
    <s v="Cable FROM PS5-60-IH-0001C TO PS5-60-IN-0002C"/>
    <s v="EACOP"/>
    <s v="CPP AGI"/>
    <m/>
    <m/>
    <s v="1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023"/>
    <m/>
    <s v="TZ-MID-68-WPR2-150101"/>
  </r>
  <r>
    <s v="T-00023-5278"/>
    <s v="PS5-60-IN-0002C-CL02"/>
    <m/>
    <m/>
    <m/>
    <m/>
    <x v="2"/>
    <s v="PCOM - Precommissioning"/>
    <s v="E"/>
    <x v="0"/>
    <x v="0"/>
    <s v="Cable FROM PS5-06-IG-0004A TO PS5-60-IN-0002C"/>
    <s v="EACOP"/>
    <s v="CPP AGI"/>
    <m/>
    <m/>
    <s v="1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023"/>
    <m/>
    <s v="TZ-MID-68-WPR2-150101"/>
  </r>
  <r>
    <s v="T-00023-5279"/>
    <s v="PS5-60-IN-0002C-CL03"/>
    <m/>
    <m/>
    <m/>
    <m/>
    <x v="2"/>
    <s v="PCOM - Precommissioning"/>
    <s v="E"/>
    <x v="0"/>
    <x v="0"/>
    <s v="Cable FROM PS5-06-IG-0004B TO PS5-60-IN-0002C"/>
    <s v="EACOP"/>
    <s v="CPP AGI"/>
    <m/>
    <m/>
    <s v="1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023"/>
    <m/>
    <s v="TZ-MID-68-WPR2-150101"/>
  </r>
  <r>
    <s v="T-00023-5280"/>
    <s v="PS5-60-IN-0002D-CL01"/>
    <m/>
    <m/>
    <m/>
    <m/>
    <x v="2"/>
    <s v="PCOM - Precommissioning"/>
    <s v="E"/>
    <x v="0"/>
    <x v="0"/>
    <s v="Cable FROM PS5-60-IH-0001D TO PS5-60-IN-0002D"/>
    <s v="EACOP"/>
    <s v="CPP AGI"/>
    <m/>
    <m/>
    <s v="1"/>
    <m/>
    <m/>
    <s v="TZ-MID-68-WPR2-150101"/>
    <s v="PS5 - TZA - PS5 - Tanzania"/>
    <s v="PS5-60-63 - Fuel Conditioning Module PS5-60-UZ-8900D (UCP)"/>
    <m/>
    <s v="PS5-60-63"/>
    <x v="1"/>
    <x v="0"/>
    <s v="LV Power Cable"/>
    <s v="E"/>
    <x v="0"/>
    <s v="PS5 - Milestone D"/>
    <s v="TM-00023"/>
    <m/>
    <s v="TZ-MID-68-WPR2-150101"/>
  </r>
  <r>
    <s v="T-00023-5281"/>
    <s v="PS5-60-IN-0002D-CL02"/>
    <m/>
    <m/>
    <m/>
    <m/>
    <x v="2"/>
    <s v="PCOM - Precommissioning"/>
    <s v="E"/>
    <x v="0"/>
    <x v="0"/>
    <s v="Cable FROM PS5-06-IG-0004A TO PS5-60-IN-0002D"/>
    <s v="EACOP"/>
    <s v="CPP AGI"/>
    <m/>
    <m/>
    <s v="1"/>
    <m/>
    <m/>
    <s v="TZ-MID-68-WPR2-150101"/>
    <s v="PS5 - TZA - PS5 - Tanzania"/>
    <s v="PS5-60-63 - Fuel Conditioning Module PS5-60-UZ-8900D (UCP)"/>
    <m/>
    <s v="PS5-60-63"/>
    <x v="1"/>
    <x v="0"/>
    <s v="LV Power Cable"/>
    <s v="E"/>
    <x v="0"/>
    <s v="PS5 - Milestone D"/>
    <s v="TM-00023"/>
    <m/>
    <s v="TZ-MID-68-WPR2-150101"/>
  </r>
  <r>
    <s v="T-00023-5282"/>
    <s v="PS5-60-IN-0002D-CL03"/>
    <m/>
    <m/>
    <m/>
    <m/>
    <x v="2"/>
    <s v="PCOM - Precommissioning"/>
    <s v="E"/>
    <x v="0"/>
    <x v="0"/>
    <s v="Cable FROM PS5-06-IG-0004B TO PS5-60-IN-0002D"/>
    <s v="EACOP"/>
    <s v="CPP AGI"/>
    <m/>
    <m/>
    <s v="1"/>
    <m/>
    <m/>
    <s v="TZ-MID-68-WPR2-150101"/>
    <s v="PS5 - TZA - PS5 - Tanzania"/>
    <s v="PS5-60-63 - Fuel Conditioning Module PS5-60-UZ-8900D (UCP)"/>
    <m/>
    <s v="PS5-60-63"/>
    <x v="1"/>
    <x v="0"/>
    <s v="LV Power Cable"/>
    <s v="E"/>
    <x v="0"/>
    <s v="PS5 - Milestone D"/>
    <s v="TM-00023"/>
    <m/>
    <s v="TZ-MID-68-WPR2-150101"/>
  </r>
  <r>
    <s v="T-00023-5292"/>
    <s v="PS5-60-IWK-0001A-CL01"/>
    <m/>
    <m/>
    <m/>
    <m/>
    <x v="2"/>
    <s v="PCOM - Precommissioning"/>
    <s v="E"/>
    <x v="0"/>
    <x v="0"/>
    <s v="Cable FROM PS5-06-IG-0004A TO PS5-60-IWK-0001A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3"/>
    <s v="PS5-60-IWK-0001A-CL02"/>
    <m/>
    <m/>
    <m/>
    <m/>
    <x v="2"/>
    <s v="PCOM - Precommissioning"/>
    <s v="E"/>
    <x v="0"/>
    <x v="0"/>
    <s v="Cable FROM PS5-06-IG-0004B TO PS5-60-IWK-0001A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4"/>
    <s v="PS5-60-IWK-0001B-CL01"/>
    <m/>
    <m/>
    <m/>
    <m/>
    <x v="2"/>
    <s v="PCOM - Precommissioning"/>
    <s v="E"/>
    <x v="0"/>
    <x v="0"/>
    <s v="Cable FROM PS5-06-IG-0004A TO PS5-60-IWK-0001B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5"/>
    <s v="PS5-60-IWK-0001B-CL02"/>
    <m/>
    <m/>
    <m/>
    <m/>
    <x v="2"/>
    <s v="PCOM - Precommissioning"/>
    <s v="E"/>
    <x v="0"/>
    <x v="0"/>
    <s v="Cable FROM PS5-06-IG-0004B TO PS5-60-IWK-0001B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6"/>
    <s v="PS5-60-IWK-0001C-CL01"/>
    <m/>
    <m/>
    <m/>
    <m/>
    <x v="2"/>
    <s v="PCOM - Precommissioning"/>
    <s v="E"/>
    <x v="0"/>
    <x v="0"/>
    <s v="Cable FROM PS5-06-IG-0004A TO PS5-60-IWK-0001C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7"/>
    <s v="PS5-60-IWK-0001C-CL02"/>
    <m/>
    <m/>
    <m/>
    <m/>
    <x v="2"/>
    <s v="PCOM - Precommissioning"/>
    <s v="E"/>
    <x v="0"/>
    <x v="0"/>
    <s v="Cable FROM PS5-06-IG-0004B TO PS5-60-IWK-0001C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298"/>
    <s v="PS5-60-LA-0002A-CL01"/>
    <m/>
    <m/>
    <m/>
    <m/>
    <x v="2"/>
    <s v="PCOM - Precommissioning"/>
    <s v="E"/>
    <x v="0"/>
    <x v="0"/>
    <s v="Cable FROM PS5-06-IG-0004A TO PS5-60-LA-0002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299"/>
    <s v="PS5-60-LA-0002A-CL02"/>
    <m/>
    <m/>
    <m/>
    <m/>
    <x v="2"/>
    <s v="PCOM - Precommissioning"/>
    <s v="E"/>
    <x v="0"/>
    <x v="0"/>
    <s v="Cable FROM PS5-06-IG-0004B TO PS5-60-LA-0002A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300"/>
    <s v="PS5-60-LA-0002B-CL01"/>
    <m/>
    <m/>
    <m/>
    <m/>
    <x v="2"/>
    <s v="PCOM - Precommissioning"/>
    <s v="E"/>
    <x v="0"/>
    <x v="0"/>
    <s v="Cable FROM PS5-06-IG-0004A TO PS5-60-LA-0002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301"/>
    <s v="PS5-60-LA-0002B-CL02"/>
    <m/>
    <m/>
    <m/>
    <m/>
    <x v="2"/>
    <s v="PCOM - Precommissioning"/>
    <s v="E"/>
    <x v="0"/>
    <x v="0"/>
    <s v="Cable FROM PS5-06-IG-0004B TO PS5-60-LA-0002B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304"/>
    <s v="PS5-60-LA-0003-CL01"/>
    <m/>
    <m/>
    <m/>
    <m/>
    <x v="2"/>
    <s v="PCOM - Precommissioning"/>
    <s v="E"/>
    <x v="0"/>
    <x v="0"/>
    <s v="Cable FROM PS5-06-IG-0004A TO PS5-60-LA-0003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305"/>
    <s v="PS5-60-LA-0003-CL02"/>
    <m/>
    <m/>
    <m/>
    <m/>
    <x v="2"/>
    <s v="PCOM - Precommissioning"/>
    <s v="E"/>
    <x v="0"/>
    <x v="0"/>
    <s v="Cable FROM PS5-06-IG-0004B TO PS5-60-LA-0003"/>
    <s v="EACOP"/>
    <s v="CPP AGI"/>
    <m/>
    <m/>
    <s v="1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023"/>
    <m/>
    <s v="TZ-MID-68-WPR2-150101"/>
  </r>
  <r>
    <s v="T-00023-5310"/>
    <s v="PS5-60-SEA-0001-CL01"/>
    <m/>
    <m/>
    <m/>
    <m/>
    <x v="2"/>
    <s v="PCOM - Precommissioning"/>
    <s v="E"/>
    <x v="0"/>
    <x v="0"/>
    <s v="Cable FROM PS5-06-IG-0004A TO PS5-60-SEA-0001"/>
    <s v="EACOP"/>
    <s v="CPP AGI"/>
    <m/>
    <m/>
    <s v="1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023"/>
    <m/>
    <s v="TZ-MID-68-WPR2-150101"/>
  </r>
  <r>
    <s v="T-00023-5311"/>
    <s v="PS5-60-SEA-0001-CL02"/>
    <m/>
    <m/>
    <m/>
    <m/>
    <x v="2"/>
    <s v="PCOM - Precommissioning"/>
    <s v="E"/>
    <x v="0"/>
    <x v="0"/>
    <s v="Cable FROM PS5-06-IG-0004B TO PS5-60-SEA-0001"/>
    <s v="EACOP"/>
    <s v="CPP AGI"/>
    <m/>
    <m/>
    <s v="1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023"/>
    <m/>
    <s v="TZ-MID-68-WPR2-150101"/>
  </r>
  <r>
    <s v="T-00023-5312"/>
    <s v="PS5-60-VS-9100A-CL01"/>
    <m/>
    <m/>
    <m/>
    <m/>
    <x v="2"/>
    <s v="PCOM - Precommissioning"/>
    <s v="E"/>
    <x v="0"/>
    <x v="0"/>
    <s v="Cable FROM PS5-60-IH-0001A TO PS5-60-VS-9100A"/>
    <s v="EACOP"/>
    <s v="CPP AGI"/>
    <m/>
    <m/>
    <s v="1"/>
    <m/>
    <m/>
    <s v="TZ-MID-68-WPR2-150101"/>
    <s v="PS5 - TZA - PS5 - Tanzania"/>
    <s v="PS5-60-42 - Oil Mist Separator Skid PS5-60-VS-9100A"/>
    <m/>
    <s v="PS5-60-42"/>
    <x v="0"/>
    <x v="0"/>
    <s v="LV Power Cable"/>
    <s v="E"/>
    <x v="0"/>
    <s v="PS5 - Milestone B"/>
    <s v="TM-00023"/>
    <m/>
    <s v="TZ-MID-68-WPR2-150101"/>
  </r>
  <r>
    <s v="T-00023-5313"/>
    <s v="PS5-60-VS-9100B-CL01"/>
    <m/>
    <m/>
    <m/>
    <m/>
    <x v="2"/>
    <s v="PCOM - Precommissioning"/>
    <s v="E"/>
    <x v="0"/>
    <x v="0"/>
    <s v="Cable FROM PS5-60-IH-0001B TO PS5-60-VS-9100B"/>
    <s v="EACOP"/>
    <s v="CPP AGI"/>
    <m/>
    <m/>
    <s v="1"/>
    <m/>
    <m/>
    <s v="TZ-MID-68-WPR2-150101"/>
    <s v="PS5 - TZA - PS5 - Tanzania"/>
    <s v="PS5-60-43 - Oil Mist Separator Skid PS5-60-VS-9100B"/>
    <m/>
    <s v="PS5-60-43"/>
    <x v="0"/>
    <x v="0"/>
    <s v="LV Power Cable"/>
    <s v="E"/>
    <x v="0"/>
    <s v="PS5 - Milestone B"/>
    <s v="TM-00023"/>
    <m/>
    <s v="TZ-MID-68-WPR2-150101"/>
  </r>
  <r>
    <s v="T-00023-5314"/>
    <s v="PS5-60-VS-9100C-CL01"/>
    <m/>
    <m/>
    <m/>
    <m/>
    <x v="2"/>
    <s v="PCOM - Precommissioning"/>
    <s v="E"/>
    <x v="0"/>
    <x v="0"/>
    <s v="Cable FROM PS5-60-IH-0001C TO PS5-60-VS-9100C"/>
    <s v="EACOP"/>
    <s v="CPP AGI"/>
    <m/>
    <m/>
    <s v="1"/>
    <m/>
    <m/>
    <s v="TZ-MID-68-WPR2-150101"/>
    <s v="PS5 - TZA - PS5 - Tanzania"/>
    <s v="PS5-60-44 - Oil Mist Separator Skid PS5-60-VS-9100C"/>
    <m/>
    <s v="PS5-60-44"/>
    <x v="1"/>
    <x v="0"/>
    <s v="LV Power Cable"/>
    <s v="E"/>
    <x v="0"/>
    <s v="PS5 - Milestone D"/>
    <s v="TM-00023"/>
    <m/>
    <s v="TZ-MID-68-WPR2-150101"/>
  </r>
  <r>
    <s v="T-00023-5315"/>
    <s v="PS5-60-VS-9100D-CL01"/>
    <m/>
    <m/>
    <m/>
    <m/>
    <x v="2"/>
    <s v="PCOM - Precommissioning"/>
    <s v="E"/>
    <x v="0"/>
    <x v="0"/>
    <s v="Cable FROM PS5-60-IH-0001D TO PS5-60-VS-9100D"/>
    <s v="EACOP"/>
    <s v="CPP AGI"/>
    <m/>
    <m/>
    <s v="1"/>
    <m/>
    <m/>
    <s v="TZ-MID-68-WPR2-150101"/>
    <s v="PS5 - TZA - PS5 - Tanzania"/>
    <s v="PS5-60-45 - Oil Mist Separator Skid PS5-60-VS-9100D"/>
    <m/>
    <s v="PS5-60-45"/>
    <x v="1"/>
    <x v="0"/>
    <s v="LV Power Cable"/>
    <s v="E"/>
    <x v="0"/>
    <s v="PS5 - Milestone D"/>
    <s v="TM-00023"/>
    <m/>
    <s v="TZ-MID-68-WPR2-150101"/>
  </r>
  <r>
    <s v="T-00023-5319"/>
    <s v="PS5-61-BI-0001-CL01"/>
    <m/>
    <m/>
    <m/>
    <m/>
    <x v="2"/>
    <s v="PCOM - Precommissioning"/>
    <s v="E"/>
    <x v="0"/>
    <x v="0"/>
    <s v="Cable FROM PS5-60-IH-0001A TO PS5-61-BI-0001"/>
    <s v="EACOP"/>
    <s v="CPP AGI"/>
    <m/>
    <m/>
    <s v="1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023"/>
    <m/>
    <s v="TZ-MID-68-WPR2-150101"/>
  </r>
  <r>
    <s v="T-00023-5320"/>
    <s v="PS5-61-BI-0002-CL01"/>
    <m/>
    <m/>
    <m/>
    <m/>
    <x v="2"/>
    <s v="PCOM - Precommissioning"/>
    <s v="E"/>
    <x v="0"/>
    <x v="0"/>
    <s v="Cable FROM PS5-60-IH-0001B TO PS5-61-BI-0002"/>
    <s v="EACOP"/>
    <s v="CPP AGI"/>
    <m/>
    <m/>
    <s v="1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023"/>
    <m/>
    <s v="TZ-MID-68-WPR2-150101"/>
  </r>
  <r>
    <s v="T-00023-5321"/>
    <s v="PS5-61-BI-0003-CL01"/>
    <m/>
    <m/>
    <m/>
    <m/>
    <x v="2"/>
    <s v="PCOM - Precommissioning"/>
    <s v="E"/>
    <x v="0"/>
    <x v="0"/>
    <s v="Cable FROM PS5-60-IH-0001C TO PS5-61-BI-0003"/>
    <s v="EACOP"/>
    <s v="CPP AGI"/>
    <m/>
    <m/>
    <s v="1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023"/>
    <m/>
    <s v="TZ-MID-68-WPR2-150101"/>
  </r>
  <r>
    <s v="T-00023-5322"/>
    <s v="PS5-61-BI-0004-CL01"/>
    <m/>
    <m/>
    <m/>
    <m/>
    <x v="2"/>
    <s v="PCOM - Precommissioning"/>
    <s v="E"/>
    <x v="0"/>
    <x v="0"/>
    <s v="Cable FROM PS5-60-IH-0001D TO PS5-61-BI-0004"/>
    <s v="EACOP"/>
    <s v="CPP AGI"/>
    <m/>
    <m/>
    <s v="1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023"/>
    <m/>
    <s v="TZ-MID-68-WPR2-150101"/>
  </r>
  <r>
    <s v="T-00023-5562"/>
    <s v="PS5-71-FCV-0019-CL01"/>
    <m/>
    <m/>
    <m/>
    <m/>
    <x v="2"/>
    <s v="PCOM - Precommissioning"/>
    <s v="E"/>
    <x v="0"/>
    <x v="0"/>
    <s v="Cable FROM PS5-61-IG-0043 TO PS5-71-FCV-0019"/>
    <s v="EACOP"/>
    <s v="CPP AGI"/>
    <m/>
    <m/>
    <s v="1"/>
    <m/>
    <m/>
    <s v="TZ-MID-68-WPR2-150101"/>
    <s v="PS5 - TZA - PS5 - Tanzania"/>
    <s v="PS5-71-21 - Diesel Transfer Pump A/B"/>
    <m/>
    <s v="PS5-71-21"/>
    <x v="0"/>
    <x v="0"/>
    <s v="LV Power Cable"/>
    <s v="E"/>
    <x v="0"/>
    <s v="PS5 - Milestone B"/>
    <s v="TM-00023"/>
    <m/>
    <s v="TZ-MID-68-WPR2-150101"/>
  </r>
  <r>
    <s v="T-00023-5584"/>
    <s v="PS5-71-IN-0003-CL01"/>
    <m/>
    <m/>
    <m/>
    <m/>
    <x v="2"/>
    <s v="PCOM - Precommissioning"/>
    <s v="E"/>
    <x v="0"/>
    <x v="0"/>
    <s v="Cable FROM PS5-06-IG-0004A TO PS5-71-IN-0003"/>
    <s v="EACOP"/>
    <s v="CPP AGI"/>
    <m/>
    <m/>
    <s v="1"/>
    <m/>
    <m/>
    <s v="TZ-MID-68-WPR2-150101"/>
    <s v="PS5 - TZA - PS5 - Tanzania"/>
    <s v="PS5-71-23 - Diesel Fuel Pre Pressure Module (UCP)"/>
    <m/>
    <s v="PS5-71-23"/>
    <x v="0"/>
    <x v="0"/>
    <s v="LV Power Cable"/>
    <s v="E"/>
    <x v="0"/>
    <s v="PS5 - Milestone B"/>
    <s v="TM-00023"/>
    <m/>
    <s v="TZ-MID-68-WPR2-150101"/>
  </r>
  <r>
    <s v="T-00023-5585"/>
    <s v="PS5-71-IN-0003-CL02"/>
    <m/>
    <m/>
    <m/>
    <m/>
    <x v="2"/>
    <s v="PCOM - Precommissioning"/>
    <s v="E"/>
    <x v="0"/>
    <x v="0"/>
    <s v="Cable FROM PS5-06-IG-0004B TO PS5-71-IN-0003"/>
    <s v="EACOP"/>
    <s v="CPP AGI"/>
    <m/>
    <m/>
    <s v="1"/>
    <m/>
    <m/>
    <s v="TZ-MID-68-WPR2-150101"/>
    <s v="PS5 - TZA - PS5 - Tanzania"/>
    <s v="PS5-71-23 - Diesel Fuel Pre Pressure Module (UCP)"/>
    <m/>
    <s v="PS5-71-23"/>
    <x v="0"/>
    <x v="0"/>
    <s v="LV Power Cable"/>
    <s v="E"/>
    <x v="0"/>
    <s v="PS5 - Milestone B"/>
    <s v="TM-00023"/>
    <m/>
    <s v="TZ-MID-68-WPR2-150101"/>
  </r>
  <r>
    <s v="T-00023-5586"/>
    <s v="PS5-71-IN-0003-CL03"/>
    <m/>
    <m/>
    <m/>
    <m/>
    <x v="2"/>
    <s v="PCOM - Precommissioning"/>
    <s v="E"/>
    <x v="0"/>
    <x v="0"/>
    <s v="Cable FROM PS5-60-IH-0002 TO PS5-71-IN-0003"/>
    <s v="EACOP"/>
    <s v="CPP AGI"/>
    <m/>
    <m/>
    <s v="1"/>
    <m/>
    <m/>
    <s v="TZ-MID-68-WPR2-150101"/>
    <s v="PS5 - TZA - PS5 - Tanzania"/>
    <s v="PS5-71-23 - Diesel Fuel Pre Pressure Module (UCP)"/>
    <m/>
    <s v="PS5-71-23"/>
    <x v="0"/>
    <x v="0"/>
    <s v="LV Power Cable"/>
    <s v="E"/>
    <x v="0"/>
    <s v="PS5 - Milestone B"/>
    <s v="TM-00023"/>
    <m/>
    <s v="TZ-MID-68-WPR2-150101"/>
  </r>
  <r>
    <s v="T-00023-5587"/>
    <s v="PS5-71-IN-0004A-CL01"/>
    <m/>
    <m/>
    <m/>
    <m/>
    <x v="2"/>
    <s v="PCOM - Precommissioning"/>
    <s v="E"/>
    <x v="0"/>
    <x v="0"/>
    <s v="Cable FROM PS5-06-IG-0004A TO PS5-71-IN-0004A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88"/>
    <s v="PS5-71-IN-0004A-CL02"/>
    <m/>
    <m/>
    <m/>
    <m/>
    <x v="2"/>
    <s v="PCOM - Precommissioning"/>
    <s v="E"/>
    <x v="0"/>
    <x v="0"/>
    <s v="Cable FROM PS5-06-IG-0004B TO PS5-71-IN-0004A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89"/>
    <s v="PS5-71-IN-0004A-CL03"/>
    <m/>
    <m/>
    <m/>
    <m/>
    <x v="2"/>
    <s v="PCOM - Precommissioning"/>
    <s v="E"/>
    <x v="0"/>
    <x v="0"/>
    <s v="Cable FROM PS5-60-IH-0002 TO PS5-71-IN-0004A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90"/>
    <s v="PS5-71-IN-0004B-CL01"/>
    <m/>
    <m/>
    <m/>
    <m/>
    <x v="2"/>
    <s v="PCOM - Precommissioning"/>
    <s v="E"/>
    <x v="0"/>
    <x v="0"/>
    <s v="Cable FROM PS5-06-IG-0004A TO PS5-71-IN-0004B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91"/>
    <s v="PS5-71-IN-0004B-CL02"/>
    <m/>
    <m/>
    <m/>
    <m/>
    <x v="2"/>
    <s v="PCOM - Precommissioning"/>
    <s v="E"/>
    <x v="0"/>
    <x v="0"/>
    <s v="Cable FROM PS5-06-IG-0004B TO PS5-71-IN-0004B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92"/>
    <s v="PS5-71-IN-0004B-CL03"/>
    <m/>
    <m/>
    <m/>
    <m/>
    <x v="2"/>
    <s v="PCOM - Precommissioning"/>
    <s v="E"/>
    <x v="0"/>
    <x v="0"/>
    <s v="Cable FROM PS5-60-IH-0002 TO PS5-71-IN-0004B"/>
    <s v="EACOP"/>
    <s v="CPP AGI"/>
    <m/>
    <m/>
    <s v="1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023"/>
    <m/>
    <s v="TZ-MID-68-WPR2-150101"/>
  </r>
  <r>
    <s v="T-00023-5594"/>
    <s v="PS5-71-MOV-0001-CL01"/>
    <m/>
    <m/>
    <m/>
    <m/>
    <x v="2"/>
    <s v="PCOM - Precommissioning"/>
    <s v="E"/>
    <x v="0"/>
    <x v="0"/>
    <s v="Cable FROM PS5-61-IG-0042 TO PS5-71-MOV-0001"/>
    <s v="EACOP"/>
    <s v="CPP AGI"/>
    <m/>
    <m/>
    <s v="1"/>
    <m/>
    <m/>
    <s v="TZ-MID-68-WPR2-150101"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s v="TZ-MID-68-WPR2-150101"/>
  </r>
  <r>
    <s v="T-00023-5595"/>
    <s v="PS5-71-MOV-0002-CL01"/>
    <m/>
    <m/>
    <m/>
    <m/>
    <x v="2"/>
    <s v="PCOM - Precommissioning"/>
    <s v="E"/>
    <x v="0"/>
    <x v="0"/>
    <s v="Cable FROM PS5-61-IG-0042 TO PS5-71-MOV-0002"/>
    <s v="EACOP"/>
    <s v="CPP AGI"/>
    <m/>
    <m/>
    <s v="1"/>
    <m/>
    <m/>
    <s v="TZ-MID-68-WPR2-150101"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s v="TZ-MID-68-WPR2-150101"/>
  </r>
  <r>
    <s v="T-00023-5596"/>
    <s v="PS5-71-MOV-0003-CL01"/>
    <m/>
    <m/>
    <m/>
    <m/>
    <x v="2"/>
    <s v="PCOM - Precommissioning"/>
    <s v="E"/>
    <x v="0"/>
    <x v="0"/>
    <s v="Cable FROM PS5-61-IG-0042 TO PS5-71-MOV-0003"/>
    <s v="EACOP"/>
    <s v="CPP AGI"/>
    <m/>
    <m/>
    <s v="1"/>
    <m/>
    <m/>
    <s v="TZ-MID-68-WPR2-150101"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s v="TZ-MID-68-WPR2-150101"/>
  </r>
  <r>
    <s v="T-00023-5597"/>
    <s v="PS5-71-MOV-0004-CL01"/>
    <m/>
    <m/>
    <m/>
    <m/>
    <x v="2"/>
    <s v="PCOM - Precommissioning"/>
    <s v="E"/>
    <x v="0"/>
    <x v="0"/>
    <s v="Cable FROM PS5-61-IG-0042 TO PS5-71-MOV-0004"/>
    <s v="EACOP"/>
    <s v="CPP AGI"/>
    <m/>
    <m/>
    <s v="1"/>
    <m/>
    <m/>
    <s v="TZ-MID-68-WPR2-150101"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s v="TZ-MID-68-WPR2-150101"/>
  </r>
  <r>
    <s v="T-00023-5599"/>
    <s v="PS5-71-MOV-0008-CL01"/>
    <m/>
    <m/>
    <m/>
    <m/>
    <x v="2"/>
    <s v="PCOM - Precommissioning"/>
    <s v="E"/>
    <x v="0"/>
    <x v="0"/>
    <s v="Cable FROM PS5-61-IG-0042 TO PS5-71-MOV-0008"/>
    <s v="EACOP"/>
    <s v="CPP AGI"/>
    <m/>
    <m/>
    <s v="1"/>
    <m/>
    <m/>
    <s v="TZ-MID-68-WPR2-150101"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s v="TZ-MID-68-WPR2-150101"/>
  </r>
  <r>
    <s v="T-00023-5601"/>
    <s v="PS5-71-MOV-0010-CL01"/>
    <m/>
    <m/>
    <m/>
    <m/>
    <x v="2"/>
    <s v="PCOM - Precommissioning"/>
    <s v="E"/>
    <x v="0"/>
    <x v="0"/>
    <s v="Cable FROM PS5-61-IG-0042 TO PS5-71-MOV-0010"/>
    <s v="EACOP"/>
    <s v="CPP AGI"/>
    <m/>
    <m/>
    <s v="1"/>
    <m/>
    <m/>
    <s v="TZ-MID-68-WPR2-150101"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s v="TZ-MID-68-WPR2-150101"/>
  </r>
  <r>
    <s v="T-00023-5602"/>
    <s v="PS5-71-SDV-0001-CL01"/>
    <m/>
    <m/>
    <m/>
    <m/>
    <x v="2"/>
    <s v="PCOM - Precommissioning"/>
    <s v="E"/>
    <x v="0"/>
    <x v="0"/>
    <s v="Cable FROM PS5-61-IG-0043 TO PS5-71-SDV-0001"/>
    <s v="EACOP"/>
    <s v="CPP AGI"/>
    <m/>
    <m/>
    <s v="1"/>
    <m/>
    <m/>
    <s v="TZ-MID-68-WPR2-150101"/>
    <s v="PS5 - TZA - PS5 - Tanzania"/>
    <s v="PS5-71-20 - Diesel Fuel Day Tank"/>
    <m/>
    <s v="PS5-71-20"/>
    <x v="0"/>
    <x v="0"/>
    <s v="LV Power Cable"/>
    <s v="E"/>
    <x v="0"/>
    <s v="PS5 - Milestone B"/>
    <s v="TM-00023"/>
    <m/>
    <s v="TZ-MID-68-WPR2-150101"/>
  </r>
  <r>
    <s v="T-00023-5609"/>
    <s v="PS5-71-XV-0091-CL01"/>
    <m/>
    <m/>
    <m/>
    <m/>
    <x v="2"/>
    <s v="PCOM - Precommissioning"/>
    <s v="E"/>
    <x v="0"/>
    <x v="0"/>
    <s v="Cable FROM PS5-61-IG-0042 TO PS5-71-XV-0091"/>
    <s v="EACOP"/>
    <s v="CPP AGI"/>
    <m/>
    <m/>
    <s v="1"/>
    <m/>
    <m/>
    <s v="TZ-MID-68-WPR2-150101"/>
    <s v="PS5 - TZA - PS5 - Tanzania"/>
    <s v="PS5-71-18 - Diesel Separator Module"/>
    <m/>
    <s v="PS5-71-18"/>
    <x v="1"/>
    <x v="0"/>
    <s v="LV Power Cable"/>
    <s v="E"/>
    <x v="0"/>
    <s v="PS5 - Milestone F"/>
    <s v="TM-00023"/>
    <m/>
    <s v="TZ-MID-68-WPR2-150101"/>
  </r>
  <r>
    <s v="T-00023-5610"/>
    <s v="PS5-71-XV-0092-CL01"/>
    <m/>
    <m/>
    <m/>
    <m/>
    <x v="2"/>
    <s v="PCOM - Precommissioning"/>
    <s v="E"/>
    <x v="0"/>
    <x v="0"/>
    <s v="Cable FROM PS5-61-IG-0042 TO PS5-71-XV-0092"/>
    <s v="EACOP"/>
    <s v="CPP AGI"/>
    <m/>
    <m/>
    <s v="1"/>
    <m/>
    <m/>
    <s v="TZ-MID-68-WPR2-150101"/>
    <s v="PS5 - TZA - PS5 - Tanzania"/>
    <s v="PS5-71-20 - Diesel Fuel Day Tank"/>
    <m/>
    <s v="PS5-71-20"/>
    <x v="0"/>
    <x v="0"/>
    <s v="LV Power Cable"/>
    <s v="E"/>
    <x v="0"/>
    <s v="PS5 - Milestone B"/>
    <s v="TM-00023"/>
    <m/>
    <s v="TZ-MID-68-WPR2-150101"/>
  </r>
  <r>
    <s v="T-00023-9131"/>
    <s v="PS5-60-BE-0007A-CL01"/>
    <m/>
    <m/>
    <m/>
    <m/>
    <x v="2"/>
    <s v="PCOM - Precommissioning"/>
    <s v="E"/>
    <x v="0"/>
    <x v="0"/>
    <s v="Cable FROM PS5-60-IN-0002A TO PS5-60-BE-0007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32"/>
    <s v="PS5-60-BE-0007B-CL01"/>
    <m/>
    <m/>
    <m/>
    <m/>
    <x v="2"/>
    <s v="PCOM - Precommissioning"/>
    <s v="E"/>
    <x v="0"/>
    <x v="0"/>
    <s v="Cable FROM PS5-60-IN-0002B TO PS5-60-BE-0007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33"/>
    <s v="PS5-60-BE-0007C-CL01"/>
    <m/>
    <m/>
    <m/>
    <m/>
    <x v="2"/>
    <s v="PCOM - Precommissioning"/>
    <s v="E"/>
    <x v="0"/>
    <x v="0"/>
    <s v="Cable FROM PS5-60-IN-0002C TO PS5-60-BE-0007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34"/>
    <s v="PS5-60-BE-0007D-CL01"/>
    <m/>
    <m/>
    <m/>
    <m/>
    <x v="2"/>
    <s v="PCOM - Precommissioning"/>
    <s v="E"/>
    <x v="0"/>
    <x v="0"/>
    <s v="Cable FROM PS5-60-IN-0002D TO PS5-60-BE-0007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38"/>
    <s v="PS5-60-BE-0027A-CL01"/>
    <m/>
    <m/>
    <m/>
    <m/>
    <x v="2"/>
    <s v="PCOM - Precommissioning"/>
    <s v="E"/>
    <x v="0"/>
    <x v="0"/>
    <s v="Cable FROM PS5-60-IN-0002A TO PS5-60-BE-0027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39"/>
    <s v="PS5-60-BE-0027B-CL01"/>
    <m/>
    <m/>
    <m/>
    <m/>
    <x v="2"/>
    <s v="PCOM - Precommissioning"/>
    <s v="E"/>
    <x v="0"/>
    <x v="0"/>
    <s v="Cable FROM PS5-60-IN-0002B TO PS5-60-BE-0027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40"/>
    <s v="PS5-60-BE-0027C-CL01"/>
    <m/>
    <m/>
    <m/>
    <m/>
    <x v="2"/>
    <s v="PCOM - Precommissioning"/>
    <s v="E"/>
    <x v="0"/>
    <x v="0"/>
    <s v="Cable FROM PS5-60-IN-0002C TO PS5-60-BE-0027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41"/>
    <s v="PS5-60-BE-0027D-CL01"/>
    <m/>
    <m/>
    <m/>
    <m/>
    <x v="2"/>
    <s v="PCOM - Precommissioning"/>
    <s v="E"/>
    <x v="0"/>
    <x v="0"/>
    <s v="Cable FROM PS5-60-IN-0002D TO PS5-60-BE-0027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45"/>
    <s v="PS5-60-BE-0028A-CL01"/>
    <m/>
    <m/>
    <m/>
    <m/>
    <x v="2"/>
    <s v="PCOM - Precommissioning"/>
    <s v="E"/>
    <x v="0"/>
    <x v="0"/>
    <s v="Cable FROM PS5-60-IN-0002A TO PS5-60-BE-0028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46"/>
    <s v="PS5-60-BE-0028B-CL01"/>
    <m/>
    <m/>
    <m/>
    <m/>
    <x v="2"/>
    <s v="PCOM - Precommissioning"/>
    <s v="E"/>
    <x v="0"/>
    <x v="0"/>
    <s v="Cable FROM PS5-60-IN-0002B TO PS5-60-BE-0028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47"/>
    <s v="PS5-60-BE-0028C-CL01"/>
    <m/>
    <m/>
    <m/>
    <m/>
    <x v="2"/>
    <s v="PCOM - Precommissioning"/>
    <s v="E"/>
    <x v="0"/>
    <x v="0"/>
    <s v="Cable FROM PS5-60-IN-0002C TO PS5-60-BE-0028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48"/>
    <s v="PS5-60-BE-0028D-CL01"/>
    <m/>
    <m/>
    <m/>
    <m/>
    <x v="2"/>
    <s v="PCOM - Precommissioning"/>
    <s v="E"/>
    <x v="0"/>
    <x v="0"/>
    <s v="Cable FROM PS5-60-IN-0002D TO PS5-60-BE-0028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52"/>
    <s v="PS5-60-BI-0006A-CL01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3"/>
    <s v="PS5-60-BI-0006A-CL02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4"/>
    <s v="PS5-60-BI-0006A-CL03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5"/>
    <s v="PS5-60-BI-0006A-CL04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6"/>
    <s v="PS5-60-BI-0006A-CL05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7"/>
    <s v="PS5-60-BI-0006A-CL06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8"/>
    <s v="PS5-60-BI-0006A-CL07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59"/>
    <s v="PS5-60-BI-0006A-CL08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60"/>
    <s v="PS5-60-BI-0006A-CL09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61"/>
    <s v="PS5-60-BI-0006A-CL10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62"/>
    <s v="PS5-60-BI-0006A-CL11"/>
    <m/>
    <m/>
    <m/>
    <m/>
    <x v="2"/>
    <s v="PCOM - Precommissioning"/>
    <s v="E"/>
    <x v="0"/>
    <x v="0"/>
    <s v="Cable FROM PS5-60-IN-0002A TO PS5-60-BI-0006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163"/>
    <s v="PS5-60-BI-0006B-CL01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4"/>
    <s v="PS5-60-BI-0006B-CL02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5"/>
    <s v="PS5-60-BI-0006B-CL03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6"/>
    <s v="PS5-60-BI-0006B-CL04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7"/>
    <s v="PS5-60-BI-0006B-CL05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8"/>
    <s v="PS5-60-BI-0006B-CL06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69"/>
    <s v="PS5-60-BI-0006B-CL07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70"/>
    <s v="PS5-60-BI-0006B-CL08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71"/>
    <s v="PS5-60-BI-0006B-CL09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72"/>
    <s v="PS5-60-BI-0006B-CL10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73"/>
    <s v="PS5-60-BI-0006B-CL11"/>
    <m/>
    <m/>
    <m/>
    <m/>
    <x v="2"/>
    <s v="PCOM - Precommissioning"/>
    <s v="E"/>
    <x v="0"/>
    <x v="0"/>
    <s v="Cable FROM PS5-60-IN-0002B TO PS5-60-BI-0006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174"/>
    <s v="PS5-60-BI-0006C-CL01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75"/>
    <s v="PS5-60-BI-0006C-CL02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76"/>
    <s v="PS5-60-BI-0006C-CL03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77"/>
    <s v="PS5-60-BI-0006C-CL04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78"/>
    <s v="PS5-60-BI-0006C-CL05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79"/>
    <s v="PS5-60-BI-0006C-CL06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0"/>
    <s v="PS5-60-BI-0006C-CL07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1"/>
    <s v="PS5-60-BI-0006C-CL08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2"/>
    <s v="PS5-60-BI-0006C-CL09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3"/>
    <s v="PS5-60-BI-0006C-CL10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4"/>
    <s v="PS5-60-BI-0006C-CL11"/>
    <m/>
    <m/>
    <m/>
    <m/>
    <x v="2"/>
    <s v="PCOM - Precommissioning"/>
    <s v="E"/>
    <x v="0"/>
    <x v="0"/>
    <s v="Cable FROM PS5-60-IN-0002C TO PS5-60-BI-0006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185"/>
    <s v="PS5-60-BI-0006D-CL01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86"/>
    <s v="PS5-60-BI-0006D-CL02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87"/>
    <s v="PS5-60-BI-0006D-CL03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88"/>
    <s v="PS5-60-BI-0006D-CL04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89"/>
    <s v="PS5-60-BI-0006D-CL05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0"/>
    <s v="PS5-60-BI-0006D-CL06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1"/>
    <s v="PS5-60-BI-0006D-CL07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2"/>
    <s v="PS5-60-BI-0006D-CL08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3"/>
    <s v="PS5-60-BI-0006D-CL09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4"/>
    <s v="PS5-60-BI-0006D-CL10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195"/>
    <s v="PS5-60-BI-0006D-CL11"/>
    <m/>
    <m/>
    <m/>
    <m/>
    <x v="2"/>
    <s v="PCOM - Precommissioning"/>
    <s v="E"/>
    <x v="0"/>
    <x v="0"/>
    <s v="Cable FROM PS5-60-IN-0002D TO PS5-60-BI-0006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229"/>
    <s v="PS5-60-BI-0017A-CL01"/>
    <m/>
    <m/>
    <m/>
    <m/>
    <x v="2"/>
    <s v="PCOM - Precommissioning"/>
    <s v="E"/>
    <x v="0"/>
    <x v="0"/>
    <s v="Cable FROM PS5-60-IN-0002A TO PS5-60-BI-0017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230"/>
    <s v="PS5-60-BI-0017B-CL01"/>
    <m/>
    <m/>
    <m/>
    <m/>
    <x v="2"/>
    <s v="PCOM - Precommissioning"/>
    <s v="E"/>
    <x v="0"/>
    <x v="0"/>
    <s v="Cable FROM PS5-60-IN-0002B TO PS5-60-BI-0017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231"/>
    <s v="PS5-60-BI-0017C-CL01"/>
    <m/>
    <m/>
    <m/>
    <m/>
    <x v="2"/>
    <s v="PCOM - Precommissioning"/>
    <s v="E"/>
    <x v="0"/>
    <x v="0"/>
    <s v="Cable FROM PS5-60-IN-0002C TO PS5-60-BI-0017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232"/>
    <s v="PS5-60-BI-0017D-CL01"/>
    <m/>
    <m/>
    <m/>
    <m/>
    <x v="2"/>
    <s v="PCOM - Precommissioning"/>
    <s v="E"/>
    <x v="0"/>
    <x v="0"/>
    <s v="Cable FROM PS5-60-IN-0002D TO PS5-60-BI-0017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236"/>
    <s v="PS5-60-EA-2900A-CL01"/>
    <m/>
    <m/>
    <m/>
    <m/>
    <x v="2"/>
    <s v="PCOM - Precommissioning"/>
    <s v="E"/>
    <x v="0"/>
    <x v="0"/>
    <s v="Cable FROM PS5-60-IN-0002A TO PS5-60-EA-2900A"/>
    <s v="EACOP"/>
    <s v="CPP AGI"/>
    <m/>
    <m/>
    <s v="1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023"/>
    <m/>
    <m/>
  </r>
  <r>
    <s v="T-00023-9237"/>
    <s v="PS5-60-EA-2900B-CL01"/>
    <m/>
    <m/>
    <m/>
    <m/>
    <x v="2"/>
    <s v="PCOM - Precommissioning"/>
    <s v="E"/>
    <x v="0"/>
    <x v="0"/>
    <s v="Cable FROM PS5-60-IN-0002B TO PS5-60-EA-2900B"/>
    <s v="EACOP"/>
    <s v="CPP AGI"/>
    <m/>
    <m/>
    <s v="1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023"/>
    <m/>
    <m/>
  </r>
  <r>
    <s v="T-00023-9238"/>
    <s v="PS5-60-EA-2900C-CL01"/>
    <m/>
    <m/>
    <m/>
    <m/>
    <x v="2"/>
    <s v="PCOM - Precommissioning"/>
    <s v="E"/>
    <x v="0"/>
    <x v="0"/>
    <s v="Cable FROM PS5-60-IN-0002C TO PS5-60-EA-2900C"/>
    <s v="EACOP"/>
    <s v="CPP AGI"/>
    <m/>
    <m/>
    <s v="1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023"/>
    <m/>
    <m/>
  </r>
  <r>
    <s v="T-00023-9239"/>
    <s v="PS5-60-EA-2900D-CL01"/>
    <m/>
    <m/>
    <m/>
    <m/>
    <x v="2"/>
    <s v="PCOM - Precommissioning"/>
    <s v="E"/>
    <x v="0"/>
    <x v="0"/>
    <s v="Cable FROM PS5-60-IN-0002D TO PS5-60-EA-2900D"/>
    <s v="EACOP"/>
    <s v="CPP AGI"/>
    <m/>
    <m/>
    <s v="1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023"/>
    <m/>
    <m/>
  </r>
  <r>
    <s v="T-00023-9244"/>
    <s v="PS5-71-BE-0004-CL01"/>
    <m/>
    <m/>
    <m/>
    <m/>
    <x v="2"/>
    <s v="PCOM - Precommissioning"/>
    <s v="E"/>
    <x v="0"/>
    <x v="0"/>
    <s v="Cable FROM PS5-71-IN-0002 TO PS5-71-BE-0004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45"/>
    <s v="PS5-71-BE-0004-CL02"/>
    <m/>
    <m/>
    <m/>
    <m/>
    <x v="2"/>
    <s v="PCOM - Precommissioning"/>
    <s v="E"/>
    <x v="0"/>
    <x v="0"/>
    <s v="Cable FROM PS5-71-IN-0002 TO PS5-71-BE-0004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46"/>
    <s v="PS5-71-BE-0004-CL03"/>
    <m/>
    <m/>
    <m/>
    <m/>
    <x v="2"/>
    <s v="PCOM - Precommissioning"/>
    <s v="E"/>
    <x v="0"/>
    <x v="0"/>
    <s v="Cable FROM PS5-71-IN-0002 TO PS5-71-BE-0004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47"/>
    <s v="PS5-71-BI-0003-CL01"/>
    <m/>
    <m/>
    <m/>
    <m/>
    <x v="2"/>
    <s v="PCOM - Precommissioning"/>
    <s v="E"/>
    <x v="0"/>
    <x v="0"/>
    <s v="Cable FROM PS5-71-IN-0002 TO PS5-71-BI-0003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48"/>
    <s v="PS5-71-BI-0003-CL02"/>
    <m/>
    <m/>
    <m/>
    <m/>
    <x v="2"/>
    <s v="PCOM - Precommissioning"/>
    <s v="E"/>
    <x v="0"/>
    <x v="0"/>
    <s v="Cable FROM PS5-71-IN-0002 TO PS5-71-BI-0003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49"/>
    <s v="PS5-71-BI-0003-CL03"/>
    <m/>
    <m/>
    <m/>
    <m/>
    <x v="2"/>
    <s v="PCOM - Precommissioning"/>
    <s v="E"/>
    <x v="0"/>
    <x v="0"/>
    <s v="Cable FROM PS5-71-IN-0002 TO PS5-71-BI-0003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50"/>
    <s v="PS5-71-BI-0003-CL04"/>
    <m/>
    <m/>
    <m/>
    <m/>
    <x v="2"/>
    <s v="PCOM - Precommissioning"/>
    <s v="E"/>
    <x v="0"/>
    <x v="0"/>
    <s v="Cable FROM PS5-71-IN-0002 TO PS5-71-BI-0003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51"/>
    <s v="PS5-71-BI-0004-CL01"/>
    <m/>
    <m/>
    <m/>
    <m/>
    <x v="2"/>
    <s v="PCOM - Precommissioning"/>
    <s v="E"/>
    <x v="0"/>
    <x v="0"/>
    <s v="Cable FROM PS5-71-IN-0002 TO PS5-71-BI-0004"/>
    <s v="EACOP"/>
    <s v="CPP AGI"/>
    <m/>
    <m/>
    <s v="1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023"/>
    <m/>
    <m/>
  </r>
  <r>
    <s v="T-00023-9252"/>
    <s v="PS5-71-BI-0005-CL01"/>
    <m/>
    <m/>
    <m/>
    <m/>
    <x v="2"/>
    <s v="PCOM - Precommissioning"/>
    <s v="E"/>
    <x v="0"/>
    <x v="0"/>
    <s v="Cable FROM PS5-71-IN-0003 TO PS5-71-BI-0005"/>
    <s v="EACOP"/>
    <s v="CPP AGI"/>
    <m/>
    <m/>
    <s v="1"/>
    <m/>
    <m/>
    <m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m/>
  </r>
  <r>
    <s v="T-00023-9253"/>
    <s v="PS5-71-BI-0005-CL02"/>
    <m/>
    <m/>
    <m/>
    <m/>
    <x v="2"/>
    <s v="PCOM - Precommissioning"/>
    <s v="E"/>
    <x v="0"/>
    <x v="0"/>
    <s v="Cable FROM PS5-71-IN-0003 TO PS5-71-BI-0005"/>
    <s v="EACOP"/>
    <s v="CPP AGI"/>
    <m/>
    <m/>
    <s v="1"/>
    <m/>
    <m/>
    <m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m/>
  </r>
  <r>
    <s v="T-00023-9254"/>
    <s v="PS5-71-BI-0005-CL03"/>
    <m/>
    <m/>
    <m/>
    <m/>
    <x v="2"/>
    <s v="PCOM - Precommissioning"/>
    <s v="E"/>
    <x v="0"/>
    <x v="0"/>
    <s v="Cable FROM PS5-71-IN-0003 TO PS5-71-BI-0005"/>
    <s v="EACOP"/>
    <s v="CPP AGI"/>
    <m/>
    <m/>
    <s v="1"/>
    <m/>
    <m/>
    <m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m/>
  </r>
  <r>
    <s v="T-00023-9255"/>
    <s v="PS5-71-BI-0006-CL01"/>
    <m/>
    <m/>
    <m/>
    <m/>
    <x v="2"/>
    <s v="PCOM - Precommissioning"/>
    <s v="E"/>
    <x v="0"/>
    <x v="0"/>
    <s v="Cable FROM PS5-71-IN-0003 TO PS5-71-BI-0006"/>
    <s v="EACOP"/>
    <s v="CPP AGI"/>
    <m/>
    <m/>
    <s v="1"/>
    <m/>
    <m/>
    <m/>
    <s v="PS5 - TZA - PS5 - Tanzania"/>
    <s v="PS5-71-22 - Diesel Fuel Pre Pressure Module"/>
    <m/>
    <s v="PS5-71-22"/>
    <x v="0"/>
    <x v="0"/>
    <s v="LV Power Cable"/>
    <s v="E"/>
    <x v="0"/>
    <s v="PS5 - Milestone B"/>
    <s v="TM-00023"/>
    <m/>
    <m/>
  </r>
  <r>
    <s v="T-00024-2101"/>
    <s v="PS5-60-IE-0002A-CD01"/>
    <m/>
    <m/>
    <m/>
    <m/>
    <x v="3"/>
    <s v="PCOM - Precommissioning"/>
    <s v="E"/>
    <x v="0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02"/>
    <s v="PS5-60-IE-0002A-CD02"/>
    <m/>
    <m/>
    <m/>
    <m/>
    <x v="3"/>
    <s v="PCOM - Precommissioning"/>
    <s v="E"/>
    <x v="0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03"/>
    <s v="PS5-60-IE-0002A-CD03"/>
    <m/>
    <m/>
    <m/>
    <m/>
    <x v="3"/>
    <s v="PCOM - Precommissioning"/>
    <s v="E"/>
    <x v="0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04"/>
    <s v="PS5-60-IE-0002B-CD01"/>
    <m/>
    <m/>
    <m/>
    <m/>
    <x v="3"/>
    <s v="PCOM - Precommissioning"/>
    <s v="E"/>
    <x v="0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05"/>
    <s v="PS5-60-IE-0002B-CD02"/>
    <m/>
    <m/>
    <m/>
    <m/>
    <x v="3"/>
    <s v="PCOM - Precommissioning"/>
    <s v="E"/>
    <x v="0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06"/>
    <s v="PS5-60-IE-0002B-CD03"/>
    <m/>
    <m/>
    <m/>
    <m/>
    <x v="3"/>
    <s v="PCOM - Precommissioning"/>
    <s v="E"/>
    <x v="0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07"/>
    <s v="PS5-60-IE-0002C-CD01"/>
    <m/>
    <m/>
    <m/>
    <m/>
    <x v="3"/>
    <s v="PCOM - Precommissioning"/>
    <s v="E"/>
    <x v="0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08"/>
    <s v="PS5-60-IE-0002C-CD02"/>
    <m/>
    <m/>
    <m/>
    <m/>
    <x v="3"/>
    <s v="PCOM - Precommissioning"/>
    <s v="E"/>
    <x v="0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09"/>
    <s v="PS5-60-IE-0002C-CD03"/>
    <m/>
    <m/>
    <m/>
    <m/>
    <x v="3"/>
    <s v="PCOM - Precommissioning"/>
    <s v="E"/>
    <x v="0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10"/>
    <s v="PS5-60-IE-0002D-CD01"/>
    <m/>
    <m/>
    <m/>
    <m/>
    <x v="3"/>
    <s v="PCOM - Precommissioning"/>
    <s v="E"/>
    <x v="0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11"/>
    <s v="PS5-60-IE-0002D-CD02"/>
    <m/>
    <m/>
    <m/>
    <m/>
    <x v="3"/>
    <s v="PCOM - Precommissioning"/>
    <s v="E"/>
    <x v="0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12"/>
    <s v="PS5-60-IE-0002D-CD03"/>
    <m/>
    <m/>
    <m/>
    <m/>
    <x v="3"/>
    <s v="PCOM - Precommissioning"/>
    <s v="E"/>
    <x v="0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23"/>
    <s v="PS5-60-IE-0003A-CD02"/>
    <m/>
    <m/>
    <m/>
    <m/>
    <x v="3"/>
    <s v="PCOM - Precommissioning"/>
    <s v="E"/>
    <x v="0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24"/>
    <s v="PS5-60-IE-0003A-CD03"/>
    <m/>
    <m/>
    <m/>
    <m/>
    <x v="3"/>
    <s v="PCOM - Precommissioning"/>
    <s v="E"/>
    <x v="0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25"/>
    <s v="PS5-60-IE-0003A-CD04"/>
    <m/>
    <m/>
    <m/>
    <m/>
    <x v="3"/>
    <s v="PCOM - Precommissioning"/>
    <s v="E"/>
    <x v="0"/>
    <x v="0"/>
    <s v="Cable FROM PS5-60-BI-0005A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26"/>
    <s v="PS5-60-IE-0003A-CD05"/>
    <m/>
    <m/>
    <m/>
    <m/>
    <x v="3"/>
    <s v="PCOM - Precommissioning"/>
    <s v="E"/>
    <x v="0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35"/>
    <s v="PS5-60-IE-0003A-CD14"/>
    <m/>
    <m/>
    <m/>
    <m/>
    <x v="3"/>
    <s v="PCOM - Precommissioning"/>
    <s v="E"/>
    <x v="0"/>
    <x v="0"/>
    <s v="Cable FROM PS5-60-IE-0002A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36"/>
    <s v="PS5-60-IE-0003A-CD15"/>
    <m/>
    <m/>
    <m/>
    <m/>
    <x v="3"/>
    <s v="PCOM - Precommissioning"/>
    <s v="E"/>
    <x v="0"/>
    <x v="0"/>
    <s v="Cable FROM PS5-60-IE-0004 TO PS5-60-IE-0003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024"/>
    <m/>
    <s v="TZ-MID-68-WPR2-150101"/>
  </r>
  <r>
    <s v="T-00024-2138"/>
    <s v="PS5-60-IE-0003B-CD02"/>
    <m/>
    <m/>
    <m/>
    <m/>
    <x v="3"/>
    <s v="PCOM - Precommissioning"/>
    <s v="E"/>
    <x v="0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39"/>
    <s v="PS5-60-IE-0003B-CD03"/>
    <m/>
    <m/>
    <m/>
    <m/>
    <x v="3"/>
    <s v="PCOM - Precommissioning"/>
    <s v="E"/>
    <x v="0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40"/>
    <s v="PS5-60-IE-0003B-CD04"/>
    <m/>
    <m/>
    <m/>
    <m/>
    <x v="3"/>
    <s v="PCOM - Precommissioning"/>
    <s v="E"/>
    <x v="0"/>
    <x v="0"/>
    <s v="Cable FROM PS5-60-BI-0005B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41"/>
    <s v="PS5-60-IE-0003B-CD05"/>
    <m/>
    <m/>
    <m/>
    <m/>
    <x v="3"/>
    <s v="PCOM - Precommissioning"/>
    <s v="E"/>
    <x v="0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50"/>
    <s v="PS5-60-IE-0003B-CD14"/>
    <m/>
    <m/>
    <m/>
    <m/>
    <x v="3"/>
    <s v="PCOM - Precommissioning"/>
    <s v="E"/>
    <x v="0"/>
    <x v="0"/>
    <s v="Cable FROM PS5-60-IE-0002B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51"/>
    <s v="PS5-60-IE-0003B-CD15"/>
    <m/>
    <m/>
    <m/>
    <m/>
    <x v="3"/>
    <s v="PCOM - Precommissioning"/>
    <s v="E"/>
    <x v="0"/>
    <x v="0"/>
    <s v="Cable FROM PS5-60-IE-0004 TO PS5-60-IE-0003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024"/>
    <m/>
    <s v="TZ-MID-68-WPR2-150101"/>
  </r>
  <r>
    <s v="T-00024-2153"/>
    <s v="PS5-60-IE-0003C-CD02"/>
    <m/>
    <m/>
    <m/>
    <m/>
    <x v="3"/>
    <s v="PCOM - Precommissioning"/>
    <s v="E"/>
    <x v="0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54"/>
    <s v="PS5-60-IE-0003C-CD03"/>
    <m/>
    <m/>
    <m/>
    <m/>
    <x v="3"/>
    <s v="PCOM - Precommissioning"/>
    <s v="E"/>
    <x v="0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55"/>
    <s v="PS5-60-IE-0003C-CD04"/>
    <m/>
    <m/>
    <m/>
    <m/>
    <x v="3"/>
    <s v="PCOM - Precommissioning"/>
    <s v="E"/>
    <x v="0"/>
    <x v="0"/>
    <s v="Cable FROM PS5-60-BI-000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56"/>
    <s v="PS5-60-IE-0003C-CD05"/>
    <m/>
    <m/>
    <m/>
    <m/>
    <x v="3"/>
    <s v="PCOM - Precommissioning"/>
    <s v="E"/>
    <x v="0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65"/>
    <s v="PS5-60-IE-0003C-CD14"/>
    <m/>
    <m/>
    <m/>
    <m/>
    <x v="3"/>
    <s v="PCOM - Precommissioning"/>
    <s v="E"/>
    <x v="0"/>
    <x v="0"/>
    <s v="Cable FROM PS5-60-IE-0002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66"/>
    <s v="PS5-60-IE-0003C-CD15"/>
    <m/>
    <m/>
    <m/>
    <m/>
    <x v="3"/>
    <s v="PCOM - Precommissioning"/>
    <s v="E"/>
    <x v="0"/>
    <x v="0"/>
    <s v="Cable FROM PS5-60-IE-0004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024"/>
    <m/>
    <s v="TZ-MID-68-WPR2-150101"/>
  </r>
  <r>
    <s v="T-00024-2168"/>
    <s v="PS5-60-IE-0003D-CD02"/>
    <m/>
    <m/>
    <m/>
    <m/>
    <x v="3"/>
    <s v="PCOM - Precommissioning"/>
    <s v="E"/>
    <x v="0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69"/>
    <s v="PS5-60-IE-0003D-CD03"/>
    <m/>
    <m/>
    <m/>
    <m/>
    <x v="3"/>
    <s v="PCOM - Precommissioning"/>
    <s v="E"/>
    <x v="0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70"/>
    <s v="PS5-60-IE-0003D-CD04"/>
    <m/>
    <m/>
    <m/>
    <m/>
    <x v="3"/>
    <s v="PCOM - Precommissioning"/>
    <s v="E"/>
    <x v="0"/>
    <x v="0"/>
    <s v="Cable FROM PS5-60-BI-0005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71"/>
    <s v="PS5-60-IE-0003D-CD05"/>
    <m/>
    <m/>
    <m/>
    <m/>
    <x v="3"/>
    <s v="PCOM - Precommissioning"/>
    <s v="E"/>
    <x v="0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80"/>
    <s v="PS5-60-IE-0003D-CD14"/>
    <m/>
    <m/>
    <m/>
    <m/>
    <x v="3"/>
    <s v="PCOM - Precommissioning"/>
    <s v="E"/>
    <x v="0"/>
    <x v="0"/>
    <s v="Cable FROM PS5-60-IE-0002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4-2181"/>
    <s v="PS5-60-IE-0003D-CD15"/>
    <m/>
    <m/>
    <m/>
    <m/>
    <x v="3"/>
    <s v="PCOM - Precommissioning"/>
    <s v="E"/>
    <x v="0"/>
    <x v="0"/>
    <s v="Cable FROM PS5-60-IE-0004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024"/>
    <m/>
    <s v="TZ-MID-68-WPR2-150101"/>
  </r>
  <r>
    <s v="T-00026-0178"/>
    <s v="PS5-71-DM-3500A"/>
    <m/>
    <m/>
    <m/>
    <m/>
    <x v="4"/>
    <s v="PCOM - Precommissioning"/>
    <s v="E"/>
    <x v="0"/>
    <x v="0"/>
    <s v="Diesel Transfer Pump Motor A"/>
    <s v="EACOP"/>
    <s v="CPP AGI"/>
    <m/>
    <m/>
    <s v="4"/>
    <m/>
    <m/>
    <m/>
    <s v="PS5 - TZA - PS5 - Tanzania"/>
    <s v="PS5-71-21 - Diesel Transfer Pump A/B"/>
    <m/>
    <s v="PS5-71-21"/>
    <x v="0"/>
    <x v="0"/>
    <s v="LV Motor"/>
    <s v="E"/>
    <x v="0"/>
    <s v="PS5 - Milestone B"/>
    <s v="TM-00026"/>
    <m/>
    <m/>
  </r>
  <r>
    <s v="T-00026-0179"/>
    <s v="PS5-71-DM-3500B"/>
    <m/>
    <m/>
    <m/>
    <m/>
    <x v="4"/>
    <s v="PCOM - Precommissioning"/>
    <s v="E"/>
    <x v="0"/>
    <x v="0"/>
    <s v="Diesel Transfer Pump Motor B"/>
    <s v="EACOP"/>
    <s v="CPP AGI"/>
    <m/>
    <m/>
    <s v="4"/>
    <m/>
    <m/>
    <m/>
    <s v="PS5 - TZA - PS5 - Tanzania"/>
    <s v="PS5-71-21 - Diesel Transfer Pump A/B"/>
    <m/>
    <s v="PS5-71-21"/>
    <x v="0"/>
    <x v="0"/>
    <s v="LV Motor"/>
    <s v="E"/>
    <x v="0"/>
    <s v="PS5 - Milestone B"/>
    <s v="TM-00026"/>
    <m/>
    <m/>
  </r>
  <r>
    <s v="T-00034-0059"/>
    <s v="PS5-60-IJ-0001A"/>
    <m/>
    <m/>
    <m/>
    <m/>
    <x v="5"/>
    <s v="PCOM - Precommissioning"/>
    <s v="E"/>
    <x v="0"/>
    <x v="0"/>
    <s v="Neutral Grounding resistor for Generator set 1 (A)"/>
    <s v="EACOP"/>
    <s v="CPP AGI"/>
    <m/>
    <m/>
    <s v="8"/>
    <m/>
    <m/>
    <m/>
    <s v="PS5 - TZA - PS5 - Tanzania"/>
    <s v="PS5-60-01 - Power Generation Package A"/>
    <m/>
    <s v="PS5-60-01"/>
    <x v="0"/>
    <x v="0"/>
    <s v="Neutral Earthing Resistor"/>
    <s v="E"/>
    <x v="0"/>
    <s v="PS5 - Milestone B"/>
    <s v="TM-00034"/>
    <m/>
    <m/>
  </r>
  <r>
    <s v="T-00034-0060"/>
    <s v="PS5-60-IJ-0001B"/>
    <m/>
    <m/>
    <m/>
    <m/>
    <x v="5"/>
    <s v="PCOM - Precommissioning"/>
    <s v="E"/>
    <x v="0"/>
    <x v="0"/>
    <s v="Neutral Grounding resistor for Generator set 2 (B)"/>
    <s v="EACOP"/>
    <s v="CPP AGI"/>
    <m/>
    <m/>
    <s v="8"/>
    <m/>
    <m/>
    <m/>
    <s v="PS5 - TZA - PS5 - Tanzania"/>
    <s v="PS5-60-04 - Power Generation Package B"/>
    <m/>
    <s v="PS5-60-04"/>
    <x v="0"/>
    <x v="0"/>
    <s v="Neutral Earthing Resistor"/>
    <s v="E"/>
    <x v="0"/>
    <s v="PS5 - Milestone B"/>
    <s v="TM-00034"/>
    <m/>
    <m/>
  </r>
  <r>
    <s v="T-00034-0061"/>
    <s v="PS5-60-IJ-0001C"/>
    <m/>
    <m/>
    <m/>
    <m/>
    <x v="5"/>
    <s v="PCOM - Precommissioning"/>
    <s v="E"/>
    <x v="0"/>
    <x v="0"/>
    <s v="Neutral Grounding resistor for Generator set 3 (C)"/>
    <s v="EACOP"/>
    <s v="CPP AGI"/>
    <m/>
    <m/>
    <s v="8"/>
    <m/>
    <m/>
    <m/>
    <s v="PS5 - TZA - PS5 - Tanzania"/>
    <s v="PS5-60-07 - Power Generation Package C"/>
    <m/>
    <s v="PS5-60-07"/>
    <x v="1"/>
    <x v="0"/>
    <s v="Neutral Earthing Resistor"/>
    <s v="E"/>
    <x v="0"/>
    <s v="PS5 - Milestone D"/>
    <s v="TM-00034"/>
    <m/>
    <m/>
  </r>
  <r>
    <s v="T-00034-0062"/>
    <s v="PS5-60-IJ-0001D"/>
    <m/>
    <m/>
    <m/>
    <m/>
    <x v="5"/>
    <s v="PCOM - Precommissioning"/>
    <s v="E"/>
    <x v="0"/>
    <x v="0"/>
    <s v="Neutral Grounding resistor for Generator set 4 (D)"/>
    <s v="EACOP"/>
    <s v="CPP AGI"/>
    <m/>
    <m/>
    <s v="8"/>
    <m/>
    <m/>
    <m/>
    <s v="PS5 - TZA - PS5 - Tanzania"/>
    <s v="PS5-60-10 - Power Generation Package D"/>
    <m/>
    <s v="PS5-60-10"/>
    <x v="1"/>
    <x v="0"/>
    <s v="Neutral Earthing Resistor"/>
    <s v="E"/>
    <x v="0"/>
    <s v="PS5 - Milestone D"/>
    <s v="TM-00034"/>
    <m/>
    <m/>
  </r>
  <r>
    <s v="T-00039-0295"/>
    <s v="PS5 - POWER DISTRIBUTION AREA_Earthing"/>
    <m/>
    <m/>
    <m/>
    <m/>
    <x v="6"/>
    <s v="PCOM - Precommissioning"/>
    <s v="E"/>
    <x v="0"/>
    <x v="0"/>
    <s v="Earthing"/>
    <s v="EACOP"/>
    <s v="CPP AGI"/>
    <m/>
    <m/>
    <s v="10"/>
    <m/>
    <s v="10"/>
    <s v="TZ-MID-68-WPR2-151148"/>
    <s v="PS5 - TZA - PS5 - Tanzania"/>
    <s v="PS5-63-01 - Electrical Earthing"/>
    <m/>
    <s v="PS5-63-01"/>
    <x v="0"/>
    <x v="0"/>
    <s v="Earthing System"/>
    <s v="E"/>
    <x v="2"/>
    <s v="PS5 - Milestone A"/>
    <s v="TM-00039"/>
    <m/>
    <s v="TZ-MID-68-WPR2-151148"/>
  </r>
  <r>
    <s v="T-00039-0296"/>
    <s v="PS5 - POWER GENERATION BUILDING AREA_Earthing"/>
    <m/>
    <m/>
    <m/>
    <m/>
    <x v="6"/>
    <s v="PCOM - Precommissioning"/>
    <s v="E"/>
    <x v="0"/>
    <x v="0"/>
    <s v="Earthing"/>
    <s v="EACOP"/>
    <s v="CPP AGI"/>
    <m/>
    <m/>
    <s v="10"/>
    <m/>
    <m/>
    <s v="TZ-MID-68-WPR2-151152"/>
    <s v="PS5 - TZA - PS5 - Tanzania"/>
    <s v="PS5-63-01 - Electrical Earthing"/>
    <m/>
    <s v="PS5-63-01"/>
    <x v="0"/>
    <x v="0"/>
    <s v="Earthing System"/>
    <s v="E"/>
    <x v="2"/>
    <s v="PS5 - Milestone A"/>
    <s v="TM-00039"/>
    <m/>
    <s v="TZ-MID-68-WPR2-151152"/>
  </r>
  <r>
    <s v="T-00039-0297"/>
    <s v="PS5 - POWER GENERATION COOLING TOWER AREA_Earthing"/>
    <m/>
    <m/>
    <m/>
    <m/>
    <x v="6"/>
    <s v="PCOM - Precommissioning"/>
    <s v="E"/>
    <x v="0"/>
    <x v="0"/>
    <s v="Earthing"/>
    <s v="EACOP"/>
    <s v="CPP AGI"/>
    <m/>
    <m/>
    <s v="10"/>
    <m/>
    <m/>
    <s v="TZ-MID-68-WPR2-151154"/>
    <s v="PS5 - TZA - PS5 - Tanzania"/>
    <s v="PS5-63-01 - Electrical Earthing"/>
    <m/>
    <s v="PS5-63-01"/>
    <x v="0"/>
    <x v="0"/>
    <s v="Earthing System"/>
    <s v="E"/>
    <x v="2"/>
    <s v="PS5 - Milestone A"/>
    <s v="TM-00039"/>
    <m/>
    <s v="TZ-MID-68-WPR2-151154"/>
  </r>
  <r>
    <s v="T-00039-0309"/>
    <s v="PS5-84-OB-0005_Earthing"/>
    <m/>
    <m/>
    <m/>
    <m/>
    <x v="6"/>
    <s v="PCOM - Precommissioning"/>
    <s v="E"/>
    <x v="0"/>
    <x v="0"/>
    <s v="Earthing for Generator Electrical Building"/>
    <s v="EACOP"/>
    <s v="CPP AGI"/>
    <m/>
    <m/>
    <s v="10"/>
    <m/>
    <m/>
    <s v="TZ-MID-68-WPR2-151181"/>
    <s v="PS5 - TZA - PS5 - Tanzania"/>
    <s v="PS5-63-03 - Electrical Earthing - Generator Building"/>
    <m/>
    <s v="PS5-63-03"/>
    <x v="0"/>
    <x v="0"/>
    <s v="Earthing System"/>
    <s v="E"/>
    <x v="0"/>
    <s v="PS5 - Milestone B"/>
    <s v="TM-00039"/>
    <m/>
    <s v="TZ-MID-68-WPR2-151181"/>
  </r>
  <r>
    <s v="T-00044-0090"/>
    <s v="PS5-60-IE-0003A"/>
    <m/>
    <m/>
    <m/>
    <m/>
    <x v="7"/>
    <s v="PCOM - Precommissioning"/>
    <s v="E"/>
    <x v="0"/>
    <x v="0"/>
    <s v="GCP G-1 (A)"/>
    <s v="EACOP"/>
    <s v="CPP AGI"/>
    <m/>
    <m/>
    <s v="6"/>
    <m/>
    <m/>
    <m/>
    <s v="PS5 - TZA - PS5 - Tanzania"/>
    <s v="PS5-60-02 - Power Gen Package A (UCP)"/>
    <m/>
    <s v="PS5-60-02"/>
    <x v="0"/>
    <x v="0"/>
    <s v="Console / Control Panel"/>
    <s v="E"/>
    <x v="0"/>
    <s v="PS5 - Milestone B"/>
    <s v="TM-00044"/>
    <m/>
    <m/>
  </r>
  <r>
    <s v="T-00044-0091"/>
    <s v="PS5-60-IE-0003B"/>
    <m/>
    <m/>
    <m/>
    <m/>
    <x v="7"/>
    <s v="PCOM - Precommissioning"/>
    <s v="E"/>
    <x v="0"/>
    <x v="0"/>
    <s v="GCP G-2 (B)"/>
    <s v="EACOP"/>
    <s v="CPP AGI"/>
    <m/>
    <m/>
    <s v="6"/>
    <m/>
    <m/>
    <m/>
    <s v="PS5 - TZA - PS5 - Tanzania"/>
    <s v="PS5-60-05 - Power Gen Package B (UCP)"/>
    <m/>
    <s v="PS5-60-05"/>
    <x v="0"/>
    <x v="0"/>
    <s v="Console / Control Panel"/>
    <s v="E"/>
    <x v="0"/>
    <s v="PS5 - Milestone B"/>
    <s v="TM-00044"/>
    <m/>
    <m/>
  </r>
  <r>
    <s v="T-00044-0092"/>
    <s v="PS5-60-IE-0003C"/>
    <m/>
    <m/>
    <m/>
    <m/>
    <x v="7"/>
    <s v="PCOM - Precommissioning"/>
    <s v="E"/>
    <x v="0"/>
    <x v="0"/>
    <s v="GCP G-3 (C)"/>
    <s v="EACOP"/>
    <s v="CPP AGI"/>
    <m/>
    <m/>
    <s v="6"/>
    <m/>
    <m/>
    <m/>
    <s v="PS5 - TZA - PS5 - Tanzania"/>
    <s v="PS5-60-08 - Power Gen Package C (UCP)"/>
    <m/>
    <s v="PS5-60-08"/>
    <x v="1"/>
    <x v="0"/>
    <s v="Console / Control Panel"/>
    <s v="E"/>
    <x v="0"/>
    <s v="PS5 - Milestone D"/>
    <s v="TM-00044"/>
    <m/>
    <m/>
  </r>
  <r>
    <s v="T-00044-0093"/>
    <s v="PS5-60-IE-0003D"/>
    <m/>
    <m/>
    <m/>
    <m/>
    <x v="7"/>
    <s v="PCOM - Precommissioning"/>
    <s v="E"/>
    <x v="0"/>
    <x v="0"/>
    <s v="GCP G-4 (D)"/>
    <s v="EACOP"/>
    <s v="CPP AGI"/>
    <m/>
    <m/>
    <s v="6"/>
    <m/>
    <m/>
    <m/>
    <s v="PS5 - TZA - PS5 - Tanzania"/>
    <s v="PS5-60-11 - Power Gen Package D (UCP)"/>
    <m/>
    <s v="PS5-60-11"/>
    <x v="1"/>
    <x v="0"/>
    <s v="Console / Control Panel"/>
    <s v="E"/>
    <x v="0"/>
    <s v="PS5 - Milestone D"/>
    <s v="TM-00044"/>
    <m/>
    <m/>
  </r>
  <r>
    <s v="T-00044-0097"/>
    <s v="PS5-60-IE-0004"/>
    <m/>
    <m/>
    <m/>
    <m/>
    <x v="7"/>
    <s v="PCOM - Precommissioning"/>
    <s v="E"/>
    <x v="0"/>
    <x v="0"/>
    <s v="MCP- MASTER CONTROL PANEL"/>
    <s v="EACOP"/>
    <s v="CPP AGI"/>
    <m/>
    <m/>
    <s v="6"/>
    <m/>
    <m/>
    <m/>
    <s v="PS5 - TZA - PS5 - Tanzania"/>
    <s v="PS5-60-22 - Power Gen Master UCP"/>
    <m/>
    <s v="PS5-60-22"/>
    <x v="0"/>
    <x v="0"/>
    <s v="Console / Control Panel"/>
    <s v="E"/>
    <x v="0"/>
    <s v="PS5 - Milestone B"/>
    <s v="TM-00044"/>
    <m/>
    <m/>
  </r>
  <r>
    <s v="T-00044-0098"/>
    <s v="PS5-60-IH-0001A"/>
    <m/>
    <m/>
    <m/>
    <m/>
    <x v="7"/>
    <s v="PCOM - Precommissioning"/>
    <s v="E"/>
    <x v="0"/>
    <x v="0"/>
    <s v="GENSET MCC -1 - G1 (A)"/>
    <s v="EACOP"/>
    <s v="CPP AGI"/>
    <m/>
    <m/>
    <s v="6"/>
    <m/>
    <m/>
    <m/>
    <s v="PS5 - TZA - PS5 - Tanzania"/>
    <s v="PS5-60-03 - Power Gen Package A Generator Auxiliary MCCs &amp; DBs"/>
    <m/>
    <s v="PS5-60-03"/>
    <x v="0"/>
    <x v="0"/>
    <s v="Console / Control Panel"/>
    <s v="E"/>
    <x v="0"/>
    <s v="PS5 - Milestone B"/>
    <s v="TM-00044"/>
    <m/>
    <m/>
  </r>
  <r>
    <s v="T-00044-0099"/>
    <s v="PS5-60-IH-0001B"/>
    <m/>
    <m/>
    <m/>
    <m/>
    <x v="7"/>
    <s v="PCOM - Precommissioning"/>
    <s v="E"/>
    <x v="0"/>
    <x v="0"/>
    <s v="GENSET MCC -2 - G2 (B)"/>
    <s v="EACOP"/>
    <s v="CPP AGI"/>
    <m/>
    <m/>
    <s v="6"/>
    <m/>
    <m/>
    <m/>
    <s v="PS5 - TZA - PS5 - Tanzania"/>
    <s v="PS5-60-06 - Power Gen Package B Generator Auxiliary MCCs &amp; DBs"/>
    <m/>
    <s v="PS5-60-06"/>
    <x v="0"/>
    <x v="0"/>
    <s v="Console / Control Panel"/>
    <s v="E"/>
    <x v="0"/>
    <s v="PS5 - Milestone B"/>
    <s v="TM-00044"/>
    <m/>
    <m/>
  </r>
  <r>
    <s v="T-00044-0100"/>
    <s v="PS5-60-IH-0001C"/>
    <m/>
    <m/>
    <m/>
    <m/>
    <x v="7"/>
    <s v="PCOM - Precommissioning"/>
    <s v="E"/>
    <x v="0"/>
    <x v="0"/>
    <s v="GENSET MCC -3 - G3 (C)"/>
    <s v="EACOP"/>
    <s v="CPP AGI"/>
    <m/>
    <m/>
    <s v="6"/>
    <m/>
    <m/>
    <m/>
    <s v="PS5 - TZA - PS5 - Tanzania"/>
    <s v="PS5-60-09 - Power Gen Package C Generator Auxiliary MCCs &amp; DBs"/>
    <m/>
    <s v="PS5-60-09"/>
    <x v="1"/>
    <x v="0"/>
    <s v="Console / Control Panel"/>
    <s v="E"/>
    <x v="0"/>
    <s v="PS5 - Milestone D"/>
    <s v="TM-00044"/>
    <m/>
    <m/>
  </r>
  <r>
    <s v="T-00044-0101"/>
    <s v="PS5-60-IH-0001D"/>
    <m/>
    <m/>
    <m/>
    <m/>
    <x v="7"/>
    <s v="PCOM - Precommissioning"/>
    <s v="E"/>
    <x v="0"/>
    <x v="0"/>
    <s v="GENSET MCC -4 - G4 (D)"/>
    <s v="EACOP"/>
    <s v="CPP AGI"/>
    <m/>
    <m/>
    <s v="6"/>
    <m/>
    <m/>
    <m/>
    <s v="PS5 - TZA - PS5 - Tanzania"/>
    <s v="PS5-60-12 - Power Gen Package D Generator Auxiliary MCCs &amp; DBs"/>
    <m/>
    <s v="PS5-60-12"/>
    <x v="1"/>
    <x v="0"/>
    <s v="Console / Control Panel"/>
    <s v="E"/>
    <x v="0"/>
    <s v="PS5 - Milestone D"/>
    <s v="TM-00044"/>
    <m/>
    <m/>
  </r>
  <r>
    <s v="T-00044-0105"/>
    <s v="PS5-60-IH-0002"/>
    <m/>
    <m/>
    <m/>
    <m/>
    <x v="7"/>
    <s v="PCOM - Precommissioning"/>
    <s v="E"/>
    <x v="0"/>
    <x v="0"/>
    <s v="COMMON / TREATMENT MCC"/>
    <s v="EACOP"/>
    <s v="CPP AGI"/>
    <m/>
    <m/>
    <s v="6"/>
    <m/>
    <m/>
    <m/>
    <s v="PS5 - TZA - PS5 - Tanzania"/>
    <s v="PS5-60-22 - Power Gen Master UCP"/>
    <m/>
    <s v="PS5-60-22"/>
    <x v="0"/>
    <x v="0"/>
    <s v="Console / Control Panel"/>
    <s v="E"/>
    <x v="0"/>
    <s v="PS5 - Milestone B"/>
    <s v="TM-00044"/>
    <m/>
    <m/>
  </r>
  <r>
    <s v="T-00044-0106"/>
    <s v="PS5-60-IE-0002A"/>
    <m/>
    <m/>
    <m/>
    <m/>
    <x v="7"/>
    <s v="PCOM - Precommissioning"/>
    <s v="E"/>
    <x v="0"/>
    <x v="0"/>
    <s v="LOCAL DISPLAY PANEL LDP GENERATOR SET"/>
    <s v="EACOP"/>
    <s v="CPP AGI"/>
    <m/>
    <m/>
    <s v="6"/>
    <m/>
    <m/>
    <m/>
    <s v="PS5 - TZA - PS5 - Tanzania"/>
    <s v="PS5-60-01 - Power Generation Package A"/>
    <m/>
    <s v="PS5-60-01"/>
    <x v="0"/>
    <x v="0"/>
    <s v="Console / Control Panel"/>
    <s v="E"/>
    <x v="0"/>
    <s v="PS5 - Milestone B"/>
    <s v="TM-00044"/>
    <m/>
    <m/>
  </r>
  <r>
    <s v="T-00044-0107"/>
    <s v="PS5-60-IE-0002B"/>
    <m/>
    <m/>
    <m/>
    <m/>
    <x v="7"/>
    <s v="PCOM - Precommissioning"/>
    <s v="E"/>
    <x v="0"/>
    <x v="0"/>
    <s v="LOCAL DISPLAY PANEL LDP GENERATOR SET"/>
    <s v="EACOP"/>
    <s v="CPP AGI"/>
    <m/>
    <m/>
    <s v="6"/>
    <m/>
    <m/>
    <m/>
    <s v="PS5 - TZA - PS5 - Tanzania"/>
    <s v="PS5-60-04 - Power Generation Package B"/>
    <m/>
    <s v="PS5-60-04"/>
    <x v="0"/>
    <x v="0"/>
    <s v="Console / Control Panel"/>
    <s v="E"/>
    <x v="0"/>
    <s v="PS5 - Milestone B"/>
    <s v="TM-00044"/>
    <m/>
    <m/>
  </r>
  <r>
    <s v="T-00044-0108"/>
    <s v="PS5-60-IE-0002C"/>
    <m/>
    <m/>
    <m/>
    <m/>
    <x v="7"/>
    <s v="PCOM - Precommissioning"/>
    <s v="E"/>
    <x v="0"/>
    <x v="0"/>
    <s v="LOCAL DISPLAY PANEL LDP GENERATOR SET"/>
    <s v="EACOP"/>
    <s v="CPP AGI"/>
    <m/>
    <m/>
    <s v="6"/>
    <m/>
    <m/>
    <m/>
    <s v="PS5 - TZA - PS5 - Tanzania"/>
    <s v="PS5-60-07 - Power Generation Package C"/>
    <m/>
    <s v="PS5-60-07"/>
    <x v="1"/>
    <x v="0"/>
    <s v="Console / Control Panel"/>
    <s v="E"/>
    <x v="0"/>
    <s v="PS5 - Milestone D"/>
    <s v="TM-00044"/>
    <m/>
    <m/>
  </r>
  <r>
    <s v="T-00044-0109"/>
    <s v="PS5-60-IE-0002D"/>
    <m/>
    <m/>
    <m/>
    <m/>
    <x v="7"/>
    <s v="PCOM - Precommissioning"/>
    <s v="E"/>
    <x v="0"/>
    <x v="0"/>
    <s v="LOCAL DISPLAY PANEL LDP GENERATOR SET"/>
    <s v="EACOP"/>
    <s v="CPP AGI"/>
    <m/>
    <m/>
    <s v="6"/>
    <m/>
    <m/>
    <m/>
    <s v="PS5 - TZA - PS5 - Tanzania"/>
    <s v="PS5-60-10 - Power Generation Package D"/>
    <m/>
    <s v="PS5-60-10"/>
    <x v="1"/>
    <x v="0"/>
    <s v="Console / Control Panel"/>
    <s v="E"/>
    <x v="0"/>
    <s v="PS5 - Milestone D"/>
    <s v="TM-00044"/>
    <m/>
    <m/>
  </r>
  <r>
    <s v="T-00044-0185"/>
    <s v="PS5-60-IN-0002A"/>
    <m/>
    <m/>
    <m/>
    <m/>
    <x v="7"/>
    <s v="PCOM - Precommissioning"/>
    <s v="E"/>
    <x v="0"/>
    <x v="0"/>
    <s v="Fuel Conditioning Unit Control Panel - Generator Set-1 (A)"/>
    <s v="EACOP"/>
    <s v="CPP AGI"/>
    <m/>
    <m/>
    <s v="6"/>
    <m/>
    <m/>
    <m/>
    <s v="PS5 - TZA - PS5 - Tanzania"/>
    <s v="PS5-60-57 - Fuel Conditioning Module PS5-60-UZ-8900A (UCP)"/>
    <m/>
    <s v="PS5-60-57"/>
    <x v="0"/>
    <x v="0"/>
    <s v="Console / Control Panel"/>
    <s v="E"/>
    <x v="0"/>
    <s v="PS5 - Milestone B"/>
    <s v="TM-00044"/>
    <m/>
    <m/>
  </r>
  <r>
    <s v="T-00044-0186"/>
    <s v="PS5-60-IN-0002B"/>
    <m/>
    <m/>
    <m/>
    <m/>
    <x v="7"/>
    <s v="PCOM - Precommissioning"/>
    <s v="E"/>
    <x v="0"/>
    <x v="0"/>
    <s v="Fuel Conditioning Unit Control Panel - Generator Set-2 (B)"/>
    <s v="EACOP"/>
    <s v="CPP AGI"/>
    <m/>
    <m/>
    <s v="6"/>
    <m/>
    <m/>
    <m/>
    <s v="PS5 - TZA - PS5 - Tanzania"/>
    <s v="PS5-60-59 - Fuel Conditioning Module PS5-60-UZ-8900B (UCP)"/>
    <m/>
    <s v="PS5-60-59"/>
    <x v="0"/>
    <x v="0"/>
    <s v="Console / Control Panel"/>
    <s v="E"/>
    <x v="0"/>
    <s v="PS5 - Milestone B"/>
    <s v="TM-00044"/>
    <m/>
    <m/>
  </r>
  <r>
    <s v="T-00044-0187"/>
    <s v="PS5-60-IN-0002C"/>
    <m/>
    <m/>
    <m/>
    <m/>
    <x v="7"/>
    <s v="PCOM - Precommissioning"/>
    <s v="E"/>
    <x v="0"/>
    <x v="0"/>
    <s v="Fuel Conditioning Unit Control Panel - Generator Set-3 (C)"/>
    <s v="EACOP"/>
    <s v="CPP AGI"/>
    <m/>
    <m/>
    <s v="6"/>
    <m/>
    <m/>
    <m/>
    <s v="PS5 - TZA - PS5 - Tanzania"/>
    <s v="PS5-60-61 - Fuel Conditioning Module PS5-60-UZ-8900C (UCP)"/>
    <m/>
    <s v="PS5-60-61"/>
    <x v="1"/>
    <x v="0"/>
    <s v="Console / Control Panel"/>
    <s v="E"/>
    <x v="0"/>
    <s v="PS5 - Milestone D"/>
    <s v="TM-00044"/>
    <m/>
    <m/>
  </r>
  <r>
    <s v="T-00044-0188"/>
    <s v="PS5-60-IN-0002D"/>
    <m/>
    <m/>
    <m/>
    <m/>
    <x v="7"/>
    <s v="PCOM - Precommissioning"/>
    <s v="E"/>
    <x v="0"/>
    <x v="0"/>
    <s v="Fuel Conditioning Unit Control Panel - Generator Set-4 (D)"/>
    <s v="EACOP"/>
    <s v="CPP AGI"/>
    <m/>
    <m/>
    <s v="6"/>
    <m/>
    <m/>
    <m/>
    <s v="PS5 - TZA - PS5 - Tanzania"/>
    <s v="PS5-60-63 - Fuel Conditioning Module PS5-60-UZ-8900D (UCP)"/>
    <m/>
    <s v="PS5-60-63"/>
    <x v="1"/>
    <x v="0"/>
    <s v="Console / Control Panel"/>
    <s v="E"/>
    <x v="0"/>
    <s v="PS5 - Milestone D"/>
    <s v="TM-00044"/>
    <m/>
    <m/>
  </r>
  <r>
    <s v="T-00044-0199"/>
    <s v="PS5-71-IN-0003"/>
    <m/>
    <m/>
    <m/>
    <m/>
    <x v="7"/>
    <s v="PCOM - Precommissioning"/>
    <s v="E"/>
    <x v="0"/>
    <x v="0"/>
    <s v="DFO- PRE PRESSURE CONTROL PANEL"/>
    <s v="EACOP"/>
    <s v="CPP AGI"/>
    <m/>
    <m/>
    <s v="6"/>
    <m/>
    <m/>
    <m/>
    <s v="PS5 - TZA - PS5 - Tanzania"/>
    <s v="PS5-71-23 - Diesel Fuel Pre Pressure Module (UCP)"/>
    <m/>
    <s v="PS5-71-23"/>
    <x v="0"/>
    <x v="0"/>
    <s v="Console / Control Panel"/>
    <s v="E"/>
    <x v="0"/>
    <s v="PS5 - Milestone B"/>
    <s v="TM-00044"/>
    <m/>
    <m/>
  </r>
  <r>
    <s v="T-00044-0200"/>
    <s v="PS5-71-IN-0004A"/>
    <m/>
    <m/>
    <m/>
    <m/>
    <x v="7"/>
    <s v="PCOM - Precommissioning"/>
    <s v="E"/>
    <x v="0"/>
    <x v="0"/>
    <s v="CRO- SEPARATOR CONTROL PANEL-1"/>
    <s v="EACOP"/>
    <s v="CPP AGI"/>
    <m/>
    <m/>
    <s v="6"/>
    <m/>
    <m/>
    <m/>
    <s v="PS5 - TZA - PS5 - Tanzania"/>
    <s v="PS5-71-07 - Crude Fuel Separation Module (UCP)"/>
    <m/>
    <s v="PS5-71-07"/>
    <x v="1"/>
    <x v="0"/>
    <s v="Console / Control Panel"/>
    <s v="E"/>
    <x v="0"/>
    <s v="PS5 - Milestone H"/>
    <s v="TM-00044"/>
    <m/>
    <m/>
  </r>
  <r>
    <s v="T-00044-0201"/>
    <s v="PS5-71-IN-0004B"/>
    <m/>
    <m/>
    <m/>
    <m/>
    <x v="7"/>
    <s v="PCOM - Precommissioning"/>
    <s v="E"/>
    <x v="0"/>
    <x v="0"/>
    <s v="CRO- SEPARATOR CONTROL PANEL-2"/>
    <s v="EACOP"/>
    <s v="CPP AGI"/>
    <m/>
    <m/>
    <s v="6"/>
    <m/>
    <m/>
    <m/>
    <s v="PS5 - TZA - PS5 - Tanzania"/>
    <s v="PS5-71-07 - Crude Fuel Separation Module (UCP)"/>
    <m/>
    <s v="PS5-71-07"/>
    <x v="1"/>
    <x v="0"/>
    <s v="Console / Control Panel"/>
    <s v="E"/>
    <x v="0"/>
    <s v="PS5 - Milestone H"/>
    <s v="TM-00044"/>
    <m/>
    <m/>
  </r>
  <r>
    <s v="T-00046-0291"/>
    <s v="PS5-60-UR-8100A"/>
    <m/>
    <m/>
    <m/>
    <m/>
    <x v="8"/>
    <s v="PCOM - Precommissioning"/>
    <s v="E"/>
    <x v="0"/>
    <x v="0"/>
    <s v="POWER GENERATION PACKAGE A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46"/>
    <m/>
    <s v="TZ-MID-68-WPR2-135100"/>
  </r>
  <r>
    <s v="T-00046-0292"/>
    <s v="PS5-60-UR-8100B"/>
    <m/>
    <m/>
    <m/>
    <m/>
    <x v="8"/>
    <s v="PCOM - Precommissioning"/>
    <s v="E"/>
    <x v="0"/>
    <x v="0"/>
    <s v="POWER GENERATION PACKAGE B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46"/>
    <m/>
    <s v="TZ-MID-68-WPR2-135103"/>
  </r>
  <r>
    <s v="T-00046-0293"/>
    <s v="PS5-60-UR-8100C"/>
    <m/>
    <m/>
    <m/>
    <m/>
    <x v="8"/>
    <s v="PCOM - Precommissioning"/>
    <s v="E"/>
    <x v="0"/>
    <x v="0"/>
    <s v="POWER GENERATION PACKAGE C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46"/>
    <m/>
    <s v="TZ-MID-68-WPR2-135106"/>
  </r>
  <r>
    <s v="T-00046-0294"/>
    <s v="PS5-60-UR-8100D"/>
    <m/>
    <m/>
    <m/>
    <m/>
    <x v="8"/>
    <s v="PCOM - Precommissioning"/>
    <s v="E"/>
    <x v="0"/>
    <x v="0"/>
    <s v="POWER GENERATION PACKAGE 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46"/>
    <m/>
    <s v="TZ-MID-68-WPR2-135109"/>
  </r>
  <r>
    <s v="T-00046-0300"/>
    <s v="PS5-60-UA-5100"/>
    <m/>
    <m/>
    <m/>
    <m/>
    <x v="8"/>
    <s v="PCOM - Precommissioning"/>
    <s v="E"/>
    <x v="0"/>
    <x v="0"/>
    <s v="COMPRESSOR AIR STARTING SKID"/>
    <s v="EACOP"/>
    <s v="CPP AGI"/>
    <m/>
    <m/>
    <s v="20"/>
    <m/>
    <m/>
    <s v="TZ-MID-68-WPR2-135128"/>
    <s v="PS5 - TZA - PS5 - Tanzania"/>
    <s v="PS5-60-27 - Compressed Air Starting Skid"/>
    <m/>
    <s v="PS5-60-27"/>
    <x v="0"/>
    <x v="0"/>
    <s v="Package"/>
    <s v="M"/>
    <x v="0"/>
    <s v="PS5 - Milestone B"/>
    <s v="TM-00046"/>
    <m/>
    <s v="TZ-MID-68-WPR2-135128"/>
  </r>
  <r>
    <s v="T-00046-0301"/>
    <s v="PS5-60-UO-81100A"/>
    <m/>
    <m/>
    <m/>
    <m/>
    <x v="8"/>
    <s v="PCOM - Precommissioning"/>
    <s v="E"/>
    <x v="0"/>
    <x v="0"/>
    <s v="LUBE OIL SEPARATOR MODULE"/>
    <s v="EACOP"/>
    <s v="CPP AGI"/>
    <m/>
    <m/>
    <s v="20"/>
    <m/>
    <m/>
    <s v="TZ-MID-68-WPR2-135124"/>
    <s v="PS5 - TZA - PS5 - Tanzania"/>
    <s v="PS5-60-49 - Lube Oil Separator Module PS5-60-UO-81100A"/>
    <m/>
    <s v="PS5-60-49"/>
    <x v="0"/>
    <x v="0"/>
    <s v="Package"/>
    <s v="M"/>
    <x v="0"/>
    <s v="PS5 - Milestone B"/>
    <s v="TM-00046"/>
    <m/>
    <s v="TZ-MID-68-WPR2-135124"/>
  </r>
  <r>
    <s v="T-00046-0302"/>
    <s v="PS5-60-UO-81100B"/>
    <m/>
    <m/>
    <m/>
    <m/>
    <x v="8"/>
    <s v="PCOM - Precommissioning"/>
    <s v="E"/>
    <x v="0"/>
    <x v="0"/>
    <s v="LUBE OIL SEPARATOR MODULE"/>
    <s v="EACOP"/>
    <s v="CPP AGI"/>
    <m/>
    <m/>
    <s v="20"/>
    <m/>
    <m/>
    <s v="TZ-MID-68-WPR2-135124"/>
    <s v="PS5 - TZA - PS5 - Tanzania"/>
    <s v="PS5-60-50 - Lube Oil Separator Module PS5-60-UO-81100B"/>
    <m/>
    <s v="PS5-60-50"/>
    <x v="0"/>
    <x v="0"/>
    <s v="Package"/>
    <s v="M"/>
    <x v="0"/>
    <s v="PS5 - Milestone B"/>
    <s v="TM-00046"/>
    <m/>
    <s v="TZ-MID-68-WPR2-135124"/>
  </r>
  <r>
    <s v="T-00046-0303"/>
    <s v="PS5-60-UO-81100C"/>
    <m/>
    <m/>
    <m/>
    <m/>
    <x v="8"/>
    <s v="PCOM - Precommissioning"/>
    <s v="E"/>
    <x v="0"/>
    <x v="0"/>
    <s v="LUBE OIL SEPARATOR MODULE"/>
    <s v="EACOP"/>
    <s v="CPP AGI"/>
    <m/>
    <m/>
    <s v="20"/>
    <m/>
    <m/>
    <s v="TZ-MID-68-WPR2-135124"/>
    <s v="PS5 - TZA - PS5 - Tanzania"/>
    <s v="PS5-60-51 - Lube Oil Separator Module PS5-60-UO-81100C"/>
    <m/>
    <s v="PS5-60-51"/>
    <x v="1"/>
    <x v="0"/>
    <s v="Package"/>
    <s v="M"/>
    <x v="0"/>
    <s v="PS5 - Milestone D"/>
    <s v="TM-00046"/>
    <m/>
    <s v="TZ-MID-68-WPR2-135124"/>
  </r>
  <r>
    <s v="T-00046-0304"/>
    <s v="PS5-60-UO-81100D"/>
    <m/>
    <m/>
    <m/>
    <m/>
    <x v="8"/>
    <s v="PCOM - Precommissioning"/>
    <s v="E"/>
    <x v="0"/>
    <x v="0"/>
    <s v="LUBE OIL SEPARATOR MODULE"/>
    <s v="EACOP"/>
    <s v="CPP AGI"/>
    <m/>
    <m/>
    <s v="20"/>
    <m/>
    <m/>
    <s v="TZ-MID-68-WPR2-135124"/>
    <s v="PS5 - TZA - PS5 - Tanzania"/>
    <s v="PS5-60-52 - Lube Oil Separator Module PS5-60-UO-81100D"/>
    <m/>
    <s v="PS5-60-52"/>
    <x v="1"/>
    <x v="0"/>
    <s v="Package"/>
    <s v="M"/>
    <x v="0"/>
    <s v="PS5 - Milestone D"/>
    <s v="TM-00046"/>
    <m/>
    <s v="TZ-MID-68-WPR2-135124"/>
  </r>
  <r>
    <s v="T-00046-0308"/>
    <s v="PS5-60-UZ-8200A"/>
    <m/>
    <m/>
    <m/>
    <m/>
    <x v="8"/>
    <s v="PCOM - Precommissioning"/>
    <s v="E"/>
    <x v="0"/>
    <x v="0"/>
    <s v="INJECTOR TIP COOLING MODULE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46"/>
    <m/>
    <s v="TZ-MID-68-WPR2-135129"/>
  </r>
  <r>
    <s v="T-00046-0309"/>
    <s v="PS5-60-UZ-8200B"/>
    <m/>
    <m/>
    <m/>
    <m/>
    <x v="8"/>
    <s v="PCOM - Precommissioning"/>
    <s v="E"/>
    <x v="0"/>
    <x v="0"/>
    <s v="INJECTOR TIP COOLING MODULE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46"/>
    <m/>
    <s v="TZ-MID-68-WPR2-135129"/>
  </r>
  <r>
    <s v="T-00046-0310"/>
    <s v="PS5-60-UZ-8200C"/>
    <m/>
    <m/>
    <m/>
    <m/>
    <x v="8"/>
    <s v="PCOM - Precommissioning"/>
    <s v="E"/>
    <x v="0"/>
    <x v="0"/>
    <s v="INJECTOR TIP COOLING MODULE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46"/>
    <m/>
    <s v="TZ-MID-68-WPR2-135129"/>
  </r>
  <r>
    <s v="T-00046-0311"/>
    <s v="PS5-60-UZ-8200D"/>
    <m/>
    <m/>
    <m/>
    <m/>
    <x v="8"/>
    <s v="PCOM - Precommissioning"/>
    <s v="E"/>
    <x v="0"/>
    <x v="0"/>
    <s v="INJECTOR TIP COOLING MODULE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46"/>
    <m/>
    <s v="TZ-MID-68-WPR2-135129"/>
  </r>
  <r>
    <s v="T-00046-0314"/>
    <s v="PS5-60-VS-9100A"/>
    <m/>
    <m/>
    <m/>
    <m/>
    <x v="8"/>
    <s v="PCOM - Precommissioning"/>
    <s v="E"/>
    <x v="0"/>
    <x v="0"/>
    <s v="OIL MIST SEPARATOR SKID"/>
    <s v="EACOP"/>
    <s v="CPP AGI"/>
    <m/>
    <m/>
    <s v="20"/>
    <m/>
    <m/>
    <s v="TZ-MID-68-WPR2-135130"/>
    <s v="PS5 - TZA - PS5 - Tanzania"/>
    <s v="PS5-60-42 - Oil Mist Separator Skid PS5-60-VS-9100A"/>
    <m/>
    <s v="PS5-60-42"/>
    <x v="0"/>
    <x v="0"/>
    <s v="Package"/>
    <s v="M"/>
    <x v="0"/>
    <s v="PS5 - Milestone B"/>
    <s v="TM-00046"/>
    <m/>
    <s v="TZ-MID-68-WPR2-135130"/>
  </r>
  <r>
    <s v="T-00046-0315"/>
    <s v="PS5-60-VS-9100B"/>
    <m/>
    <m/>
    <m/>
    <m/>
    <x v="8"/>
    <s v="PCOM - Precommissioning"/>
    <s v="E"/>
    <x v="0"/>
    <x v="0"/>
    <s v="OIL MIST SEPARATOR SKID"/>
    <s v="EACOP"/>
    <s v="CPP AGI"/>
    <m/>
    <m/>
    <s v="20"/>
    <m/>
    <m/>
    <s v="TZ-MID-68-WPR2-135130"/>
    <s v="PS5 - TZA - PS5 - Tanzania"/>
    <s v="PS5-60-43 - Oil Mist Separator Skid PS5-60-VS-9100B"/>
    <m/>
    <s v="PS5-60-43"/>
    <x v="0"/>
    <x v="0"/>
    <s v="Package"/>
    <s v="M"/>
    <x v="0"/>
    <s v="PS5 - Milestone B"/>
    <s v="TM-00046"/>
    <m/>
    <s v="TZ-MID-68-WPR2-135130"/>
  </r>
  <r>
    <s v="T-00046-0316"/>
    <s v="PS5-60-VS-9100C"/>
    <m/>
    <m/>
    <m/>
    <m/>
    <x v="8"/>
    <s v="PCOM - Precommissioning"/>
    <s v="E"/>
    <x v="0"/>
    <x v="0"/>
    <s v="OIL MIST SEPARATOR SKID"/>
    <s v="EACOP"/>
    <s v="CPP AGI"/>
    <m/>
    <m/>
    <s v="20"/>
    <m/>
    <m/>
    <s v="TZ-MID-68-WPR2-135130"/>
    <s v="PS5 - TZA - PS5 - Tanzania"/>
    <s v="PS5-60-44 - Oil Mist Separator Skid PS5-60-VS-9100C"/>
    <m/>
    <s v="PS5-60-44"/>
    <x v="1"/>
    <x v="0"/>
    <s v="Package"/>
    <s v="M"/>
    <x v="0"/>
    <s v="PS5 - Milestone D"/>
    <s v="TM-00046"/>
    <m/>
    <s v="TZ-MID-68-WPR2-135130"/>
  </r>
  <r>
    <s v="T-00046-0317"/>
    <s v="PS5-60-VS-9100D"/>
    <m/>
    <m/>
    <m/>
    <m/>
    <x v="8"/>
    <s v="PCOM - Precommissioning"/>
    <s v="E"/>
    <x v="0"/>
    <x v="0"/>
    <s v="OIL MIST SEPARATOR SKID"/>
    <s v="EACOP"/>
    <s v="CPP AGI"/>
    <m/>
    <m/>
    <s v="20"/>
    <m/>
    <m/>
    <s v="TZ-MID-68-WPR2-135130"/>
    <s v="PS5 - TZA - PS5 - Tanzania"/>
    <s v="PS5-60-45 - Oil Mist Separator Skid PS5-60-VS-9100D"/>
    <m/>
    <s v="PS5-60-45"/>
    <x v="1"/>
    <x v="0"/>
    <s v="Package"/>
    <s v="M"/>
    <x v="0"/>
    <s v="PS5 - Milestone D"/>
    <s v="TM-00046"/>
    <m/>
    <s v="TZ-MID-68-WPR2-135130"/>
  </r>
  <r>
    <s v="T-00046-0321"/>
    <s v="PS5-71-UZ-6500"/>
    <m/>
    <m/>
    <m/>
    <m/>
    <x v="8"/>
    <s v="PCOM - Precommissioning"/>
    <s v="E"/>
    <x v="0"/>
    <x v="0"/>
    <s v="DIESEL FUEL SEPARATOR MODULE"/>
    <s v="EACOP"/>
    <s v="CPP AGI"/>
    <m/>
    <m/>
    <s v="20"/>
    <m/>
    <m/>
    <s v="TZ-MID-68-WPR2-135009"/>
    <s v="PS5 - TZA - PS5 - Tanzania"/>
    <s v="PS5-71-18 - Diesel Separator Module"/>
    <m/>
    <s v="PS5-71-18"/>
    <x v="1"/>
    <x v="0"/>
    <s v="Package"/>
    <s v="M"/>
    <x v="0"/>
    <s v="PS5 - Milestone F"/>
    <s v="TM-00046"/>
    <m/>
    <s v="TZ-MID-68-WPR2-135009"/>
  </r>
  <r>
    <s v="T-00046-0322"/>
    <s v="PS5-71-UZ-6800A"/>
    <m/>
    <m/>
    <m/>
    <m/>
    <x v="8"/>
    <s v="PCOM - Precommissioning"/>
    <s v="E"/>
    <x v="0"/>
    <x v="0"/>
    <s v="CRUDE FUEL SEPARATOR MODULE A"/>
    <s v="EACOP"/>
    <s v="CPP AGI"/>
    <m/>
    <m/>
    <s v="20"/>
    <m/>
    <m/>
    <s v="TZ-MID-68-WPR2-135002"/>
    <s v="PS5 - TZA - PS5 - Tanzania"/>
    <s v="PS5-71-06 - Crude Fuel Separation Module"/>
    <m/>
    <s v="PS5-71-06"/>
    <x v="1"/>
    <x v="0"/>
    <s v="Package"/>
    <s v="M"/>
    <x v="0"/>
    <s v="PS5 - Milestone H"/>
    <s v="TM-00046"/>
    <m/>
    <s v="TZ-MID-68-WPR2-135002"/>
  </r>
  <r>
    <s v="T-00046-0323"/>
    <s v="PS5-71-UZ-6800B"/>
    <m/>
    <m/>
    <m/>
    <m/>
    <x v="8"/>
    <s v="PCOM - Precommissioning"/>
    <s v="E"/>
    <x v="0"/>
    <x v="0"/>
    <s v="CRUDE FUEL SEPARATOR MODULE B"/>
    <s v="EACOP"/>
    <s v="CPP AGI"/>
    <m/>
    <m/>
    <s v="20"/>
    <m/>
    <m/>
    <s v="TZ-MID-68-WPR2-135002"/>
    <s v="PS5 - TZA - PS5 - Tanzania"/>
    <s v="PS5-71-06 - Crude Fuel Separation Module"/>
    <m/>
    <s v="PS5-71-06"/>
    <x v="1"/>
    <x v="0"/>
    <s v="Package"/>
    <s v="M"/>
    <x v="0"/>
    <s v="PS5 - Milestone H"/>
    <s v="TM-00046"/>
    <m/>
    <s v="TZ-MID-68-WPR2-135002"/>
  </r>
  <r>
    <s v="T-00046-0327"/>
    <s v="PS5-60-EA-2100A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0 - Engine A Cooling system"/>
    <m/>
    <s v="PS5-60-70"/>
    <x v="0"/>
    <x v="0"/>
    <s v="Package"/>
    <s v="M"/>
    <x v="0"/>
    <s v="PS5 - Milestone B"/>
    <s v="TM-00046"/>
    <m/>
    <s v="TZ-MID-68-WPR2-135122"/>
  </r>
  <r>
    <s v="T-00046-0328"/>
    <s v="PS5-60-EA-2100B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0 - Engine A Cooling system"/>
    <m/>
    <s v="PS5-60-70"/>
    <x v="0"/>
    <x v="0"/>
    <s v="Package"/>
    <s v="M"/>
    <x v="0"/>
    <s v="PS5 - Milestone B"/>
    <s v="TM-00046"/>
    <m/>
    <s v="TZ-MID-68-WPR2-135122"/>
  </r>
  <r>
    <s v="T-00046-0329"/>
    <s v="PS5-60-EA-21100A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46"/>
    <m/>
    <s v="TZ-MID-68-WPR2-135100"/>
  </r>
  <r>
    <s v="T-00046-0330"/>
    <s v="PS5-60-EA-21100B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46"/>
    <m/>
    <s v="TZ-MID-68-WPR2-135103"/>
  </r>
  <r>
    <s v="T-00046-0331"/>
    <s v="PS5-60-EA-21100C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46"/>
    <m/>
    <s v="TZ-MID-68-WPR2-135106"/>
  </r>
  <r>
    <s v="T-00046-0332"/>
    <s v="PS5-60-EA-21100D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46"/>
    <m/>
    <s v="TZ-MID-68-WPR2-135109"/>
  </r>
  <r>
    <s v="T-00046-0336"/>
    <s v="PS5-60-EA-21200A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46"/>
    <m/>
    <s v="TZ-MID-68-WPR2-135100"/>
  </r>
  <r>
    <s v="T-00046-0337"/>
    <s v="PS5-60-EA-21200B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46"/>
    <m/>
    <s v="TZ-MID-68-WPR2-135103"/>
  </r>
  <r>
    <s v="T-00046-0338"/>
    <s v="PS5-60-EA-21200C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46"/>
    <m/>
    <s v="TZ-MID-68-WPR2-135106"/>
  </r>
  <r>
    <s v="T-00046-0339"/>
    <s v="PS5-60-EA-21200D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46"/>
    <m/>
    <s v="TZ-MID-68-WPR2-135109"/>
  </r>
  <r>
    <s v="T-00046-0343"/>
    <s v="PS5-60-EA-2200A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1 - Engine B Cooling system"/>
    <m/>
    <s v="PS5-60-71"/>
    <x v="0"/>
    <x v="0"/>
    <s v="Package"/>
    <s v="M"/>
    <x v="0"/>
    <s v="PS5 - Milestone B"/>
    <s v="TM-00046"/>
    <m/>
    <s v="TZ-MID-68-WPR2-135122"/>
  </r>
  <r>
    <s v="T-00046-0344"/>
    <s v="PS5-60-EA-2200B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1 - Engine B Cooling system"/>
    <m/>
    <s v="PS5-60-71"/>
    <x v="0"/>
    <x v="0"/>
    <s v="Package"/>
    <s v="M"/>
    <x v="0"/>
    <s v="PS5 - Milestone B"/>
    <s v="TM-00046"/>
    <m/>
    <s v="TZ-MID-68-WPR2-135122"/>
  </r>
  <r>
    <s v="T-00046-0345"/>
    <s v="PS5-60-EA-2300A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2 - Engine C Cooling system"/>
    <m/>
    <s v="PS5-60-72"/>
    <x v="1"/>
    <x v="0"/>
    <s v="Package"/>
    <s v="M"/>
    <x v="0"/>
    <s v="PS5 - Milestone D"/>
    <s v="TM-00046"/>
    <m/>
    <s v="TZ-MID-68-WPR2-135122"/>
  </r>
  <r>
    <s v="T-00046-0346"/>
    <s v="PS5-60-EA-2300B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2 - Engine C Cooling system"/>
    <m/>
    <s v="PS5-60-72"/>
    <x v="1"/>
    <x v="0"/>
    <s v="Package"/>
    <s v="M"/>
    <x v="0"/>
    <s v="PS5 - Milestone D"/>
    <s v="TM-00046"/>
    <m/>
    <s v="TZ-MID-68-WPR2-135122"/>
  </r>
  <r>
    <s v="T-00046-0347"/>
    <s v="PS5-60-EA-2400A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3 - Engine D Cooling system"/>
    <m/>
    <s v="PS5-60-73"/>
    <x v="1"/>
    <x v="0"/>
    <s v="Package"/>
    <s v="M"/>
    <x v="0"/>
    <s v="PS5 - Milestone D"/>
    <s v="TM-00046"/>
    <m/>
    <s v="TZ-MID-68-WPR2-135122"/>
  </r>
  <r>
    <s v="T-00046-0348"/>
    <s v="PS5-60-EA-2400B"/>
    <m/>
    <m/>
    <m/>
    <m/>
    <x v="8"/>
    <s v="PCOM - Precommissioning"/>
    <s v="E"/>
    <x v="0"/>
    <x v="0"/>
    <s v="POWER GENERATION ENGINE RADIATOR"/>
    <s v="EACOP"/>
    <s v="CPP AGI"/>
    <m/>
    <m/>
    <s v="20"/>
    <m/>
    <m/>
    <s v="TZ-MID-68-WPR2-135122"/>
    <s v="PS5 - TZA - PS5 - Tanzania"/>
    <s v="PS5-60-73 - Engine D Cooling system"/>
    <m/>
    <s v="PS5-60-73"/>
    <x v="1"/>
    <x v="0"/>
    <s v="Package"/>
    <s v="M"/>
    <x v="0"/>
    <s v="PS5 - Milestone D"/>
    <s v="TM-00046"/>
    <m/>
    <s v="TZ-MID-68-WPR2-135122"/>
  </r>
  <r>
    <s v="T-00046-0355"/>
    <s v="PS5-60-EA-2800A"/>
    <m/>
    <m/>
    <m/>
    <m/>
    <x v="8"/>
    <s v="PCOM - Precommissioning"/>
    <s v="E"/>
    <x v="0"/>
    <x v="0"/>
    <s v="RADIATOR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46"/>
    <m/>
    <s v="TZ-MID-68-WPR2-135129"/>
  </r>
  <r>
    <s v="T-00046-0356"/>
    <s v="PS5-60-EA-2800B"/>
    <m/>
    <m/>
    <m/>
    <m/>
    <x v="8"/>
    <s v="PCOM - Precommissioning"/>
    <s v="E"/>
    <x v="0"/>
    <x v="0"/>
    <s v="RADIATOR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46"/>
    <m/>
    <s v="TZ-MID-68-WPR2-135129"/>
  </r>
  <r>
    <s v="T-00046-0357"/>
    <s v="PS5-60-EA-2800C"/>
    <m/>
    <m/>
    <m/>
    <m/>
    <x v="8"/>
    <s v="PCOM - Precommissioning"/>
    <s v="E"/>
    <x v="0"/>
    <x v="0"/>
    <s v="RADIATOR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46"/>
    <m/>
    <s v="TZ-MID-68-WPR2-135129"/>
  </r>
  <r>
    <s v="T-00046-0358"/>
    <s v="PS5-60-EA-2800D"/>
    <m/>
    <m/>
    <m/>
    <m/>
    <x v="8"/>
    <s v="PCOM - Precommissioning"/>
    <s v="E"/>
    <x v="0"/>
    <x v="0"/>
    <s v="RADIATOR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46"/>
    <m/>
    <s v="TZ-MID-68-WPR2-135129"/>
  </r>
  <r>
    <s v="T-00046-0362"/>
    <s v="PS5-60-EA-2900A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23"/>
    <s v="PS5 - TZA - PS5 - Tanzania"/>
    <s v="PS5-60-56 - Fuel Conditioning Module PS5-60-UZ-8900A"/>
    <m/>
    <s v="PS5-60-56"/>
    <x v="0"/>
    <x v="0"/>
    <s v="Package"/>
    <s v="M"/>
    <x v="0"/>
    <s v="PS5 - Milestone B"/>
    <s v="TM-00046"/>
    <m/>
    <s v="TZ-MID-68-WPR2-135123"/>
  </r>
  <r>
    <s v="T-00046-0363"/>
    <s v="PS5-60-EA-2900B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23"/>
    <s v="PS5 - TZA - PS5 - Tanzania"/>
    <s v="PS5-60-58 - Fuel Conditioning Module PS5-60-UZ-8900B"/>
    <m/>
    <s v="PS5-60-58"/>
    <x v="0"/>
    <x v="0"/>
    <s v="Package"/>
    <s v="M"/>
    <x v="0"/>
    <s v="PS5 - Milestone B"/>
    <s v="TM-00046"/>
    <m/>
    <s v="TZ-MID-68-WPR2-135123"/>
  </r>
  <r>
    <s v="T-00046-0364"/>
    <s v="PS5-60-EA-2900C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23"/>
    <s v="PS5 - TZA - PS5 - Tanzania"/>
    <s v="PS5-60-60 - Fuel Conditioning Module PS5-60-UZ-8900C"/>
    <m/>
    <s v="PS5-60-60"/>
    <x v="1"/>
    <x v="0"/>
    <s v="Package"/>
    <s v="M"/>
    <x v="0"/>
    <s v="PS5 - Milestone D"/>
    <s v="TM-00046"/>
    <m/>
    <s v="TZ-MID-68-WPR2-135123"/>
  </r>
  <r>
    <s v="T-00046-0365"/>
    <s v="PS5-60-EA-2900D"/>
    <m/>
    <m/>
    <m/>
    <m/>
    <x v="8"/>
    <s v="PCOM - Precommissioning"/>
    <s v="E"/>
    <x v="0"/>
    <x v="0"/>
    <s v="COOLING SKID"/>
    <s v="EACOP"/>
    <s v="CPP AGI"/>
    <m/>
    <m/>
    <s v="20"/>
    <m/>
    <m/>
    <s v="TZ-MID-68-WPR2-135123"/>
    <s v="PS5 - TZA - PS5 - Tanzania"/>
    <s v="PS5-60-62 - Fuel Conditioning Module PS5-60-UZ-8900D"/>
    <m/>
    <s v="PS5-60-62"/>
    <x v="1"/>
    <x v="0"/>
    <s v="Package"/>
    <s v="M"/>
    <x v="0"/>
    <s v="PS5 - Milestone D"/>
    <s v="TM-00046"/>
    <m/>
    <s v="TZ-MID-68-WPR2-135123"/>
  </r>
  <r>
    <s v="T-00046-0369"/>
    <s v="PS5-60-TCV-0001A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6"/>
    <s v="PS5 - TZA - PS5 - Tanzania"/>
    <s v="PS5-60-70 - Engine A Cooling system"/>
    <m/>
    <s v="PS5-60-70"/>
    <x v="0"/>
    <x v="0"/>
    <s v="Package"/>
    <s v="M"/>
    <x v="0"/>
    <s v="PS5 - Milestone B"/>
    <s v="TM-00046"/>
    <m/>
    <s v="TZ-MID-68-WPR2-135136"/>
  </r>
  <r>
    <s v="T-00046-0370"/>
    <s v="PS5-60-TCV-0001B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6"/>
    <s v="PS5 - TZA - PS5 - Tanzania"/>
    <s v="PS5-60-71 - Engine B Cooling system"/>
    <m/>
    <s v="PS5-60-71"/>
    <x v="0"/>
    <x v="0"/>
    <s v="Package"/>
    <s v="M"/>
    <x v="0"/>
    <s v="PS5 - Milestone B"/>
    <s v="TM-00046"/>
    <m/>
    <s v="TZ-MID-68-WPR2-135136"/>
  </r>
  <r>
    <s v="T-00046-0371"/>
    <s v="PS5-60-TCV-0001C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6"/>
    <s v="PS5 - TZA - PS5 - Tanzania"/>
    <s v="PS5-60-72 - Engine C Cooling system"/>
    <m/>
    <s v="PS5-60-72"/>
    <x v="1"/>
    <x v="0"/>
    <s v="Package"/>
    <s v="M"/>
    <x v="0"/>
    <s v="PS5 - Milestone D"/>
    <s v="TM-00046"/>
    <m/>
    <s v="TZ-MID-68-WPR2-135136"/>
  </r>
  <r>
    <s v="T-00046-0372"/>
    <s v="PS5-60-TCV-0001D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6"/>
    <s v="PS5 - TZA - PS5 - Tanzania"/>
    <s v="PS5-60-73 - Engine D Cooling system"/>
    <m/>
    <s v="PS5-60-73"/>
    <x v="1"/>
    <x v="0"/>
    <s v="Package"/>
    <s v="M"/>
    <x v="0"/>
    <s v="PS5 - Milestone D"/>
    <s v="TM-00046"/>
    <m/>
    <s v="TZ-MID-68-WPR2-135136"/>
  </r>
  <r>
    <s v="T-00046-0376"/>
    <s v="PS5-60-TCV-0002A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7"/>
    <s v="PS5 - TZA - PS5 - Tanzania"/>
    <s v="PS5-60-70 - Engine A Cooling system"/>
    <m/>
    <s v="PS5-60-70"/>
    <x v="0"/>
    <x v="0"/>
    <s v="Package"/>
    <s v="M"/>
    <x v="0"/>
    <s v="PS5 - Milestone B"/>
    <s v="TM-00046"/>
    <m/>
    <s v="TZ-MID-68-WPR2-135137"/>
  </r>
  <r>
    <s v="T-00046-0377"/>
    <s v="PS5-60-TCV-0002B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7"/>
    <s v="PS5 - TZA - PS5 - Tanzania"/>
    <s v="PS5-60-71 - Engine B Cooling system"/>
    <m/>
    <s v="PS5-60-71"/>
    <x v="0"/>
    <x v="0"/>
    <s v="Package"/>
    <s v="M"/>
    <x v="0"/>
    <s v="PS5 - Milestone B"/>
    <s v="TM-00046"/>
    <m/>
    <s v="TZ-MID-68-WPR2-135137"/>
  </r>
  <r>
    <s v="T-00046-0378"/>
    <s v="PS5-60-TCV-0002C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7"/>
    <s v="PS5 - TZA - PS5 - Tanzania"/>
    <s v="PS5-60-72 - Engine C Cooling system"/>
    <m/>
    <s v="PS5-60-72"/>
    <x v="1"/>
    <x v="0"/>
    <s v="Package"/>
    <s v="M"/>
    <x v="0"/>
    <s v="PS5 - Milestone D"/>
    <s v="TM-00046"/>
    <m/>
    <s v="TZ-MID-68-WPR2-135137"/>
  </r>
  <r>
    <s v="T-00046-0379"/>
    <s v="PS5-60-TCV-0002D"/>
    <m/>
    <m/>
    <m/>
    <m/>
    <x v="8"/>
    <s v="PCOM - Precommissioning"/>
    <s v="E"/>
    <x v="0"/>
    <x v="0"/>
    <s v="THERMAL REGULATING VALVE SKID"/>
    <s v="EACOP"/>
    <s v="CPP AGI"/>
    <m/>
    <m/>
    <s v="20"/>
    <m/>
    <m/>
    <s v="TZ-MID-68-WPR2-135137"/>
    <s v="PS5 - TZA - PS5 - Tanzania"/>
    <s v="PS5-60-73 - Engine D Cooling system"/>
    <m/>
    <s v="PS5-60-73"/>
    <x v="1"/>
    <x v="0"/>
    <s v="Package"/>
    <s v="M"/>
    <x v="0"/>
    <s v="PS5 - Milestone D"/>
    <s v="TM-00046"/>
    <m/>
    <s v="TZ-MID-68-WPR2-135137"/>
  </r>
  <r>
    <s v="T-00046-0383"/>
    <s v="PS5-60-UA-5200"/>
    <m/>
    <m/>
    <m/>
    <m/>
    <x v="8"/>
    <s v="PCOM - Precommissioning"/>
    <s v="E"/>
    <x v="0"/>
    <x v="0"/>
    <s v="INSTRUMENT AIR COMPRESSOR MODULE"/>
    <s v="EACOP"/>
    <s v="CPP AGI"/>
    <m/>
    <m/>
    <s v="20"/>
    <m/>
    <m/>
    <s v="TZ-MID-68-WPR2-135127"/>
    <s v="PS5 - TZA - PS5 - Tanzania"/>
    <s v="PS5-60-26 - Instrument Air Compressor Skid"/>
    <m/>
    <s v="PS5-60-26"/>
    <x v="0"/>
    <x v="0"/>
    <s v="Package"/>
    <s v="M"/>
    <x v="0"/>
    <s v="PS5 - Milestone B"/>
    <s v="TM-00046"/>
    <m/>
    <s v="TZ-MID-68-WPR2-135127"/>
  </r>
  <r>
    <s v="T-00046-0384"/>
    <s v="PS5-60-UR-8200A"/>
    <m/>
    <m/>
    <m/>
    <m/>
    <x v="8"/>
    <s v="PCOM - Precommissioning"/>
    <s v="E"/>
    <x v="0"/>
    <x v="0"/>
    <s v="GENERATOR CW PUMP MODULE (ALTERN/ATOR BEARING SYSTEM)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46"/>
    <m/>
    <s v="TZ-MID-68-WPR2-135100"/>
  </r>
  <r>
    <s v="T-00046-0385"/>
    <s v="PS5-60-UR-8200B"/>
    <m/>
    <m/>
    <m/>
    <m/>
    <x v="8"/>
    <s v="PCOM - Precommissioning"/>
    <s v="E"/>
    <x v="0"/>
    <x v="0"/>
    <s v="GENERATOR CW PUMP MODULE (ALTERN/ATOR BEARING SYSTEM)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46"/>
    <m/>
    <s v="TZ-MID-68-WPR2-135103"/>
  </r>
  <r>
    <s v="T-00046-0386"/>
    <s v="PS5-60-UR-8200C"/>
    <m/>
    <m/>
    <m/>
    <m/>
    <x v="8"/>
    <s v="PCOM - Precommissioning"/>
    <s v="E"/>
    <x v="0"/>
    <x v="0"/>
    <s v="GENERATOR CW PUMP MODULE (ALTERN/ATOR BEARING SYSTEM)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46"/>
    <m/>
    <s v="TZ-MID-68-WPR2-135106"/>
  </r>
  <r>
    <s v="T-00046-0387"/>
    <s v="PS5-60-UR-8200D"/>
    <m/>
    <m/>
    <m/>
    <m/>
    <x v="8"/>
    <s v="PCOM - Precommissioning"/>
    <s v="E"/>
    <x v="0"/>
    <x v="0"/>
    <s v="GENERATOR CW PUMP MODULE (ALTERN/ATOR BEARING SYSTEM)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46"/>
    <m/>
    <s v="TZ-MID-68-WPR2-135109"/>
  </r>
  <r>
    <s v="T-00046-0392"/>
    <s v="PS5-60-UZ-8900A"/>
    <m/>
    <m/>
    <m/>
    <m/>
    <x v="8"/>
    <s v="PCOM - Precommissioning"/>
    <s v="E"/>
    <x v="0"/>
    <x v="0"/>
    <s v="FUEL CONDITIONING MODULE"/>
    <s v="EACOP"/>
    <s v="CPP AGI"/>
    <m/>
    <m/>
    <s v="20"/>
    <m/>
    <m/>
    <s v="TZ-MID-68-WPR2-135123"/>
    <s v="PS5 - TZA - PS5 - Tanzania"/>
    <s v="PS5-60-56 - Fuel Conditioning Module PS5-60-UZ-8900A"/>
    <m/>
    <s v="PS5-60-56"/>
    <x v="0"/>
    <x v="0"/>
    <s v="Package"/>
    <s v="M"/>
    <x v="0"/>
    <s v="PS5 - Milestone B"/>
    <s v="TM-00046"/>
    <m/>
    <s v="TZ-MID-68-WPR2-135123"/>
  </r>
  <r>
    <s v="T-00046-0393"/>
    <s v="PS5-60-UZ-8900B"/>
    <m/>
    <m/>
    <m/>
    <m/>
    <x v="8"/>
    <s v="PCOM - Precommissioning"/>
    <s v="E"/>
    <x v="0"/>
    <x v="0"/>
    <s v="FUEL CONDITIONING MODULE"/>
    <s v="EACOP"/>
    <s v="CPP AGI"/>
    <m/>
    <m/>
    <s v="20"/>
    <m/>
    <m/>
    <s v="TZ-MID-68-WPR2-135123"/>
    <s v="PS5 - TZA - PS5 - Tanzania"/>
    <s v="PS5-60-58 - Fuel Conditioning Module PS5-60-UZ-8900B"/>
    <m/>
    <s v="PS5-60-58"/>
    <x v="0"/>
    <x v="0"/>
    <s v="Package"/>
    <s v="M"/>
    <x v="0"/>
    <s v="PS5 - Milestone B"/>
    <s v="TM-00046"/>
    <m/>
    <s v="TZ-MID-68-WPR2-135123"/>
  </r>
  <r>
    <s v="T-00046-0394"/>
    <s v="PS5-60-UZ-8900C"/>
    <m/>
    <m/>
    <m/>
    <m/>
    <x v="8"/>
    <s v="PCOM - Precommissioning"/>
    <s v="E"/>
    <x v="0"/>
    <x v="0"/>
    <s v="FUEL CONDITIONING MODULE"/>
    <s v="EACOP"/>
    <s v="CPP AGI"/>
    <m/>
    <m/>
    <s v="20"/>
    <m/>
    <m/>
    <s v="TZ-MID-68-WPR2-135123"/>
    <s v="PS5 - TZA - PS5 - Tanzania"/>
    <s v="PS5-60-60 - Fuel Conditioning Module PS5-60-UZ-8900C"/>
    <m/>
    <s v="PS5-60-60"/>
    <x v="1"/>
    <x v="0"/>
    <s v="Package"/>
    <s v="M"/>
    <x v="0"/>
    <s v="PS5 - Milestone D"/>
    <s v="TM-00046"/>
    <m/>
    <s v="TZ-MID-68-WPR2-135123"/>
  </r>
  <r>
    <s v="T-00046-0395"/>
    <s v="PS5-60-UZ-8900D"/>
    <m/>
    <m/>
    <m/>
    <m/>
    <x v="8"/>
    <s v="PCOM - Precommissioning"/>
    <s v="E"/>
    <x v="0"/>
    <x v="0"/>
    <s v="FUEL CONDITIONING MODULE"/>
    <s v="EACOP"/>
    <s v="CPP AGI"/>
    <m/>
    <m/>
    <s v="20"/>
    <m/>
    <m/>
    <s v="TZ-MID-68-WPR2-135123"/>
    <s v="PS5 - TZA - PS5 - Tanzania"/>
    <s v="PS5-60-62 - Fuel Conditioning Module PS5-60-UZ-8900D"/>
    <m/>
    <s v="PS5-60-62"/>
    <x v="1"/>
    <x v="0"/>
    <s v="Package"/>
    <s v="M"/>
    <x v="0"/>
    <s v="PS5 - Milestone D"/>
    <s v="TM-00046"/>
    <m/>
    <s v="TZ-MID-68-WPR2-135123"/>
  </r>
  <r>
    <s v="T-00046-0400"/>
    <s v="PS5-71-UZ-6400"/>
    <m/>
    <m/>
    <m/>
    <m/>
    <x v="8"/>
    <s v="PCOM - Precommissioning"/>
    <s v="E"/>
    <x v="0"/>
    <x v="0"/>
    <s v="CRUDE FUEL OIL PRE-PRESSURE MODULE"/>
    <s v="EACOP"/>
    <s v="CPP AGI"/>
    <m/>
    <m/>
    <s v="20"/>
    <m/>
    <m/>
    <s v="TZ-MID-68-WPR2-135004"/>
    <s v="PS5 - TZA - PS5 - Tanzania"/>
    <s v="PS5-71-08 - CFO Pre-Pressure Modules"/>
    <m/>
    <s v="PS5-71-08"/>
    <x v="1"/>
    <x v="0"/>
    <s v="Package"/>
    <s v="M"/>
    <x v="0"/>
    <s v="PS5 - Milestone H"/>
    <s v="TM-00046"/>
    <m/>
    <s v="TZ-MID-68-WPR2-135004"/>
  </r>
  <r>
    <s v="T-00046-0401"/>
    <s v="PS5-71-UZ-6700"/>
    <m/>
    <m/>
    <m/>
    <m/>
    <x v="8"/>
    <s v="PCOM - Precommissioning"/>
    <s v="E"/>
    <x v="0"/>
    <x v="0"/>
    <s v="DIESEL FUEL OIL PRE-PRESSURE MODULE"/>
    <s v="EACOP"/>
    <s v="CPP AGI"/>
    <m/>
    <m/>
    <s v="20"/>
    <m/>
    <m/>
    <s v="TZ-MID-68-WPR2-135126"/>
    <s v="PS5 - TZA - PS5 - Tanzania"/>
    <s v="PS5-71-22 - Diesel Fuel Pre Pressure Module"/>
    <m/>
    <s v="PS5-71-22"/>
    <x v="0"/>
    <x v="0"/>
    <s v="Package"/>
    <s v="M"/>
    <x v="0"/>
    <s v="PS5 - Milestone B"/>
    <s v="TM-00046"/>
    <m/>
    <s v="TZ-MID-68-WPR2-135126"/>
  </r>
  <r>
    <s v="T-00046-0552"/>
    <s v="PS5-60-UR-8300A"/>
    <m/>
    <m/>
    <m/>
    <m/>
    <x v="8"/>
    <s v="PCOM - Precommissioning"/>
    <s v="E"/>
    <x v="0"/>
    <x v="0"/>
    <s v="POWER GENERATION - Cooler Module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46"/>
    <m/>
    <m/>
  </r>
  <r>
    <s v="T-00046-0553"/>
    <s v="PS5-60-UR-8300B"/>
    <m/>
    <m/>
    <m/>
    <m/>
    <x v="8"/>
    <s v="PCOM - Precommissioning"/>
    <s v="E"/>
    <x v="0"/>
    <x v="0"/>
    <s v="POWER GENERATION - Cooler Module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46"/>
    <m/>
    <m/>
  </r>
  <r>
    <s v="T-00046-0554"/>
    <s v="PS5-60-UR-8300C"/>
    <m/>
    <m/>
    <m/>
    <m/>
    <x v="8"/>
    <s v="PCOM - Precommissioning"/>
    <s v="E"/>
    <x v="0"/>
    <x v="0"/>
    <s v="POWER GENERATION - Cooler Module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46"/>
    <m/>
    <m/>
  </r>
  <r>
    <s v="T-00046-0555"/>
    <s v="PS5-60-UR-8300D"/>
    <m/>
    <m/>
    <m/>
    <m/>
    <x v="8"/>
    <s v="PCOM - Precommissioning"/>
    <s v="E"/>
    <x v="0"/>
    <x v="0"/>
    <s v="POWER GENERATION - Cooler Module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46"/>
    <m/>
    <m/>
  </r>
  <r>
    <s v="T-00227-0133"/>
    <s v="PS5-61-IU-0001A"/>
    <m/>
    <m/>
    <m/>
    <m/>
    <x v="9"/>
    <s v="PCOM - Precommissioning"/>
    <s v="E"/>
    <x v="1"/>
    <x v="0"/>
    <s v="11/33kV Transformer - 6.8 MVA"/>
    <s v="EACOP"/>
    <s v="CPP AGI"/>
    <m/>
    <m/>
    <s v="24"/>
    <m/>
    <m/>
    <m/>
    <s v="PS5 - TZA - PS5 - Tanzania"/>
    <s v="PS5-60-01 - Power Generation Package A"/>
    <m/>
    <s v="PS5-60-01"/>
    <x v="0"/>
    <x v="0"/>
    <s v="Power Transformer"/>
    <s v="E"/>
    <x v="0"/>
    <s v="PS5 - Milestone B"/>
    <s v="TM-00227"/>
    <m/>
    <m/>
  </r>
  <r>
    <s v="T-00227-0134"/>
    <s v="PS5-61-IU-0001B"/>
    <m/>
    <m/>
    <m/>
    <m/>
    <x v="9"/>
    <s v="PCOM - Precommissioning"/>
    <s v="E"/>
    <x v="1"/>
    <x v="0"/>
    <s v="11/33kV Transformer - 6.8 MVA"/>
    <s v="EACOP"/>
    <s v="CPP AGI"/>
    <m/>
    <m/>
    <s v="24"/>
    <m/>
    <m/>
    <m/>
    <s v="PS5 - TZA - PS5 - Tanzania"/>
    <s v="PS5-60-04 - Power Generation Package B"/>
    <m/>
    <s v="PS5-60-04"/>
    <x v="0"/>
    <x v="0"/>
    <s v="Power Transformer"/>
    <s v="E"/>
    <x v="0"/>
    <s v="PS5 - Milestone B"/>
    <s v="TM-00227"/>
    <m/>
    <m/>
  </r>
  <r>
    <s v="T-00227-0135"/>
    <s v="PS5-61-IU-0001C"/>
    <m/>
    <m/>
    <m/>
    <m/>
    <x v="9"/>
    <s v="PCOM - Precommissioning"/>
    <s v="E"/>
    <x v="1"/>
    <x v="0"/>
    <s v="11/33kV Transformer - 6.8 MVA"/>
    <s v="EACOP"/>
    <s v="CPP AGI"/>
    <m/>
    <m/>
    <s v="24"/>
    <m/>
    <m/>
    <m/>
    <s v="PS5 - TZA - PS5 - Tanzania"/>
    <s v="PS5-60-07 - Power Generation Package C"/>
    <m/>
    <s v="PS5-60-07"/>
    <x v="1"/>
    <x v="0"/>
    <s v="Power Transformer"/>
    <s v="E"/>
    <x v="0"/>
    <s v="PS5 - Milestone D"/>
    <s v="TM-00227"/>
    <m/>
    <m/>
  </r>
  <r>
    <s v="T-00227-0136"/>
    <s v="PS5-61-IU-0001D"/>
    <m/>
    <m/>
    <m/>
    <m/>
    <x v="9"/>
    <s v="PCOM - Precommissioning"/>
    <s v="E"/>
    <x v="1"/>
    <x v="0"/>
    <s v="11/33kV Transformer - 6.8 MVA"/>
    <s v="EACOP"/>
    <s v="CPP AGI"/>
    <m/>
    <m/>
    <s v="24"/>
    <m/>
    <m/>
    <m/>
    <s v="PS5 - TZA - PS5 - Tanzania"/>
    <s v="PS5-60-10 - Power Generation Package D"/>
    <m/>
    <s v="PS5-60-10"/>
    <x v="1"/>
    <x v="0"/>
    <s v="Power Transformer"/>
    <s v="E"/>
    <x v="0"/>
    <s v="PS5 - Milestone D"/>
    <s v="TM-00227"/>
    <m/>
    <m/>
  </r>
  <r>
    <s v="T-00232-0970"/>
    <s v="PS5-60-IJ-0001A-CH04"/>
    <m/>
    <m/>
    <m/>
    <m/>
    <x v="10"/>
    <s v="PCOM - Precommissioning"/>
    <s v="E"/>
    <x v="1"/>
    <x v="0"/>
    <s v="Cable FROM PS5-60-GE-8100A TO PS5-60-IJ-0001A"/>
    <s v="EACOP"/>
    <s v="CPP AGI"/>
    <m/>
    <m/>
    <s v="2"/>
    <m/>
    <s v="2"/>
    <m/>
    <s v="PS5 - TZA - PS5 - Tanzania"/>
    <s v="PS5-60-01 - Power Generation Package A"/>
    <d v="2026-03-14T04:25:51"/>
    <s v="PS5-60-01"/>
    <x v="0"/>
    <x v="0"/>
    <s v="HV Power Cable"/>
    <s v="E"/>
    <x v="1"/>
    <s v="PS5 - Milestone B"/>
    <s v="TM-00232"/>
    <s v="ovchinnikov, konstantin"/>
    <s v="TZ-MID-68-WPR2-150101"/>
  </r>
  <r>
    <s v="T-00232-0971"/>
    <s v="PS5-60-IJ-0001B-CH04"/>
    <m/>
    <m/>
    <m/>
    <m/>
    <x v="10"/>
    <s v="PCOM - Precommissioning"/>
    <s v="E"/>
    <x v="1"/>
    <x v="0"/>
    <s v="Cable FROM PS5-60-GE-8100B TO PS5-60-IJ-0001B"/>
    <s v="EACOP"/>
    <s v="CPP AGI"/>
    <m/>
    <m/>
    <s v="2"/>
    <m/>
    <s v="2"/>
    <m/>
    <s v="PS5 - TZA - PS5 - Tanzania"/>
    <s v="PS5-60-04 - Power Generation Package B"/>
    <d v="2026-03-14T04:27:29"/>
    <s v="PS5-60-04"/>
    <x v="0"/>
    <x v="0"/>
    <s v="HV Power Cable"/>
    <s v="E"/>
    <x v="1"/>
    <s v="PS5 - Milestone B"/>
    <s v="TM-00232"/>
    <s v="ovchinnikov, konstantin"/>
    <s v="TZ-MID-68-WPR2-150101"/>
  </r>
  <r>
    <s v="T-00232-0972"/>
    <s v="PS5-60-IJ-0001C-CH04"/>
    <m/>
    <m/>
    <m/>
    <m/>
    <x v="10"/>
    <s v="PCOM - Precommissioning"/>
    <s v="E"/>
    <x v="1"/>
    <x v="0"/>
    <s v="Cable FROM PS5-60-GE-8100C TO PS5-60-IJ-0001C"/>
    <s v="EACOP"/>
    <s v="CPP AGI"/>
    <m/>
    <m/>
    <s v="2"/>
    <m/>
    <s v="2"/>
    <m/>
    <s v="PS5 - TZA - PS5 - Tanzania"/>
    <s v="PS5-60-07 - Power Generation Package C"/>
    <d v="2026-03-14T04:28:02"/>
    <s v="PS5-60-07"/>
    <x v="1"/>
    <x v="0"/>
    <s v="HV Power Cable"/>
    <s v="E"/>
    <x v="1"/>
    <s v="PS5 - Milestone D"/>
    <s v="TM-00232"/>
    <s v="ovchinnikov, konstantin"/>
    <s v="TZ-MID-68-WPR2-150101"/>
  </r>
  <r>
    <s v="T-00232-0973"/>
    <s v="PS5-60-IJ-0001D-CH04"/>
    <m/>
    <m/>
    <m/>
    <m/>
    <x v="10"/>
    <s v="PCOM - Precommissioning"/>
    <s v="E"/>
    <x v="1"/>
    <x v="0"/>
    <s v="Cable FROM PS5-60-GE-8100D TO PS5-60-IJ-0001D"/>
    <s v="EACOP"/>
    <s v="CPP AGI"/>
    <m/>
    <m/>
    <s v="2"/>
    <m/>
    <s v="2"/>
    <m/>
    <s v="PS5 - TZA - PS5 - Tanzania"/>
    <s v="PS5-60-10 - Power Generation Package D"/>
    <d v="2026-03-14T04:28:29"/>
    <s v="PS5-60-10"/>
    <x v="1"/>
    <x v="0"/>
    <s v="HV Power Cable"/>
    <s v="E"/>
    <x v="1"/>
    <s v="PS5 - Milestone D"/>
    <s v="TM-00232"/>
    <s v="ovchinnikov, konstantin"/>
    <s v="TZ-MID-68-WPR2-150101"/>
  </r>
  <r>
    <s v="T-00232-1013"/>
    <s v="PS5-61-IJ-0001-CH01"/>
    <m/>
    <m/>
    <m/>
    <m/>
    <x v="10"/>
    <s v="PCOM - Precommissioning"/>
    <s v="E"/>
    <x v="1"/>
    <x v="0"/>
    <s v="Cable FROM PS5-61-IU-0001A TO PS5-61-IJ-0001"/>
    <s v="EACOP"/>
    <s v="CPP AGI"/>
    <m/>
    <m/>
    <s v="2"/>
    <m/>
    <s v="2"/>
    <m/>
    <s v="PS5 - TZA - PS5 - Tanzania"/>
    <s v="PS5-60-01 - Power Generation Package A"/>
    <d v="2026-04-13T05:39:06"/>
    <s v="PS5-60-01"/>
    <x v="0"/>
    <x v="0"/>
    <s v="HV Power Cable"/>
    <s v="E"/>
    <x v="1"/>
    <s v="PS5 - Milestone B"/>
    <s v="TM-00232"/>
    <s v="ovchinnikov, konstantin"/>
    <s v="TZ-MID-68-WPR2-150101"/>
  </r>
  <r>
    <s v="T-00232-1014"/>
    <s v="PS5-61-IJ-0001-CH02"/>
    <m/>
    <m/>
    <m/>
    <m/>
    <x v="10"/>
    <s v="PCOM - Precommissioning"/>
    <s v="E"/>
    <x v="1"/>
    <x v="0"/>
    <s v="Cable FROM PS5-61-IU-0001A TO PS5-61-IJ-0001"/>
    <s v="EACOP"/>
    <s v="CPP AGI"/>
    <m/>
    <m/>
    <s v="2"/>
    <m/>
    <s v="2"/>
    <m/>
    <s v="PS5 - TZA - PS5 - Tanzania"/>
    <s v="PS5-60-01 - Power Generation Package A"/>
    <d v="2026-04-13T05:41:45"/>
    <s v="PS5-60-01"/>
    <x v="0"/>
    <x v="0"/>
    <s v="HV Power Cable"/>
    <s v="E"/>
    <x v="1"/>
    <s v="PS5 - Milestone B"/>
    <s v="TM-00232"/>
    <s v="ovchinnikov, konstantin"/>
    <s v="TZ-MID-68-WPR2-150101"/>
  </r>
  <r>
    <s v="T-00232-1015"/>
    <s v="PS5-61-IJ-0001-CH03"/>
    <m/>
    <m/>
    <m/>
    <m/>
    <x v="10"/>
    <s v="PCOM - Precommissioning"/>
    <s v="E"/>
    <x v="1"/>
    <x v="0"/>
    <s v="Cable FROM PS5-61-IU-0001A TO PS5-61-IJ-0001"/>
    <s v="EACOP"/>
    <s v="CPP AGI"/>
    <m/>
    <m/>
    <s v="2"/>
    <m/>
    <s v="2"/>
    <m/>
    <s v="PS5 - TZA - PS5 - Tanzania"/>
    <s v="PS5-60-01 - Power Generation Package A"/>
    <d v="2026-04-13T05:42:16"/>
    <s v="PS5-60-01"/>
    <x v="0"/>
    <x v="0"/>
    <s v="HV Power Cable"/>
    <s v="E"/>
    <x v="1"/>
    <s v="PS5 - Milestone B"/>
    <s v="TM-00232"/>
    <s v="ovchinnikov, konstantin"/>
    <s v="TZ-MID-68-WPR2-150101"/>
  </r>
  <r>
    <s v="T-00232-1016"/>
    <s v="PS5-61-IJ-0001-CH04"/>
    <m/>
    <m/>
    <m/>
    <m/>
    <x v="10"/>
    <s v="PCOM - Precommissioning"/>
    <s v="E"/>
    <x v="1"/>
    <x v="0"/>
    <s v="Cable FROM PS5-61-IU-0001B TO PS5-61-IJ-0001"/>
    <s v="EACOP"/>
    <s v="CPP AGI"/>
    <m/>
    <m/>
    <s v="2"/>
    <m/>
    <s v="2"/>
    <m/>
    <s v="PS5 - TZA - PS5 - Tanzania"/>
    <s v="PS5-60-04 - Power Generation Package B"/>
    <d v="2026-04-13T05:42:56"/>
    <s v="PS5-60-04"/>
    <x v="0"/>
    <x v="0"/>
    <s v="HV Power Cable"/>
    <s v="E"/>
    <x v="1"/>
    <s v="PS5 - Milestone B"/>
    <s v="TM-00232"/>
    <s v="ovchinnikov, konstantin"/>
    <s v="TZ-MID-68-WPR2-150101"/>
  </r>
  <r>
    <s v="T-00232-1017"/>
    <s v="PS5-61-IJ-0001-CH05"/>
    <m/>
    <m/>
    <m/>
    <m/>
    <x v="10"/>
    <s v="PCOM - Precommissioning"/>
    <s v="E"/>
    <x v="1"/>
    <x v="0"/>
    <s v="Cable FROM PS5-61-IU-0001B TO PS5-61-IJ-0001"/>
    <s v="EACOP"/>
    <s v="CPP AGI"/>
    <m/>
    <m/>
    <s v="2"/>
    <m/>
    <s v="2"/>
    <m/>
    <s v="PS5 - TZA - PS5 - Tanzania"/>
    <s v="PS5-60-04 - Power Generation Package B"/>
    <d v="2026-04-13T05:43:39"/>
    <s v="PS5-60-04"/>
    <x v="0"/>
    <x v="0"/>
    <s v="HV Power Cable"/>
    <s v="E"/>
    <x v="1"/>
    <s v="PS5 - Milestone B"/>
    <s v="TM-00232"/>
    <s v="ovchinnikov, konstantin"/>
    <s v="TZ-MID-68-WPR2-150101"/>
  </r>
  <r>
    <s v="T-00232-1018"/>
    <s v="PS5-61-IJ-0001-CH06"/>
    <m/>
    <m/>
    <m/>
    <m/>
    <x v="10"/>
    <s v="PCOM - Precommissioning"/>
    <s v="E"/>
    <x v="1"/>
    <x v="0"/>
    <s v="Cable FROM PS5-61-IU-0001B TO PS5-61-IJ-0001"/>
    <s v="EACOP"/>
    <s v="CPP AGI"/>
    <m/>
    <m/>
    <s v="2"/>
    <m/>
    <s v="2"/>
    <m/>
    <s v="PS5 - TZA - PS5 - Tanzania"/>
    <s v="PS5-60-04 - Power Generation Package B"/>
    <d v="2026-04-13T05:44:09"/>
    <s v="PS5-60-04"/>
    <x v="0"/>
    <x v="0"/>
    <s v="HV Power Cable"/>
    <s v="E"/>
    <x v="1"/>
    <s v="PS5 - Milestone B"/>
    <s v="TM-00232"/>
    <s v="ovchinnikov, konstantin"/>
    <s v="TZ-MID-68-WPR2-150101"/>
  </r>
  <r>
    <s v="T-00232-1019"/>
    <s v="PS5-61-IJ-0001-CH07"/>
    <m/>
    <m/>
    <m/>
    <m/>
    <x v="10"/>
    <s v="PCOM - Precommissioning"/>
    <s v="E"/>
    <x v="1"/>
    <x v="0"/>
    <s v="Cable FROM PS5-61-IU-0001C TO PS5-61-IJ-0001"/>
    <s v="EACOP"/>
    <s v="CPP AGI"/>
    <m/>
    <m/>
    <s v="2"/>
    <m/>
    <s v="2"/>
    <m/>
    <s v="PS5 - TZA - PS5 - Tanzania"/>
    <s v="PS5-60-07 - Power Generation Package C"/>
    <d v="2026-04-13T05:44:52"/>
    <s v="PS5-60-07"/>
    <x v="1"/>
    <x v="0"/>
    <s v="HV Power Cable"/>
    <s v="E"/>
    <x v="1"/>
    <s v="PS5 - Milestone D"/>
    <s v="TM-00232"/>
    <s v="ovchinnikov, konstantin"/>
    <s v="TZ-MID-68-WPR2-150101"/>
  </r>
  <r>
    <s v="T-00232-1020"/>
    <s v="PS5-61-IJ-0001-CH08"/>
    <m/>
    <m/>
    <m/>
    <m/>
    <x v="10"/>
    <s v="PCOM - Precommissioning"/>
    <s v="E"/>
    <x v="1"/>
    <x v="0"/>
    <s v="Cable FROM PS5-61-IU-0001C TO PS5-61-IJ-0001"/>
    <s v="EACOP"/>
    <s v="CPP AGI"/>
    <m/>
    <m/>
    <s v="2"/>
    <m/>
    <s v="2"/>
    <m/>
    <s v="PS5 - TZA - PS5 - Tanzania"/>
    <s v="PS5-60-07 - Power Generation Package C"/>
    <d v="2026-04-13T05:45:17"/>
    <s v="PS5-60-07"/>
    <x v="1"/>
    <x v="0"/>
    <s v="HV Power Cable"/>
    <s v="E"/>
    <x v="1"/>
    <s v="PS5 - Milestone D"/>
    <s v="TM-00232"/>
    <s v="ovchinnikov, konstantin"/>
    <s v="TZ-MID-68-WPR2-150101"/>
  </r>
  <r>
    <s v="T-00232-1021"/>
    <s v="PS5-61-IJ-0001-CH09"/>
    <m/>
    <m/>
    <m/>
    <m/>
    <x v="10"/>
    <s v="PCOM - Precommissioning"/>
    <s v="E"/>
    <x v="1"/>
    <x v="0"/>
    <s v="Cable FROM PS5-61-IU-0001C TO PS5-61-IJ-0001"/>
    <s v="EACOP"/>
    <s v="CPP AGI"/>
    <m/>
    <m/>
    <s v="2"/>
    <m/>
    <s v="2"/>
    <m/>
    <s v="PS5 - TZA - PS5 - Tanzania"/>
    <s v="PS5-60-07 - Power Generation Package C"/>
    <d v="2026-04-13T05:45:45"/>
    <s v="PS5-60-07"/>
    <x v="1"/>
    <x v="0"/>
    <s v="HV Power Cable"/>
    <s v="E"/>
    <x v="1"/>
    <s v="PS5 - Milestone D"/>
    <s v="TM-00232"/>
    <s v="ovchinnikov, konstantin"/>
    <s v="TZ-MID-68-WPR2-150101"/>
  </r>
  <r>
    <s v="T-00232-1022"/>
    <s v="PS5-61-IJ-0001-CH10"/>
    <m/>
    <m/>
    <m/>
    <m/>
    <x v="10"/>
    <s v="PCOM - Precommissioning"/>
    <s v="E"/>
    <x v="1"/>
    <x v="0"/>
    <s v="Cable FROM PS5-61-IU-0001D TO PS5-61-IJ-0001"/>
    <s v="EACOP"/>
    <s v="CPP AGI"/>
    <m/>
    <m/>
    <s v="2"/>
    <m/>
    <s v="2"/>
    <m/>
    <s v="PS5 - TZA - PS5 - Tanzania"/>
    <s v="PS5-60-10 - Power Generation Package D"/>
    <d v="2026-04-13T05:46:09"/>
    <s v="PS5-60-10"/>
    <x v="1"/>
    <x v="0"/>
    <s v="HV Power Cable"/>
    <s v="E"/>
    <x v="1"/>
    <s v="PS5 - Milestone D"/>
    <s v="TM-00232"/>
    <s v="ovchinnikov, konstantin"/>
    <s v="TZ-MID-68-WPR2-150101"/>
  </r>
  <r>
    <s v="T-00232-1023"/>
    <s v="PS5-61-IJ-0001-CH11"/>
    <m/>
    <m/>
    <m/>
    <m/>
    <x v="10"/>
    <s v="PCOM - Precommissioning"/>
    <s v="E"/>
    <x v="1"/>
    <x v="0"/>
    <s v="Cable FROM PS5-61-IU-0001D TO PS5-61-IJ-0001"/>
    <s v="EACOP"/>
    <s v="CPP AGI"/>
    <m/>
    <m/>
    <s v="2"/>
    <m/>
    <s v="2"/>
    <m/>
    <s v="PS5 - TZA - PS5 - Tanzania"/>
    <s v="PS5-60-10 - Power Generation Package D"/>
    <d v="2026-04-13T05:46:39"/>
    <s v="PS5-60-10"/>
    <x v="1"/>
    <x v="0"/>
    <s v="HV Power Cable"/>
    <s v="E"/>
    <x v="1"/>
    <s v="PS5 - Milestone D"/>
    <s v="TM-00232"/>
    <s v="ovchinnikov, konstantin"/>
    <s v="TZ-MID-68-WPR2-150101"/>
  </r>
  <r>
    <s v="T-00232-1024"/>
    <s v="PS5-61-IJ-0001-CH12"/>
    <m/>
    <m/>
    <m/>
    <m/>
    <x v="10"/>
    <s v="PCOM - Precommissioning"/>
    <s v="E"/>
    <x v="1"/>
    <x v="0"/>
    <s v="Cable FROM PS5-61-IU-0001D TO PS5-61-IJ-0001"/>
    <s v="EACOP"/>
    <s v="CPP AGI"/>
    <m/>
    <m/>
    <s v="2"/>
    <m/>
    <s v="2"/>
    <m/>
    <s v="PS5 - TZA - PS5 - Tanzania"/>
    <s v="PS5-60-10 - Power Generation Package D"/>
    <d v="2026-04-13T05:47:23"/>
    <s v="PS5-60-10"/>
    <x v="1"/>
    <x v="0"/>
    <s v="HV Power Cable"/>
    <s v="E"/>
    <x v="1"/>
    <s v="PS5 - Milestone D"/>
    <s v="TM-00232"/>
    <s v="ovchinnikov, konstantin"/>
    <s v="TZ-MID-68-WPR2-150101"/>
  </r>
  <r>
    <s v="T-00232-1046"/>
    <s v="PS5-61-IU-0001A-CH01"/>
    <m/>
    <m/>
    <m/>
    <m/>
    <x v="10"/>
    <s v="PCOM - Precommissioning"/>
    <s v="E"/>
    <x v="1"/>
    <x v="0"/>
    <s v="Cable FROM PS5-60-GE-8100A TO PS5-61-IU-0001A"/>
    <s v="EACOP"/>
    <s v="CPP AGI"/>
    <m/>
    <m/>
    <s v="2"/>
    <m/>
    <s v="2"/>
    <m/>
    <s v="PS5 - TZA - PS5 - Tanzania"/>
    <s v="PS5-60-01 - Power Generation Package A"/>
    <d v="2026-04-17T05:49:45"/>
    <s v="PS5-60-01"/>
    <x v="0"/>
    <x v="0"/>
    <s v="HV Power Cable"/>
    <s v="E"/>
    <x v="1"/>
    <s v="PS5 - Milestone B"/>
    <s v="TM-00232"/>
    <s v="ovchinnikov, konstantin"/>
    <s v="TZ-MID-68-WPR2-150101"/>
  </r>
  <r>
    <s v="T-00232-1047"/>
    <s v="PS5-61-IU-0001A-CH02"/>
    <m/>
    <m/>
    <m/>
    <m/>
    <x v="10"/>
    <s v="PCOM - Precommissioning"/>
    <s v="E"/>
    <x v="1"/>
    <x v="0"/>
    <s v="Cable FROM PS5-60-GE-8100A TO PS5-61-IU-0001A"/>
    <s v="EACOP"/>
    <s v="CPP AGI"/>
    <m/>
    <m/>
    <s v="2"/>
    <m/>
    <s v="2"/>
    <m/>
    <s v="PS5 - TZA - PS5 - Tanzania"/>
    <s v="PS5-60-01 - Power Generation Package A"/>
    <d v="2026-04-17T05:50:12"/>
    <s v="PS5-60-01"/>
    <x v="0"/>
    <x v="0"/>
    <s v="HV Power Cable"/>
    <s v="E"/>
    <x v="1"/>
    <s v="PS5 - Milestone B"/>
    <s v="TM-00232"/>
    <s v="ovchinnikov, konstantin"/>
    <s v="TZ-MID-68-WPR2-150101"/>
  </r>
  <r>
    <s v="T-00232-1048"/>
    <s v="PS5-61-IU-0001A-CH03"/>
    <m/>
    <m/>
    <m/>
    <m/>
    <x v="10"/>
    <s v="PCOM - Precommissioning"/>
    <s v="E"/>
    <x v="1"/>
    <x v="0"/>
    <s v="Cable FROM PS5-60-GE-8100A TO PS5-61-IU-0001A"/>
    <s v="EACOP"/>
    <s v="CPP AGI"/>
    <m/>
    <m/>
    <s v="2"/>
    <m/>
    <s v="2"/>
    <m/>
    <s v="PS5 - TZA - PS5 - Tanzania"/>
    <s v="PS5-60-01 - Power Generation Package A"/>
    <d v="2026-04-17T05:50:44"/>
    <s v="PS5-60-01"/>
    <x v="0"/>
    <x v="0"/>
    <s v="HV Power Cable"/>
    <s v="E"/>
    <x v="1"/>
    <s v="PS5 - Milestone B"/>
    <s v="TM-00232"/>
    <s v="ovchinnikov, konstantin"/>
    <s v="TZ-MID-68-WPR2-150101"/>
  </r>
  <r>
    <s v="T-00232-1049"/>
    <s v="PS5-61-IU-0001B-CH01"/>
    <m/>
    <m/>
    <m/>
    <m/>
    <x v="10"/>
    <s v="PCOM - Precommissioning"/>
    <s v="E"/>
    <x v="1"/>
    <x v="0"/>
    <s v="Cable FROM PS5-60-GE-8100B TO PS5-61-IU-0001B"/>
    <s v="EACOP"/>
    <s v="CPP AGI"/>
    <m/>
    <m/>
    <s v="2"/>
    <m/>
    <s v="2"/>
    <m/>
    <s v="PS5 - TZA - PS5 - Tanzania"/>
    <s v="PS5-60-04 - Power Generation Package B"/>
    <d v="2026-04-17T05:51:23"/>
    <s v="PS5-60-04"/>
    <x v="0"/>
    <x v="0"/>
    <s v="HV Power Cable"/>
    <s v="E"/>
    <x v="1"/>
    <s v="PS5 - Milestone B"/>
    <s v="TM-00232"/>
    <s v="ovchinnikov, konstantin"/>
    <s v="TZ-MID-68-WPR2-150101"/>
  </r>
  <r>
    <s v="T-00232-1050"/>
    <s v="PS5-61-IU-0001B-CH02"/>
    <m/>
    <m/>
    <m/>
    <m/>
    <x v="10"/>
    <s v="PCOM - Precommissioning"/>
    <s v="E"/>
    <x v="1"/>
    <x v="0"/>
    <s v="Cable FROM PS5-60-GE-8100B TO PS5-61-IU-0001B"/>
    <s v="EACOP"/>
    <s v="CPP AGI"/>
    <m/>
    <m/>
    <s v="2"/>
    <m/>
    <s v="2"/>
    <m/>
    <s v="PS5 - TZA - PS5 - Tanzania"/>
    <s v="PS5-60-04 - Power Generation Package B"/>
    <d v="2026-04-17T05:51:50"/>
    <s v="PS5-60-04"/>
    <x v="0"/>
    <x v="0"/>
    <s v="HV Power Cable"/>
    <s v="E"/>
    <x v="1"/>
    <s v="PS5 - Milestone B"/>
    <s v="TM-00232"/>
    <s v="ovchinnikov, konstantin"/>
    <s v="TZ-MID-68-WPR2-150101"/>
  </r>
  <r>
    <s v="T-00232-1051"/>
    <s v="PS5-61-IU-0001B-CH03"/>
    <m/>
    <m/>
    <m/>
    <m/>
    <x v="10"/>
    <s v="PCOM - Precommissioning"/>
    <s v="E"/>
    <x v="1"/>
    <x v="0"/>
    <s v="Cable FROM PS5-60-GE-8100B TO PS5-61-IU-0001B"/>
    <s v="EACOP"/>
    <s v="CPP AGI"/>
    <m/>
    <m/>
    <s v="2"/>
    <m/>
    <s v="2"/>
    <m/>
    <s v="PS5 - TZA - PS5 - Tanzania"/>
    <s v="PS5-60-04 - Power Generation Package B"/>
    <d v="2026-04-17T05:52:29"/>
    <s v="PS5-60-04"/>
    <x v="0"/>
    <x v="0"/>
    <s v="HV Power Cable"/>
    <s v="E"/>
    <x v="1"/>
    <s v="PS5 - Milestone B"/>
    <s v="TM-00232"/>
    <s v="ovchinnikov, konstantin"/>
    <s v="TZ-MID-68-WPR2-150101"/>
  </r>
  <r>
    <s v="T-00232-1052"/>
    <s v="PS5-61-IU-0001C-CH01"/>
    <m/>
    <m/>
    <m/>
    <m/>
    <x v="10"/>
    <s v="PCOM - Precommissioning"/>
    <s v="E"/>
    <x v="1"/>
    <x v="0"/>
    <s v="Cable FROM PS5-60-GE-8100C TO PS5-61-IU-0001C"/>
    <s v="EACOP"/>
    <s v="CPP AGI"/>
    <m/>
    <m/>
    <s v="2"/>
    <m/>
    <s v="2"/>
    <m/>
    <s v="PS5 - TZA - PS5 - Tanzania"/>
    <s v="PS5-60-07 - Power Generation Package C"/>
    <d v="2026-04-17T05:52:55"/>
    <s v="PS5-60-07"/>
    <x v="1"/>
    <x v="0"/>
    <s v="HV Power Cable"/>
    <s v="E"/>
    <x v="1"/>
    <s v="PS5 - Milestone D"/>
    <s v="TM-00232"/>
    <s v="ovchinnikov, konstantin"/>
    <s v="TZ-MID-68-WPR2-150101"/>
  </r>
  <r>
    <s v="T-00232-1053"/>
    <s v="PS5-61-IU-0001C-CH02"/>
    <m/>
    <m/>
    <m/>
    <m/>
    <x v="10"/>
    <s v="PCOM - Precommissioning"/>
    <s v="E"/>
    <x v="1"/>
    <x v="0"/>
    <s v="Cable FROM PS5-60-GE-8100C TO PS5-61-IU-0001C"/>
    <s v="EACOP"/>
    <s v="CPP AGI"/>
    <m/>
    <m/>
    <s v="2"/>
    <m/>
    <s v="2"/>
    <m/>
    <s v="PS5 - TZA - PS5 - Tanzania"/>
    <s v="PS5-60-07 - Power Generation Package C"/>
    <d v="2026-04-17T05:53:20"/>
    <s v="PS5-60-07"/>
    <x v="1"/>
    <x v="0"/>
    <s v="HV Power Cable"/>
    <s v="E"/>
    <x v="1"/>
    <s v="PS5 - Milestone D"/>
    <s v="TM-00232"/>
    <s v="ovchinnikov, konstantin"/>
    <s v="TZ-MID-68-WPR2-150101"/>
  </r>
  <r>
    <s v="T-00232-1054"/>
    <s v="PS5-61-IU-0001C-CH03"/>
    <m/>
    <m/>
    <m/>
    <m/>
    <x v="10"/>
    <s v="PCOM - Precommissioning"/>
    <s v="E"/>
    <x v="1"/>
    <x v="0"/>
    <s v="Cable FROM PS5-60-GE-8100C TO PS5-61-IU-0001C"/>
    <s v="EACOP"/>
    <s v="CPP AGI"/>
    <m/>
    <m/>
    <s v="2"/>
    <m/>
    <s v="2"/>
    <m/>
    <s v="PS5 - TZA - PS5 - Tanzania"/>
    <s v="PS5-60-07 - Power Generation Package C"/>
    <d v="2026-04-17T05:53:47"/>
    <s v="PS5-60-07"/>
    <x v="1"/>
    <x v="0"/>
    <s v="HV Power Cable"/>
    <s v="E"/>
    <x v="1"/>
    <s v="PS5 - Milestone D"/>
    <s v="TM-00232"/>
    <s v="ovchinnikov, konstantin"/>
    <s v="TZ-MID-68-WPR2-150101"/>
  </r>
  <r>
    <s v="T-00232-1055"/>
    <s v="PS5-61-IU-0001D-CH01"/>
    <m/>
    <m/>
    <m/>
    <m/>
    <x v="10"/>
    <s v="PCOM - Precommissioning"/>
    <s v="E"/>
    <x v="1"/>
    <x v="0"/>
    <s v="Cable FROM PS5-60-GE-8100D TO PS5-61-IU-0001D"/>
    <s v="EACOP"/>
    <s v="CPP AGI"/>
    <m/>
    <m/>
    <s v="2"/>
    <m/>
    <s v="2"/>
    <m/>
    <s v="PS5 - TZA - PS5 - Tanzania"/>
    <s v="PS5-60-10 - Power Generation Package D"/>
    <d v="2026-04-17T05:54:53"/>
    <s v="PS5-60-10"/>
    <x v="1"/>
    <x v="0"/>
    <s v="HV Power Cable"/>
    <s v="E"/>
    <x v="1"/>
    <s v="PS5 - Milestone D"/>
    <s v="TM-00232"/>
    <s v="ovchinnikov, konstantin"/>
    <s v="TZ-MID-68-WPR2-150101"/>
  </r>
  <r>
    <s v="T-00232-1056"/>
    <s v="PS5-61-IU-0001D-CH02"/>
    <m/>
    <m/>
    <m/>
    <m/>
    <x v="10"/>
    <s v="PCOM - Precommissioning"/>
    <s v="E"/>
    <x v="1"/>
    <x v="0"/>
    <s v="Cable FROM PS5-60-GE-8100D TO PS5-61-IU-0001D"/>
    <s v="EACOP"/>
    <s v="CPP AGI"/>
    <m/>
    <m/>
    <s v="2"/>
    <m/>
    <s v="2"/>
    <m/>
    <s v="PS5 - TZA - PS5 - Tanzania"/>
    <s v="PS5-60-10 - Power Generation Package D"/>
    <d v="2026-04-17T05:55:25"/>
    <s v="PS5-60-10"/>
    <x v="1"/>
    <x v="0"/>
    <s v="HV Power Cable"/>
    <s v="E"/>
    <x v="1"/>
    <s v="PS5 - Milestone D"/>
    <s v="TM-00232"/>
    <s v="ovchinnikov, konstantin"/>
    <s v="TZ-MID-68-WPR2-150101"/>
  </r>
  <r>
    <s v="T-00232-1057"/>
    <s v="PS5-61-IU-0001D-CH03"/>
    <m/>
    <m/>
    <m/>
    <m/>
    <x v="10"/>
    <s v="PCOM - Precommissioning"/>
    <s v="E"/>
    <x v="1"/>
    <x v="0"/>
    <s v="Cable FROM PS5-60-GE-8100D TO PS5-61-IU-0001D"/>
    <s v="EACOP"/>
    <s v="CPP AGI"/>
    <m/>
    <m/>
    <s v="2"/>
    <m/>
    <s v="2"/>
    <m/>
    <s v="PS5 - TZA - PS5 - Tanzania"/>
    <s v="PS5-60-10 - Power Generation Package D"/>
    <d v="2026-04-17T05:56:05"/>
    <s v="PS5-60-10"/>
    <x v="1"/>
    <x v="0"/>
    <s v="HV Power Cable"/>
    <s v="E"/>
    <x v="1"/>
    <s v="PS5 - Milestone D"/>
    <s v="TM-00232"/>
    <s v="ovchinnikov, konstantin"/>
    <s v="TZ-MID-68-WPR2-150101"/>
  </r>
  <r>
    <s v="T-00233-10536"/>
    <s v="PS5-60-IN-0002A-CG01"/>
    <m/>
    <m/>
    <m/>
    <m/>
    <x v="11"/>
    <s v="PCOM - Precommissioning"/>
    <s v="E"/>
    <x v="1"/>
    <x v="0"/>
    <s v="Cable FROM PS5-60-IH-0001A TO PS5-60-IN-0002A"/>
    <s v="EACOP"/>
    <s v="CPP AGI"/>
    <m/>
    <m/>
    <s v="4"/>
    <m/>
    <s v="4"/>
    <m/>
    <s v="PS5 - TZA - PS5 - Tanzania"/>
    <s v="PS5-60-57 - Fuel Conditioning Module PS5-60-UZ-8900A (UCP)"/>
    <m/>
    <s v="PS5-60-57"/>
    <x v="0"/>
    <x v="0"/>
    <s v="LV Power Cable"/>
    <s v="E"/>
    <x v="0"/>
    <s v="PS5 - Milestone B"/>
    <s v="TM-00233"/>
    <m/>
    <m/>
  </r>
  <r>
    <s v="T-00233-10537"/>
    <s v="PS5-60-IN-0002B-CG01"/>
    <m/>
    <m/>
    <m/>
    <m/>
    <x v="11"/>
    <s v="PCOM - Precommissioning"/>
    <s v="E"/>
    <x v="1"/>
    <x v="0"/>
    <s v="Cable FROM PS5-60-IH-0001B TO PS5-60-IN-0002B"/>
    <s v="EACOP"/>
    <s v="CPP AGI"/>
    <m/>
    <m/>
    <s v="4"/>
    <m/>
    <s v="4"/>
    <m/>
    <s v="PS5 - TZA - PS5 - Tanzania"/>
    <s v="PS5-60-59 - Fuel Conditioning Module PS5-60-UZ-8900B (UCP)"/>
    <m/>
    <s v="PS5-60-59"/>
    <x v="0"/>
    <x v="0"/>
    <s v="LV Power Cable"/>
    <s v="E"/>
    <x v="0"/>
    <s v="PS5 - Milestone B"/>
    <s v="TM-00233"/>
    <m/>
    <m/>
  </r>
  <r>
    <s v="T-00233-10538"/>
    <s v="PS5-60-IN-0002C-CG01"/>
    <m/>
    <m/>
    <m/>
    <m/>
    <x v="11"/>
    <s v="PCOM - Precommissioning"/>
    <s v="E"/>
    <x v="1"/>
    <x v="0"/>
    <s v="Cable FROM PS5-60-IH-0001C TO PS5-60-IN-0002C"/>
    <s v="EACOP"/>
    <s v="CPP AGI"/>
    <m/>
    <m/>
    <s v="4"/>
    <m/>
    <s v="4"/>
    <m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233"/>
    <m/>
    <m/>
  </r>
  <r>
    <s v="T-00233-10539"/>
    <s v="PS5-60-IN-0002D-CG01"/>
    <m/>
    <m/>
    <m/>
    <m/>
    <x v="11"/>
    <s v="PCOM - Precommissioning"/>
    <s v="E"/>
    <x v="1"/>
    <x v="0"/>
    <s v="Cable FROM PS5-60-IH-0001D TO PS5-60-IN-0002D"/>
    <s v="EACOP"/>
    <s v="CPP AGI"/>
    <m/>
    <m/>
    <s v="4"/>
    <m/>
    <s v="4"/>
    <m/>
    <s v="PS5 - TZA - PS5 - Tanzania"/>
    <s v="PS5-60-63 - Fuel Conditioning Module PS5-60-UZ-8900D (UCP)"/>
    <m/>
    <s v="PS5-60-63"/>
    <x v="1"/>
    <x v="0"/>
    <s v="LV Power Cable"/>
    <s v="E"/>
    <x v="0"/>
    <s v="PS5 - Milestone D"/>
    <s v="TM-00233"/>
    <m/>
    <m/>
  </r>
  <r>
    <s v="T-00233-10593"/>
    <s v="PS5-60-IH-0001A-CG01"/>
    <m/>
    <m/>
    <m/>
    <m/>
    <x v="11"/>
    <s v="PCOM - Precommissioning"/>
    <s v="E"/>
    <x v="1"/>
    <x v="0"/>
    <s v="Cable FROM PS5-61-IK-0003 TO PS5-60-IH-0001A"/>
    <s v="EACOP"/>
    <s v="CPP AGI"/>
    <m/>
    <m/>
    <s v="4"/>
    <m/>
    <s v="4"/>
    <m/>
    <s v="PS5 - TZA - PS5 - Tanzania"/>
    <s v="PS5-60-03 - Power Gen Package A Generator Auxiliary MCCs &amp; DBs"/>
    <m/>
    <s v="PS5-60-03"/>
    <x v="0"/>
    <x v="0"/>
    <s v="LV Power Cable"/>
    <s v="E"/>
    <x v="0"/>
    <s v="PS5 - Milestone B"/>
    <s v="TM-00233"/>
    <m/>
    <m/>
  </r>
  <r>
    <s v="T-00233-10594"/>
    <s v="PS5-60-IH-0001B-CG01"/>
    <m/>
    <m/>
    <m/>
    <m/>
    <x v="11"/>
    <s v="PCOM - Precommissioning"/>
    <s v="E"/>
    <x v="1"/>
    <x v="0"/>
    <s v="Cable FROM PS5-61-IK-0003 TO PS5-60-IH-0001B"/>
    <s v="EACOP"/>
    <s v="CPP AGI"/>
    <m/>
    <m/>
    <s v="4"/>
    <m/>
    <s v="4"/>
    <m/>
    <s v="PS5 - TZA - PS5 - Tanzania"/>
    <s v="PS5-60-06 - Power Gen Package B Generator Auxiliary MCCs &amp; DBs"/>
    <m/>
    <s v="PS5-60-06"/>
    <x v="0"/>
    <x v="0"/>
    <s v="LV Power Cable"/>
    <s v="E"/>
    <x v="0"/>
    <s v="PS5 - Milestone B"/>
    <s v="TM-00233"/>
    <m/>
    <m/>
  </r>
  <r>
    <s v="T-00233-10595"/>
    <s v="PS5-60-IH-0001C-CG01"/>
    <m/>
    <m/>
    <m/>
    <m/>
    <x v="11"/>
    <s v="PCOM - Precommissioning"/>
    <s v="E"/>
    <x v="1"/>
    <x v="0"/>
    <s v="Cable FROM PS5-61-IK-0003 TO PS5-60-IH-0001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233"/>
    <m/>
    <m/>
  </r>
  <r>
    <s v="T-00233-10596"/>
    <s v="PS5-60-IH-0001D-CG01"/>
    <m/>
    <m/>
    <m/>
    <m/>
    <x v="11"/>
    <s v="PCOM - Precommissioning"/>
    <s v="E"/>
    <x v="1"/>
    <x v="0"/>
    <s v="Cable FROM PS5-61-IK-0003 TO PS5-60-IH-0001D"/>
    <s v="EACOP"/>
    <s v="CPP AGI"/>
    <m/>
    <m/>
    <s v="4"/>
    <m/>
    <s v="4"/>
    <m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m/>
  </r>
  <r>
    <s v="T-00233-10600"/>
    <s v="PS5-60-IH-0002-CG01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s v="4"/>
    <m/>
    <s v="PS5 - TZA - PS5 - Tanzania"/>
    <s v="PS5-60-22 - Power Gen Master UCP"/>
    <d v="2026-06-19T04:16:44"/>
    <s v="PS5-60-22"/>
    <x v="0"/>
    <x v="0"/>
    <s v="LV Power Cable"/>
    <s v="E"/>
    <x v="1"/>
    <s v="PS5 - Milestone B"/>
    <s v="TM-00233"/>
    <s v="Gawad, Mohamed"/>
    <m/>
  </r>
  <r>
    <s v="T-00233-10601"/>
    <s v="PS5-60-IH-0002-CG02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s v="4"/>
    <m/>
    <s v="PS5 - TZA - PS5 - Tanzania"/>
    <s v="PS5-60-22 - Power Gen Master UCP"/>
    <d v="2026-06-19T04:17:17"/>
    <s v="PS5-60-22"/>
    <x v="0"/>
    <x v="0"/>
    <s v="LV Power Cable"/>
    <s v="E"/>
    <x v="1"/>
    <s v="PS5 - Milestone B"/>
    <s v="TM-00233"/>
    <s v="Gawad, Mohamed"/>
    <m/>
  </r>
  <r>
    <s v="T-00233-10890"/>
    <s v="PS5-60-BE-0007A-CL02"/>
    <m/>
    <m/>
    <m/>
    <m/>
    <x v="11"/>
    <s v="PCOM - Precommissioning"/>
    <s v="E"/>
    <x v="1"/>
    <x v="0"/>
    <s v="Cable FROM PS5-60-IN-0002A TO PS5-60-BE-0007A"/>
    <s v="EACOP"/>
    <s v="CPP AGI"/>
    <m/>
    <m/>
    <s v="4"/>
    <m/>
    <s v="4"/>
    <m/>
    <s v="PS5 - TZA - PS5 - Tanzania"/>
    <s v="PS5-60-56 - Fuel Conditioning Module PS5-60-UZ-8900A"/>
    <d v="2026-06-27T08:58:31"/>
    <s v="PS5-60-56"/>
    <x v="0"/>
    <x v="0"/>
    <s v="LV Power Cable"/>
    <s v="E"/>
    <x v="1"/>
    <s v="PS5 - Milestone B"/>
    <s v="TM-00233"/>
    <s v="Gawad, Mohamed"/>
    <m/>
  </r>
  <r>
    <s v="T-00233-10891"/>
    <s v="PS5-60-BE-0007A-CL03"/>
    <m/>
    <m/>
    <m/>
    <m/>
    <x v="11"/>
    <s v="PCOM - Precommissioning"/>
    <s v="E"/>
    <x v="1"/>
    <x v="0"/>
    <s v="Cable FROM PS5-60-IN-0002A TO PS5-60-BE-0007A"/>
    <s v="EACOP"/>
    <s v="CPP AGI"/>
    <m/>
    <m/>
    <s v="4"/>
    <m/>
    <s v="4"/>
    <m/>
    <s v="PS5 - TZA - PS5 - Tanzania"/>
    <s v="PS5-60-56 - Fuel Conditioning Module PS5-60-UZ-8900A"/>
    <d v="2026-06-27T09:03:54"/>
    <s v="PS5-60-56"/>
    <x v="0"/>
    <x v="0"/>
    <s v="LV Power Cable"/>
    <s v="E"/>
    <x v="1"/>
    <s v="PS5 - Milestone B"/>
    <s v="TM-00233"/>
    <s v="Gawad, Mohamed"/>
    <m/>
  </r>
  <r>
    <s v="T-00233-10892"/>
    <s v="PS5-60-BE-0007B-CL02"/>
    <m/>
    <m/>
    <m/>
    <m/>
    <x v="11"/>
    <s v="PCOM - Precommissioning"/>
    <s v="E"/>
    <x v="1"/>
    <x v="0"/>
    <s v="Cable FROM PS5-60-IN-0002B TO PS5-60-BE-0007B"/>
    <s v="EACOP"/>
    <s v="CPP AGI"/>
    <m/>
    <m/>
    <s v="4"/>
    <m/>
    <s v="4"/>
    <m/>
    <s v="PS5 - TZA - PS5 - Tanzania"/>
    <s v="PS5-60-58 - Fuel Conditioning Module PS5-60-UZ-8900B"/>
    <d v="2026-06-27T09:24:02"/>
    <s v="PS5-60-58"/>
    <x v="0"/>
    <x v="0"/>
    <s v="LV Power Cable"/>
    <s v="E"/>
    <x v="1"/>
    <s v="PS5 - Milestone B"/>
    <s v="TM-00233"/>
    <s v="Gawad, Mohamed"/>
    <m/>
  </r>
  <r>
    <s v="T-00233-10893"/>
    <s v="PS5-60-BE-0007B-CL03"/>
    <m/>
    <m/>
    <m/>
    <m/>
    <x v="11"/>
    <s v="PCOM - Precommissioning"/>
    <s v="E"/>
    <x v="1"/>
    <x v="0"/>
    <s v="Cable FROM PS5-60-IN-0002B TO PS5-60-BE-0007B"/>
    <s v="EACOP"/>
    <s v="CPP AGI"/>
    <m/>
    <m/>
    <s v="4"/>
    <m/>
    <s v="4"/>
    <m/>
    <s v="PS5 - TZA - PS5 - Tanzania"/>
    <s v="PS5-60-58 - Fuel Conditioning Module PS5-60-UZ-8900B"/>
    <d v="2026-06-27T09:25:24"/>
    <s v="PS5-60-58"/>
    <x v="0"/>
    <x v="0"/>
    <s v="LV Power Cable"/>
    <s v="E"/>
    <x v="1"/>
    <s v="PS5 - Milestone B"/>
    <s v="TM-00233"/>
    <s v="Gawad, Mohamed"/>
    <m/>
  </r>
  <r>
    <s v="T-00233-10894"/>
    <s v="PS5-60-BE-0007C-CL02"/>
    <m/>
    <m/>
    <m/>
    <m/>
    <x v="11"/>
    <s v="PCOM - Precommissioning"/>
    <s v="E"/>
    <x v="1"/>
    <x v="0"/>
    <s v="Cable FROM PS5-60-IN-0002C TO PS5-60-BE-0007C"/>
    <s v="EACOP"/>
    <s v="CPP AGI"/>
    <m/>
    <m/>
    <s v="4"/>
    <m/>
    <s v="4"/>
    <m/>
    <s v="PS5 - TZA - PS5 - Tanzania"/>
    <s v="PS5-60-60 - Fuel Conditioning Module PS5-60-UZ-8900C"/>
    <d v="2026-07-11T13:38:21"/>
    <s v="PS5-60-60"/>
    <x v="1"/>
    <x v="0"/>
    <s v="LV Power Cable"/>
    <s v="E"/>
    <x v="1"/>
    <s v="PS5 - Milestone D"/>
    <s v="TM-00233"/>
    <s v="Gawad, Mohamed"/>
    <m/>
  </r>
  <r>
    <s v="T-00233-10895"/>
    <s v="PS5-60-BE-0007C-CL03"/>
    <m/>
    <m/>
    <m/>
    <m/>
    <x v="11"/>
    <s v="PCOM - Precommissioning"/>
    <s v="E"/>
    <x v="1"/>
    <x v="0"/>
    <s v="Cable FROM PS5-60-IN-0002C TO PS5-60-BE-0007C"/>
    <s v="EACOP"/>
    <s v="CPP AGI"/>
    <m/>
    <m/>
    <s v="4"/>
    <m/>
    <s v="4"/>
    <m/>
    <s v="PS5 - TZA - PS5 - Tanzania"/>
    <s v="PS5-60-60 - Fuel Conditioning Module PS5-60-UZ-8900C"/>
    <d v="2026-07-11T13:40:06"/>
    <s v="PS5-60-60"/>
    <x v="1"/>
    <x v="0"/>
    <s v="LV Power Cable"/>
    <s v="E"/>
    <x v="1"/>
    <s v="PS5 - Milestone D"/>
    <s v="TM-00233"/>
    <s v="Gawad, Mohamed"/>
    <m/>
  </r>
  <r>
    <s v="T-00233-10896"/>
    <s v="PS5-60-BE-0007D-CL02"/>
    <m/>
    <m/>
    <m/>
    <m/>
    <x v="11"/>
    <s v="PCOM - Precommissioning"/>
    <s v="E"/>
    <x v="1"/>
    <x v="0"/>
    <s v="Cable FROM PS5-60-IN-0002D TO PS5-60-BE-0007D"/>
    <s v="EACOP"/>
    <s v="CPP AGI"/>
    <m/>
    <m/>
    <s v="4"/>
    <m/>
    <s v="4"/>
    <m/>
    <s v="PS5 - TZA - PS5 - Tanzania"/>
    <s v="PS5-60-62 - Fuel Conditioning Module PS5-60-UZ-8900D"/>
    <d v="2026-06-11T05:18:43"/>
    <s v="PS5-60-62"/>
    <x v="1"/>
    <x v="0"/>
    <s v="LV Power Cable"/>
    <s v="E"/>
    <x v="1"/>
    <s v="PS5 - Milestone D"/>
    <s v="TM-00233"/>
    <s v="Gawad, Mohamed"/>
    <m/>
  </r>
  <r>
    <s v="T-00233-10897"/>
    <s v="PS5-60-BE-0007D-CL03"/>
    <m/>
    <m/>
    <m/>
    <m/>
    <x v="11"/>
    <s v="PCOM - Precommissioning"/>
    <s v="E"/>
    <x v="1"/>
    <x v="0"/>
    <s v="Cable FROM PS5-60-IN-0002D TO PS5-60-BE-0007D"/>
    <s v="EACOP"/>
    <s v="CPP AGI"/>
    <m/>
    <m/>
    <s v="4"/>
    <m/>
    <s v="4"/>
    <m/>
    <s v="PS5 - TZA - PS5 - Tanzania"/>
    <s v="PS5-60-62 - Fuel Conditioning Module PS5-60-UZ-8900D"/>
    <d v="2026-06-11T05:19:14"/>
    <s v="PS5-60-62"/>
    <x v="1"/>
    <x v="0"/>
    <s v="LV Power Cable"/>
    <s v="E"/>
    <x v="1"/>
    <s v="PS5 - Milestone D"/>
    <s v="TM-00233"/>
    <s v="Gawad, Mohamed"/>
    <m/>
  </r>
  <r>
    <s v="T-00233-10904"/>
    <s v="PS5-60-ISO-62800A-CL01"/>
    <m/>
    <m/>
    <m/>
    <m/>
    <x v="11"/>
    <s v="PCOM - Precommissioning"/>
    <s v="E"/>
    <x v="1"/>
    <x v="0"/>
    <s v="Cable FROM PS5-60-IH-0001A TO PS5-60-ISO-62800A"/>
    <s v="EACOP"/>
    <s v="CPP AGI"/>
    <m/>
    <m/>
    <s v="4"/>
    <m/>
    <s v="4"/>
    <m/>
    <s v="PS5 - TZA - PS5 - Tanzania"/>
    <s v="PS5-60-03 - Power Gen Package A Generator Auxiliary MCCs &amp; DBs"/>
    <d v="2026-07-11T08:47:57"/>
    <s v="PS5-60-03"/>
    <x v="0"/>
    <x v="0"/>
    <s v="LV Power Cable"/>
    <s v="E"/>
    <x v="1"/>
    <s v="PS5 - Milestone B"/>
    <s v="TM-00233"/>
    <s v="Gawad, Mohamed"/>
    <m/>
  </r>
  <r>
    <s v="T-00233-10905"/>
    <s v="PS5-60-ISO-62800C-CL01"/>
    <m/>
    <m/>
    <m/>
    <m/>
    <x v="11"/>
    <s v="PCOM - Precommissioning"/>
    <s v="E"/>
    <x v="1"/>
    <x v="0"/>
    <s v="Cable FROM PS5-60-IH-0001C TO PS5-60-ISO-62800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233"/>
    <m/>
    <m/>
  </r>
  <r>
    <s v="T-00233-11253"/>
    <s v="PS5-71-BE-0001A-CL01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4"/>
    <s v="PS5-71-BE-0001A-CL02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5"/>
    <s v="PS5-71-BE-0001A-CL03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6"/>
    <s v="PS5-71-BE-0001A-CL04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7"/>
    <s v="PS5-71-BE-0001A-CL05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8"/>
    <s v="PS5-71-BE-0001A-CL06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59"/>
    <s v="PS5-71-BE-0001A-CL07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0"/>
    <s v="PS5-71-BE-0001A-CL08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1"/>
    <s v="PS5-71-BE-0001A-CL09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2"/>
    <s v="PS5-71-BE-0001A-CL10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3"/>
    <s v="PS5-71-BE-0001A-CL11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4"/>
    <s v="PS5-71-BE-0001A-CL12"/>
    <m/>
    <m/>
    <m/>
    <m/>
    <x v="11"/>
    <s v="PCOM - Precommissioning"/>
    <s v="E"/>
    <x v="1"/>
    <x v="0"/>
    <s v="Cable FROM PS5-71-IN-0004A TO PS5-71-BE-0001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5"/>
    <s v="PS5-71-BE-0001B-CL01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6"/>
    <s v="PS5-71-BE-0001B-CL02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7"/>
    <s v="PS5-71-BE-0001B-CL03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8"/>
    <s v="PS5-71-BE-0001B-CL04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69"/>
    <s v="PS5-71-BE-0001B-CL05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0"/>
    <s v="PS5-71-BE-0001B-CL06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1"/>
    <s v="PS5-71-BE-0001B-CL07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2"/>
    <s v="PS5-71-BE-0001B-CL08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3"/>
    <s v="PS5-71-BE-0001B-CL09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4"/>
    <s v="PS5-71-BE-0001B-CL10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5"/>
    <s v="PS5-71-BE-0001B-CL11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11276"/>
    <s v="PS5-71-BE-0001B-CL12"/>
    <m/>
    <m/>
    <m/>
    <m/>
    <x v="11"/>
    <s v="PCOM - Precommissioning"/>
    <s v="E"/>
    <x v="1"/>
    <x v="0"/>
    <s v="Cable FROM PS5-71-IN-0004B TO PS5-71-BE-0001B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m/>
  </r>
  <r>
    <s v="T-00233-4725"/>
    <s v="PS5-03-SEA-0003-CL01"/>
    <m/>
    <m/>
    <m/>
    <m/>
    <x v="11"/>
    <s v="PCOM - Precommissioning"/>
    <s v="E"/>
    <x v="1"/>
    <x v="0"/>
    <s v="Cable FROM PS5-06-IG-0004A TO PS5-03-SEA-0003"/>
    <s v="EACOP"/>
    <s v="CPP AGI"/>
    <m/>
    <m/>
    <s v="4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233"/>
    <m/>
    <s v="TZ-MID-68-WPR2-150101"/>
  </r>
  <r>
    <s v="T-00233-4978"/>
    <s v="PS5-60-BE-0001-CL01"/>
    <m/>
    <m/>
    <m/>
    <m/>
    <x v="11"/>
    <s v="PCOM - Precommissioning"/>
    <s v="E"/>
    <x v="1"/>
    <x v="0"/>
    <s v="Cable FROM PS5-60-IH-0002 TO PS5-60-BE-0001"/>
    <s v="EACOP"/>
    <s v="CPP AGI"/>
    <m/>
    <m/>
    <s v="4"/>
    <m/>
    <m/>
    <s v="TZ-MID-68-WPR2-150101"/>
    <s v="PS5 - TZA - PS5 - Tanzania"/>
    <s v="PS5-60-27 - Compressed Air Starting Skid"/>
    <d v="2026-06-27T09:26:35"/>
    <s v="PS5-60-27"/>
    <x v="0"/>
    <x v="0"/>
    <s v="LV Power Cable"/>
    <s v="E"/>
    <x v="1"/>
    <s v="PS5 - Milestone B"/>
    <s v="TM-00233"/>
    <s v="Gawad, Mohamed"/>
    <s v="TZ-MID-68-WPR2-150101"/>
  </r>
  <r>
    <s v="T-00233-4979"/>
    <s v="PS5-60-BE-0001-CL02"/>
    <m/>
    <m/>
    <m/>
    <m/>
    <x v="11"/>
    <s v="PCOM - Precommissioning"/>
    <s v="E"/>
    <x v="1"/>
    <x v="0"/>
    <s v="Cable FROM PS5-60-IH-0002 TO PS5-60-BE-0001"/>
    <s v="EACOP"/>
    <s v="CPP AGI"/>
    <m/>
    <m/>
    <s v="4"/>
    <m/>
    <m/>
    <s v="TZ-MID-68-WPR2-150101"/>
    <s v="PS5 - TZA - PS5 - Tanzania"/>
    <s v="PS5-60-27 - Compressed Air Starting Skid"/>
    <d v="2026-06-27T09:27:46"/>
    <s v="PS5-60-27"/>
    <x v="0"/>
    <x v="0"/>
    <s v="LV Power Cable"/>
    <s v="E"/>
    <x v="1"/>
    <s v="PS5 - Milestone B"/>
    <s v="TM-00233"/>
    <s v="Gawad, Mohamed"/>
    <s v="TZ-MID-68-WPR2-150101"/>
  </r>
  <r>
    <s v="T-00233-4981"/>
    <s v="PS5-60-BE-0001-CL04"/>
    <m/>
    <m/>
    <m/>
    <m/>
    <x v="11"/>
    <s v="PCOM - Precommissioning"/>
    <s v="E"/>
    <x v="1"/>
    <x v="0"/>
    <s v="Cable FROM PS5-06-IG-0004B TO PS5-60-BE-0001"/>
    <s v="EACOP"/>
    <s v="CPP AGI"/>
    <m/>
    <m/>
    <s v="4"/>
    <m/>
    <m/>
    <s v="TZ-MID-68-WPR2-150101"/>
    <s v="PS5 - TZA - PS5 - Tanzania"/>
    <s v="PS5-60-27 - Compressed Air Starting Skid"/>
    <d v="2026-06-27T08:44:02"/>
    <s v="PS5-60-27"/>
    <x v="0"/>
    <x v="0"/>
    <s v="LV Power Cable"/>
    <s v="E"/>
    <x v="1"/>
    <s v="PS5 - Milestone B"/>
    <s v="TM-00233"/>
    <s v="Gawad, Mohamed"/>
    <s v="TZ-MID-68-WPR2-150101"/>
  </r>
  <r>
    <s v="T-00233-4982"/>
    <s v="PS5-60-BE-0002-CL01"/>
    <m/>
    <m/>
    <m/>
    <m/>
    <x v="11"/>
    <s v="PCOM - Precommissioning"/>
    <s v="E"/>
    <x v="1"/>
    <x v="0"/>
    <s v="Cable FROM PS5-60-IH-0002 TO PS5-60-BE-0002"/>
    <s v="EACOP"/>
    <s v="CPP AGI"/>
    <m/>
    <m/>
    <s v="4"/>
    <m/>
    <m/>
    <s v="TZ-MID-68-WPR2-150101"/>
    <s v="PS5 - TZA - PS5 - Tanzania"/>
    <s v="PS5-60-26 - Instrument Air Compressor Skid"/>
    <d v="2026-06-27T08:53:14"/>
    <s v="PS5-60-26"/>
    <x v="0"/>
    <x v="0"/>
    <s v="LV Power Cable"/>
    <s v="E"/>
    <x v="1"/>
    <s v="PS5 - Milestone B"/>
    <s v="TM-00233"/>
    <s v="Gawad, Mohamed"/>
    <s v="TZ-MID-68-WPR2-150101"/>
  </r>
  <r>
    <s v="T-00233-4983"/>
    <s v="PS5-60-BE-0002-CL02"/>
    <m/>
    <m/>
    <m/>
    <m/>
    <x v="11"/>
    <s v="PCOM - Precommissioning"/>
    <s v="E"/>
    <x v="1"/>
    <x v="0"/>
    <s v="Cable FROM PS5-60-IH-0002 TO PS5-60-BE-0002"/>
    <s v="EACOP"/>
    <s v="CPP AGI"/>
    <m/>
    <m/>
    <s v="4"/>
    <m/>
    <m/>
    <s v="TZ-MID-68-WPR2-150101"/>
    <s v="PS5 - TZA - PS5 - Tanzania"/>
    <s v="PS5-60-26 - Instrument Air Compressor Skid"/>
    <d v="2026-06-27T08:54:52"/>
    <s v="PS5-60-26"/>
    <x v="0"/>
    <x v="0"/>
    <s v="LV Power Cable"/>
    <s v="E"/>
    <x v="1"/>
    <s v="PS5 - Milestone B"/>
    <s v="TM-00233"/>
    <s v="Gawad, Mohamed"/>
    <s v="TZ-MID-68-WPR2-150101"/>
  </r>
  <r>
    <s v="T-00233-4984"/>
    <s v="PS5-60-BE-0002-CL03"/>
    <m/>
    <m/>
    <m/>
    <m/>
    <x v="11"/>
    <s v="PCOM - Precommissioning"/>
    <s v="E"/>
    <x v="1"/>
    <x v="0"/>
    <s v="Cable FROM PS5-60-IH-0002 TO PS5-60-BE-0002"/>
    <s v="EACOP"/>
    <s v="CPP AGI"/>
    <m/>
    <m/>
    <s v="4"/>
    <m/>
    <m/>
    <s v="TZ-MID-68-WPR2-150101"/>
    <s v="PS5 - TZA - PS5 - Tanzania"/>
    <s v="PS5-60-26 - Instrument Air Compressor Skid"/>
    <d v="2026-06-27T09:28:56"/>
    <s v="PS5-60-26"/>
    <x v="0"/>
    <x v="0"/>
    <s v="LV Power Cable"/>
    <s v="E"/>
    <x v="1"/>
    <s v="PS5 - Milestone B"/>
    <s v="TM-00233"/>
    <s v="Gawad, Mohamed"/>
    <s v="TZ-MID-68-WPR2-150101"/>
  </r>
  <r>
    <s v="T-00233-4986"/>
    <s v="PS5-60-BE-0002-CL05"/>
    <m/>
    <m/>
    <m/>
    <m/>
    <x v="11"/>
    <s v="PCOM - Precommissioning"/>
    <s v="E"/>
    <x v="1"/>
    <x v="0"/>
    <s v="Cable FROM PS5-06-IG-0004B TO PS5-60-BE-0002"/>
    <s v="EACOP"/>
    <s v="CPP AGI"/>
    <m/>
    <m/>
    <s v="4"/>
    <m/>
    <m/>
    <s v="TZ-MID-68-WPR2-150101"/>
    <s v="PS5 - TZA - PS5 - Tanzania"/>
    <s v="PS5-60-26 - Instrument Air Compressor Skid"/>
    <d v="2026-06-27T08:51:37"/>
    <s v="PS5-60-26"/>
    <x v="0"/>
    <x v="0"/>
    <s v="LV Power Cable"/>
    <s v="E"/>
    <x v="1"/>
    <s v="PS5 - Milestone B"/>
    <s v="TM-00233"/>
    <s v="Gawad, Mohamed"/>
    <s v="TZ-MID-68-WPR2-150101"/>
  </r>
  <r>
    <s v="T-00233-4987"/>
    <s v="PS5-60-BE-0003A-CL01"/>
    <m/>
    <m/>
    <m/>
    <m/>
    <x v="11"/>
    <s v="PCOM - Precommissioning"/>
    <s v="E"/>
    <x v="1"/>
    <x v="0"/>
    <s v="Cable FROM PS5-60-IH-0001A TO PS5-60-BE-0003A"/>
    <s v="EACOP"/>
    <s v="CPP AGI"/>
    <m/>
    <m/>
    <s v="4"/>
    <m/>
    <m/>
    <s v="TZ-MID-68-WPR2-150101"/>
    <s v="PS5 - TZA - PS5 - Tanzania"/>
    <s v="PS5-60-01 - Power Generation Package A"/>
    <d v="2026-06-19T04:41:09"/>
    <s v="PS5-60-01"/>
    <x v="0"/>
    <x v="0"/>
    <s v="LV Power Cable"/>
    <s v="E"/>
    <x v="1"/>
    <s v="PS5 - Milestone B"/>
    <s v="TM-00233"/>
    <s v="Gawad, Mohamed"/>
    <s v="TZ-MID-68-WPR2-150101"/>
  </r>
  <r>
    <s v="T-00233-4988"/>
    <s v="PS5-60-BE-0003B-CL01"/>
    <m/>
    <m/>
    <m/>
    <m/>
    <x v="11"/>
    <s v="PCOM - Precommissioning"/>
    <s v="E"/>
    <x v="1"/>
    <x v="0"/>
    <s v="Cable FROM PS5-60-IH-0001B TO PS5-60-BE-0003B"/>
    <s v="EACOP"/>
    <s v="CPP AGI"/>
    <m/>
    <m/>
    <s v="4"/>
    <m/>
    <m/>
    <s v="TZ-MID-68-WPR2-150101"/>
    <s v="PS5 - TZA - PS5 - Tanzania"/>
    <s v="PS5-60-04 - Power Generation Package B"/>
    <d v="2026-06-19T04:41:34"/>
    <s v="PS5-60-04"/>
    <x v="0"/>
    <x v="0"/>
    <s v="LV Power Cable"/>
    <s v="E"/>
    <x v="1"/>
    <s v="PS5 - Milestone B"/>
    <s v="TM-00233"/>
    <s v="Gawad, Mohamed"/>
    <s v="TZ-MID-68-WPR2-150101"/>
  </r>
  <r>
    <s v="T-00233-4989"/>
    <s v="PS5-60-BE-0003C-CL01"/>
    <m/>
    <m/>
    <m/>
    <m/>
    <x v="11"/>
    <s v="PCOM - Precommissioning"/>
    <s v="E"/>
    <x v="1"/>
    <x v="0"/>
    <s v="Cable FROM PS5-60-IH-0001C TO PS5-60-B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4990"/>
    <s v="PS5-60-BE-0003D-CL01"/>
    <m/>
    <m/>
    <m/>
    <m/>
    <x v="11"/>
    <s v="PCOM - Precommissioning"/>
    <s v="E"/>
    <x v="1"/>
    <x v="0"/>
    <s v="Cable FROM PS5-60-IH-0001D TO PS5-60-B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4994"/>
    <s v="PS5-60-BE-0004A-CL01"/>
    <m/>
    <m/>
    <m/>
    <m/>
    <x v="11"/>
    <s v="PCOM - Precommissioning"/>
    <s v="E"/>
    <x v="1"/>
    <x v="0"/>
    <s v="Cable FROM PS5-60-IH-0001A TO PS5-60-BE-0004A"/>
    <s v="EACOP"/>
    <s v="CPP AGI"/>
    <m/>
    <m/>
    <s v="4"/>
    <m/>
    <m/>
    <s v="TZ-MID-68-WPR2-150101"/>
    <s v="PS5 - TZA - PS5 - Tanzania"/>
    <s v="PS5-60-49 - Lube Oil Separator Module PS5-60-UO-81100A"/>
    <m/>
    <s v="PS5-60-49"/>
    <x v="0"/>
    <x v="0"/>
    <s v="LV Power Cable"/>
    <s v="E"/>
    <x v="0"/>
    <s v="PS5 - Milestone B"/>
    <s v="TM-00233"/>
    <m/>
    <s v="TZ-MID-68-WPR2-150101"/>
  </r>
  <r>
    <s v="T-00233-4995"/>
    <s v="PS5-60-BE-0004B-CL01"/>
    <m/>
    <m/>
    <m/>
    <m/>
    <x v="11"/>
    <s v="PCOM - Precommissioning"/>
    <s v="E"/>
    <x v="1"/>
    <x v="0"/>
    <s v="Cable FROM PS5-60-IH-0001B TO PS5-60-BE-0004B"/>
    <s v="EACOP"/>
    <s v="CPP AGI"/>
    <m/>
    <m/>
    <s v="4"/>
    <m/>
    <m/>
    <s v="TZ-MID-68-WPR2-150101"/>
    <s v="PS5 - TZA - PS5 - Tanzania"/>
    <s v="PS5-60-50 - Lube Oil Separator Module PS5-60-UO-81100B"/>
    <m/>
    <s v="PS5-60-50"/>
    <x v="0"/>
    <x v="0"/>
    <s v="LV Power Cable"/>
    <s v="E"/>
    <x v="0"/>
    <s v="PS5 - Milestone B"/>
    <s v="TM-00233"/>
    <m/>
    <s v="TZ-MID-68-WPR2-150101"/>
  </r>
  <r>
    <s v="T-00233-4996"/>
    <s v="PS5-60-BE-0004C-CL01"/>
    <m/>
    <m/>
    <m/>
    <m/>
    <x v="11"/>
    <s v="PCOM - Precommissioning"/>
    <s v="E"/>
    <x v="1"/>
    <x v="0"/>
    <s v="Cable FROM PS5-60-IH-0001C TO PS5-60-BE-0004C"/>
    <s v="EACOP"/>
    <s v="CPP AGI"/>
    <m/>
    <m/>
    <s v="4"/>
    <m/>
    <m/>
    <s v="TZ-MID-68-WPR2-150101"/>
    <s v="PS5 - TZA - PS5 - Tanzania"/>
    <s v="PS5-60-51 - Lube Oil Separator Module PS5-60-UO-81100C"/>
    <m/>
    <s v="PS5-60-51"/>
    <x v="1"/>
    <x v="0"/>
    <s v="LV Power Cable"/>
    <s v="E"/>
    <x v="0"/>
    <s v="PS5 - Milestone D"/>
    <s v="TM-00233"/>
    <m/>
    <s v="TZ-MID-68-WPR2-150101"/>
  </r>
  <r>
    <s v="T-00233-4997"/>
    <s v="PS5-60-BE-0004D-CL01"/>
    <m/>
    <m/>
    <m/>
    <m/>
    <x v="11"/>
    <s v="PCOM - Precommissioning"/>
    <s v="E"/>
    <x v="1"/>
    <x v="0"/>
    <s v="Cable FROM PS5-60-IH-0001D TO PS5-60-BE-0004D"/>
    <s v="EACOP"/>
    <s v="CPP AGI"/>
    <m/>
    <m/>
    <s v="4"/>
    <m/>
    <m/>
    <s v="TZ-MID-68-WPR2-150101"/>
    <s v="PS5 - TZA - PS5 - Tanzania"/>
    <s v="PS5-60-52 - Lube Oil Separator Module PS5-60-UO-81100D"/>
    <m/>
    <s v="PS5-60-52"/>
    <x v="1"/>
    <x v="0"/>
    <s v="LV Power Cable"/>
    <s v="E"/>
    <x v="0"/>
    <s v="PS5 - Milestone D"/>
    <s v="TM-00233"/>
    <m/>
    <s v="TZ-MID-68-WPR2-150101"/>
  </r>
  <r>
    <s v="T-00233-5001"/>
    <s v="PS5-60-BE-0005A-CL01"/>
    <m/>
    <m/>
    <m/>
    <m/>
    <x v="11"/>
    <s v="PCOM - Precommissioning"/>
    <s v="E"/>
    <x v="1"/>
    <x v="0"/>
    <s v="Cable FROM PS5-60-IH-0001A TO PS5-60-BE-0005A"/>
    <s v="EACOP"/>
    <s v="CPP AGI"/>
    <m/>
    <m/>
    <s v="4"/>
    <m/>
    <m/>
    <s v="TZ-MID-68-WPR2-150101"/>
    <s v="PS5 - TZA - PS5 - Tanzania"/>
    <s v="PS5-60-01 - Power Generation Package A"/>
    <d v="2026-06-11T05:19:47"/>
    <s v="PS5-60-01"/>
    <x v="0"/>
    <x v="0"/>
    <s v="LV Power Cable"/>
    <s v="E"/>
    <x v="1"/>
    <s v="PS5 - Milestone B"/>
    <s v="TM-00233"/>
    <s v="Gawad, Mohamed"/>
    <s v="TZ-MID-68-WPR2-150101"/>
  </r>
  <r>
    <s v="T-00233-5002"/>
    <s v="PS5-60-BE-0005B-CL01"/>
    <m/>
    <m/>
    <m/>
    <m/>
    <x v="11"/>
    <s v="PCOM - Precommissioning"/>
    <s v="E"/>
    <x v="1"/>
    <x v="0"/>
    <s v="Cable FROM PS5-60-IH-0001B TO PS5-60-BE-0005B"/>
    <s v="EACOP"/>
    <s v="CPP AGI"/>
    <m/>
    <m/>
    <s v="4"/>
    <m/>
    <m/>
    <s v="TZ-MID-68-WPR2-150101"/>
    <s v="PS5 - TZA - PS5 - Tanzania"/>
    <s v="PS5-60-04 - Power Generation Package B"/>
    <d v="2026-07-04T11:51:33"/>
    <s v="PS5-60-04"/>
    <x v="0"/>
    <x v="0"/>
    <s v="LV Power Cable"/>
    <s v="E"/>
    <x v="1"/>
    <s v="PS5 - Milestone B"/>
    <s v="TM-00233"/>
    <s v="Gawad, Mohamed"/>
    <s v="TZ-MID-68-WPR2-150101"/>
  </r>
  <r>
    <s v="T-00233-5003"/>
    <s v="PS5-60-BE-0005C-CL01"/>
    <m/>
    <m/>
    <m/>
    <m/>
    <x v="11"/>
    <s v="PCOM - Precommissioning"/>
    <s v="E"/>
    <x v="1"/>
    <x v="0"/>
    <s v="Cable FROM PS5-60-IH-0001C TO PS5-60-BE-0005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04"/>
    <s v="PS5-60-BE-0005D-CL01"/>
    <m/>
    <m/>
    <m/>
    <m/>
    <x v="11"/>
    <s v="PCOM - Precommissioning"/>
    <s v="E"/>
    <x v="1"/>
    <x v="0"/>
    <s v="Cable FROM PS5-60-IH-0001D TO PS5-60-BE-0005D"/>
    <s v="EACOP"/>
    <s v="CPP AGI"/>
    <m/>
    <m/>
    <s v="4"/>
    <m/>
    <m/>
    <s v="TZ-MID-68-WPR2-150101"/>
    <s v="PS5 - TZA - PS5 - Tanzania"/>
    <s v="PS5-60-10 - Power Generation Package D"/>
    <d v="2026-06-19T05:12:00"/>
    <s v="PS5-60-10"/>
    <x v="1"/>
    <x v="0"/>
    <s v="LV Power Cable"/>
    <s v="E"/>
    <x v="1"/>
    <s v="PS5 - Milestone D"/>
    <s v="TM-00233"/>
    <s v="Gawad, Mohamed"/>
    <s v="TZ-MID-68-WPR2-150101"/>
  </r>
  <r>
    <s v="T-00233-5008"/>
    <s v="PS5-60-BE-0011A-CL01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6-05T07:47:11"/>
    <s v="PS5-60-01"/>
    <x v="0"/>
    <x v="0"/>
    <s v="LV Power Cable"/>
    <s v="E"/>
    <x v="1"/>
    <s v="PS5 - Milestone B"/>
    <s v="TM-00233"/>
    <s v="Gawad, Mohamed"/>
    <s v="TZ-MID-68-WPR2-150101"/>
  </r>
  <r>
    <s v="T-00233-5009"/>
    <s v="PS5-60-BE-0011A-CL02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6-05T07:49:13"/>
    <s v="PS5-60-01"/>
    <x v="0"/>
    <x v="0"/>
    <s v="LV Power Cable"/>
    <s v="E"/>
    <x v="1"/>
    <s v="PS5 - Milestone B"/>
    <s v="TM-00233"/>
    <s v="Gawad, Mohamed"/>
    <s v="TZ-MID-68-WPR2-150101"/>
  </r>
  <r>
    <s v="T-00233-5010"/>
    <s v="PS5-60-BE-0011A-CL03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7-04T11:52:26"/>
    <s v="PS5-60-01"/>
    <x v="0"/>
    <x v="0"/>
    <s v="LV Power Cable"/>
    <s v="E"/>
    <x v="1"/>
    <s v="PS5 - Milestone B"/>
    <s v="TM-00233"/>
    <s v="Gawad, Mohamed"/>
    <s v="TZ-MID-68-WPR2-150101"/>
  </r>
  <r>
    <s v="T-00233-5011"/>
    <s v="PS5-60-BE-0011A-CL04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6-06T04:41:34"/>
    <s v="PS5-60-01"/>
    <x v="0"/>
    <x v="0"/>
    <s v="LV Power Cable"/>
    <s v="E"/>
    <x v="1"/>
    <s v="PS5 - Milestone B"/>
    <s v="TM-00233"/>
    <s v="Gawad, Mohamed"/>
    <s v="TZ-MID-68-WPR2-150101"/>
  </r>
  <r>
    <s v="T-00233-5012"/>
    <s v="PS5-60-BE-0011A-CL05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7-04T11:53:05"/>
    <s v="PS5-60-01"/>
    <x v="0"/>
    <x v="0"/>
    <s v="LV Power Cable"/>
    <s v="E"/>
    <x v="1"/>
    <s v="PS5 - Milestone B"/>
    <s v="TM-00233"/>
    <s v="Gawad, Mohamed"/>
    <s v="TZ-MID-68-WPR2-150101"/>
  </r>
  <r>
    <s v="T-00233-5013"/>
    <s v="PS5-60-BE-0011A-CL06"/>
    <m/>
    <m/>
    <m/>
    <m/>
    <x v="11"/>
    <s v="PCOM - Precommissioning"/>
    <s v="E"/>
    <x v="1"/>
    <x v="0"/>
    <s v="Cable FROM PS5-60-IH-0001A TO PS5-60-BE-0011A"/>
    <s v="EACOP"/>
    <s v="CPP AGI"/>
    <m/>
    <m/>
    <s v="4"/>
    <m/>
    <m/>
    <s v="TZ-MID-68-WPR2-150101"/>
    <s v="PS5 - TZA - PS5 - Tanzania"/>
    <s v="PS5-60-01 - Power Generation Package A"/>
    <d v="2026-07-04T11:53:46"/>
    <s v="PS5-60-01"/>
    <x v="0"/>
    <x v="0"/>
    <s v="LV Power Cable"/>
    <s v="E"/>
    <x v="1"/>
    <s v="PS5 - Milestone B"/>
    <s v="TM-00233"/>
    <s v="Gawad, Mohamed"/>
    <s v="TZ-MID-68-WPR2-150101"/>
  </r>
  <r>
    <s v="T-00233-5014"/>
    <s v="PS5-60-BE-0011B-CL01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1:54:30"/>
    <s v="PS5-60-01"/>
    <x v="0"/>
    <x v="0"/>
    <s v="LV Power Cable"/>
    <s v="E"/>
    <x v="1"/>
    <s v="PS5 - Milestone B"/>
    <s v="TM-00233"/>
    <s v="Gawad, Mohamed"/>
    <s v="TZ-MID-68-WPR2-150101"/>
  </r>
  <r>
    <s v="T-00233-5015"/>
    <s v="PS5-60-BE-0011B-CL02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1:56:49"/>
    <s v="PS5-60-01"/>
    <x v="0"/>
    <x v="0"/>
    <s v="LV Power Cable"/>
    <s v="E"/>
    <x v="1"/>
    <s v="PS5 - Milestone B"/>
    <s v="TM-00233"/>
    <s v="Gawad, Mohamed"/>
    <s v="TZ-MID-68-WPR2-150101"/>
  </r>
  <r>
    <s v="T-00233-5016"/>
    <s v="PS5-60-BE-0011B-CL03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1:57:49"/>
    <s v="PS5-60-01"/>
    <x v="0"/>
    <x v="0"/>
    <s v="LV Power Cable"/>
    <s v="E"/>
    <x v="1"/>
    <s v="PS5 - Milestone B"/>
    <s v="TM-00233"/>
    <s v="Gawad, Mohamed"/>
    <s v="TZ-MID-68-WPR2-150101"/>
  </r>
  <r>
    <s v="T-00233-5017"/>
    <s v="PS5-60-BE-0011B-CL04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1:58:40"/>
    <s v="PS5-60-01"/>
    <x v="0"/>
    <x v="0"/>
    <s v="LV Power Cable"/>
    <s v="E"/>
    <x v="1"/>
    <s v="PS5 - Milestone B"/>
    <s v="TM-00233"/>
    <s v="Gawad, Mohamed"/>
    <s v="TZ-MID-68-WPR2-150101"/>
  </r>
  <r>
    <s v="T-00233-5018"/>
    <s v="PS5-60-BE-0011B-CL05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1:59:19"/>
    <s v="PS5-60-01"/>
    <x v="0"/>
    <x v="0"/>
    <s v="LV Power Cable"/>
    <s v="E"/>
    <x v="1"/>
    <s v="PS5 - Milestone B"/>
    <s v="TM-00233"/>
    <s v="Gawad, Mohamed"/>
    <s v="TZ-MID-68-WPR2-150101"/>
  </r>
  <r>
    <s v="T-00233-5019"/>
    <s v="PS5-60-BE-0011B-CL06"/>
    <m/>
    <m/>
    <m/>
    <m/>
    <x v="11"/>
    <s v="PCOM - Precommissioning"/>
    <s v="E"/>
    <x v="1"/>
    <x v="0"/>
    <s v="Cable FROM PS5-60-IH-0001A TO PS5-60-BE-0011B"/>
    <s v="EACOP"/>
    <s v="CPP AGI"/>
    <m/>
    <m/>
    <s v="4"/>
    <m/>
    <m/>
    <s v="TZ-MID-68-WPR2-150101"/>
    <s v="PS5 - TZA - PS5 - Tanzania"/>
    <s v="PS5-60-01 - Power Generation Package A"/>
    <d v="2026-07-04T12:00:04"/>
    <s v="PS5-60-01"/>
    <x v="0"/>
    <x v="0"/>
    <s v="LV Power Cable"/>
    <s v="E"/>
    <x v="1"/>
    <s v="PS5 - Milestone B"/>
    <s v="TM-00233"/>
    <s v="Gawad, Mohamed"/>
    <s v="TZ-MID-68-WPR2-150101"/>
  </r>
  <r>
    <s v="T-00233-5020"/>
    <s v="PS5-60-BE-0012A-CL01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0:52"/>
    <s v="PS5-60-04"/>
    <x v="0"/>
    <x v="0"/>
    <s v="LV Power Cable"/>
    <s v="E"/>
    <x v="1"/>
    <s v="PS5 - Milestone B"/>
    <s v="TM-00233"/>
    <s v="Gawad, Mohamed"/>
    <s v="TZ-MID-68-WPR2-150101"/>
  </r>
  <r>
    <s v="T-00233-5021"/>
    <s v="PS5-60-BE-0012A-CL02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1:38"/>
    <s v="PS5-60-04"/>
    <x v="0"/>
    <x v="0"/>
    <s v="LV Power Cable"/>
    <s v="E"/>
    <x v="1"/>
    <s v="PS5 - Milestone B"/>
    <s v="TM-00233"/>
    <s v="Gawad, Mohamed"/>
    <s v="TZ-MID-68-WPR2-150101"/>
  </r>
  <r>
    <s v="T-00233-5022"/>
    <s v="PS5-60-BE-0012A-CL03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2:24"/>
    <s v="PS5-60-04"/>
    <x v="0"/>
    <x v="0"/>
    <s v="LV Power Cable"/>
    <s v="E"/>
    <x v="1"/>
    <s v="PS5 - Milestone B"/>
    <s v="TM-00233"/>
    <s v="Gawad, Mohamed"/>
    <s v="TZ-MID-68-WPR2-150101"/>
  </r>
  <r>
    <s v="T-00233-5023"/>
    <s v="PS5-60-BE-0012A-CL04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3:11"/>
    <s v="PS5-60-04"/>
    <x v="0"/>
    <x v="0"/>
    <s v="LV Power Cable"/>
    <s v="E"/>
    <x v="1"/>
    <s v="PS5 - Milestone B"/>
    <s v="TM-00233"/>
    <s v="Gawad, Mohamed"/>
    <s v="TZ-MID-68-WPR2-150101"/>
  </r>
  <r>
    <s v="T-00233-5024"/>
    <s v="PS5-60-BE-0012A-CL05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3:50"/>
    <s v="PS5-60-04"/>
    <x v="0"/>
    <x v="0"/>
    <s v="LV Power Cable"/>
    <s v="E"/>
    <x v="1"/>
    <s v="PS5 - Milestone B"/>
    <s v="TM-00233"/>
    <s v="Gawad, Mohamed"/>
    <s v="TZ-MID-68-WPR2-150101"/>
  </r>
  <r>
    <s v="T-00233-5025"/>
    <s v="PS5-60-BE-0012A-CL06"/>
    <m/>
    <m/>
    <m/>
    <m/>
    <x v="11"/>
    <s v="PCOM - Precommissioning"/>
    <s v="E"/>
    <x v="1"/>
    <x v="0"/>
    <s v="Cable FROM PS5-60-IH-0001B TO PS5-60-BE-0012A"/>
    <s v="EACOP"/>
    <s v="CPP AGI"/>
    <m/>
    <m/>
    <s v="4"/>
    <m/>
    <m/>
    <s v="TZ-MID-68-WPR2-150101"/>
    <s v="PS5 - TZA - PS5 - Tanzania"/>
    <s v="PS5-60-04 - Power Generation Package B"/>
    <d v="2026-07-04T12:04:42"/>
    <s v="PS5-60-04"/>
    <x v="0"/>
    <x v="0"/>
    <s v="LV Power Cable"/>
    <s v="E"/>
    <x v="1"/>
    <s v="PS5 - Milestone B"/>
    <s v="TM-00233"/>
    <s v="Gawad, Mohamed"/>
    <s v="TZ-MID-68-WPR2-150101"/>
  </r>
  <r>
    <s v="T-00233-5026"/>
    <s v="PS5-60-BE-0012B-CL01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7-04T12:05:25"/>
    <s v="PS5-60-04"/>
    <x v="0"/>
    <x v="0"/>
    <s v="LV Power Cable"/>
    <s v="E"/>
    <x v="1"/>
    <s v="PS5 - Milestone B"/>
    <s v="TM-00233"/>
    <s v="Gawad, Mohamed"/>
    <s v="TZ-MID-68-WPR2-150101"/>
  </r>
  <r>
    <s v="T-00233-5027"/>
    <s v="PS5-60-BE-0012B-CL02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7-04T12:06:20"/>
    <s v="PS5-60-04"/>
    <x v="0"/>
    <x v="0"/>
    <s v="LV Power Cable"/>
    <s v="E"/>
    <x v="1"/>
    <s v="PS5 - Milestone B"/>
    <s v="TM-00233"/>
    <s v="Gawad, Mohamed"/>
    <s v="TZ-MID-68-WPR2-150101"/>
  </r>
  <r>
    <s v="T-00233-5028"/>
    <s v="PS5-60-BE-0012B-CL03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7-04T12:07:03"/>
    <s v="PS5-60-04"/>
    <x v="0"/>
    <x v="0"/>
    <s v="LV Power Cable"/>
    <s v="E"/>
    <x v="1"/>
    <s v="PS5 - Milestone B"/>
    <s v="TM-00233"/>
    <s v="Gawad, Mohamed"/>
    <s v="TZ-MID-68-WPR2-150101"/>
  </r>
  <r>
    <s v="T-00233-5029"/>
    <s v="PS5-60-BE-0012B-CL04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7-04T12:07:56"/>
    <s v="PS5-60-04"/>
    <x v="0"/>
    <x v="0"/>
    <s v="LV Power Cable"/>
    <s v="E"/>
    <x v="1"/>
    <s v="PS5 - Milestone B"/>
    <s v="TM-00233"/>
    <s v="Gawad, Mohamed"/>
    <s v="TZ-MID-68-WPR2-150101"/>
  </r>
  <r>
    <s v="T-00233-5030"/>
    <s v="PS5-60-BE-0012B-CL05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7-04T12:08:45"/>
    <s v="PS5-60-04"/>
    <x v="0"/>
    <x v="0"/>
    <s v="LV Power Cable"/>
    <s v="E"/>
    <x v="1"/>
    <s v="PS5 - Milestone B"/>
    <s v="TM-00233"/>
    <s v="Gawad, Mohamed"/>
    <s v="TZ-MID-68-WPR2-150101"/>
  </r>
  <r>
    <s v="T-00233-5031"/>
    <s v="PS5-60-BE-0012B-CL06"/>
    <m/>
    <m/>
    <m/>
    <m/>
    <x v="11"/>
    <s v="PCOM - Precommissioning"/>
    <s v="E"/>
    <x v="1"/>
    <x v="0"/>
    <s v="Cable FROM PS5-60-IH-0001B TO PS5-60-BE-0012B"/>
    <s v="EACOP"/>
    <s v="CPP AGI"/>
    <m/>
    <m/>
    <s v="4"/>
    <m/>
    <m/>
    <s v="TZ-MID-68-WPR2-150101"/>
    <s v="PS5 - TZA - PS5 - Tanzania"/>
    <s v="PS5-60-04 - Power Generation Package B"/>
    <d v="2026-06-19T04:42:55"/>
    <s v="PS5-60-04"/>
    <x v="0"/>
    <x v="0"/>
    <s v="LV Power Cable"/>
    <s v="E"/>
    <x v="1"/>
    <s v="PS5 - Milestone B"/>
    <s v="TM-00233"/>
    <s v="Gawad, Mohamed"/>
    <s v="TZ-MID-68-WPR2-150101"/>
  </r>
  <r>
    <s v="T-00233-5032"/>
    <s v="PS5-60-BE-0013A-CL01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3"/>
    <s v="PS5-60-BE-0013A-CL02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4"/>
    <s v="PS5-60-BE-0013A-CL03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5"/>
    <s v="PS5-60-BE-0013A-CL04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6"/>
    <s v="PS5-60-BE-0013A-CL05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7"/>
    <s v="PS5-60-BE-0013A-CL06"/>
    <m/>
    <m/>
    <m/>
    <m/>
    <x v="11"/>
    <s v="PCOM - Precommissioning"/>
    <s v="E"/>
    <x v="1"/>
    <x v="0"/>
    <s v="Cable FROM PS5-60-IH-0001C TO PS5-60-BE-0013A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8"/>
    <s v="PS5-60-BE-0013B-CL01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39"/>
    <s v="PS5-60-BE-0013B-CL02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40"/>
    <s v="PS5-60-BE-0013B-CL03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41"/>
    <s v="PS5-60-BE-0013B-CL04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42"/>
    <s v="PS5-60-BE-0013B-CL05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43"/>
    <s v="PS5-60-BE-0013B-CL06"/>
    <m/>
    <m/>
    <m/>
    <m/>
    <x v="11"/>
    <s v="PCOM - Precommissioning"/>
    <s v="E"/>
    <x v="1"/>
    <x v="0"/>
    <s v="Cable FROM PS5-60-IH-0001C TO PS5-60-BE-0013B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044"/>
    <s v="PS5-60-BE-0014A-CL01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45"/>
    <s v="PS5-60-BE-0014A-CL02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46"/>
    <s v="PS5-60-BE-0014A-CL03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47"/>
    <s v="PS5-60-BE-0014A-CL04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48"/>
    <s v="PS5-60-BE-0014A-CL05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49"/>
    <s v="PS5-60-BE-0014A-CL06"/>
    <m/>
    <m/>
    <m/>
    <m/>
    <x v="11"/>
    <s v="PCOM - Precommissioning"/>
    <s v="E"/>
    <x v="1"/>
    <x v="0"/>
    <s v="Cable FROM PS5-60-IH-0001D TO PS5-60-BE-0014A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0"/>
    <s v="PS5-60-BE-0014B-CL01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1"/>
    <s v="PS5-60-BE-0014B-CL02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2"/>
    <s v="PS5-60-BE-0014B-CL03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3"/>
    <s v="PS5-60-BE-0014B-CL04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4"/>
    <s v="PS5-60-BE-0014B-CL05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55"/>
    <s v="PS5-60-BE-0014B-CL06"/>
    <m/>
    <m/>
    <m/>
    <m/>
    <x v="11"/>
    <s v="PCOM - Precommissioning"/>
    <s v="E"/>
    <x v="1"/>
    <x v="0"/>
    <s v="Cable FROM PS5-60-IH-0001D TO PS5-60-BE-0014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092"/>
    <s v="PS5-60-BE-0021A-CL01"/>
    <m/>
    <m/>
    <m/>
    <m/>
    <x v="11"/>
    <s v="PCOM - Precommissioning"/>
    <s v="E"/>
    <x v="1"/>
    <x v="0"/>
    <s v="Cable FROM PS5-60-IH-0002 TO PS5-60-BE-0021A"/>
    <s v="EACOP"/>
    <s v="CPP AGI"/>
    <m/>
    <m/>
    <s v="4"/>
    <m/>
    <m/>
    <s v="TZ-MID-68-WPR2-150101"/>
    <s v="PS5 - TZA - PS5 - Tanzania"/>
    <s v="PS5-60-22 - Power Gen Master UCP"/>
    <d v="2026-06-06T04:42:14"/>
    <s v="PS5-60-22"/>
    <x v="0"/>
    <x v="0"/>
    <s v="LV Power Cable"/>
    <s v="E"/>
    <x v="1"/>
    <s v="PS5 - Milestone B"/>
    <s v="TM-00233"/>
    <s v="Gawad, Mohamed"/>
    <s v="TZ-MID-68-WPR2-150101"/>
  </r>
  <r>
    <s v="T-00233-5093"/>
    <s v="PS5-60-BE-0021B-CL01"/>
    <m/>
    <m/>
    <m/>
    <m/>
    <x v="11"/>
    <s v="PCOM - Precommissioning"/>
    <s v="E"/>
    <x v="1"/>
    <x v="0"/>
    <s v="Cable FROM PS5-60-IH-0002 TO PS5-60-BE-0021B"/>
    <s v="EACOP"/>
    <s v="CPP AGI"/>
    <m/>
    <m/>
    <s v="4"/>
    <m/>
    <m/>
    <s v="TZ-MID-68-WPR2-150101"/>
    <s v="PS5 - TZA - PS5 - Tanzania"/>
    <s v="PS5-60-22 - Power Gen Master UCP"/>
    <d v="2026-06-19T08:28:41"/>
    <s v="PS5-60-22"/>
    <x v="0"/>
    <x v="0"/>
    <s v="LV Power Cable"/>
    <s v="E"/>
    <x v="1"/>
    <s v="PS5 - Milestone B"/>
    <s v="TM-00233"/>
    <s v="Gawad, Mohamed"/>
    <s v="TZ-MID-68-WPR2-150101"/>
  </r>
  <r>
    <s v="T-00233-5094"/>
    <s v="PS5-60-BE-0024A-CL01"/>
    <m/>
    <m/>
    <m/>
    <m/>
    <x v="11"/>
    <s v="PCOM - Precommissioning"/>
    <s v="E"/>
    <x v="1"/>
    <x v="0"/>
    <s v="Cable FROM PS5-60-IH-0001A TO PS5-60-BE-0024A"/>
    <s v="EACOP"/>
    <s v="CPP AGI"/>
    <m/>
    <m/>
    <s v="4"/>
    <m/>
    <m/>
    <s v="TZ-MID-68-WPR2-150101"/>
    <s v="PS5 - TZA - PS5 - Tanzania"/>
    <s v="PS5-60-35 - Injector Tip Cooling Module A"/>
    <d v="2026-06-11T10:41:19"/>
    <s v="PS5-60-35"/>
    <x v="0"/>
    <x v="0"/>
    <s v="LV Power Cable"/>
    <s v="E"/>
    <x v="1"/>
    <s v="PS5 - Milestone B"/>
    <s v="TM-00233"/>
    <s v="Gawad, Mohamed"/>
    <s v="TZ-MID-68-WPR2-150101"/>
  </r>
  <r>
    <s v="T-00233-5095"/>
    <s v="PS5-60-BE-0024A-CL02"/>
    <m/>
    <m/>
    <m/>
    <m/>
    <x v="11"/>
    <s v="PCOM - Precommissioning"/>
    <s v="E"/>
    <x v="1"/>
    <x v="0"/>
    <s v="Cable FROM PS5-60-IH-0001A TO PS5-60-BE-0024A"/>
    <s v="EACOP"/>
    <s v="CPP AGI"/>
    <m/>
    <m/>
    <s v="4"/>
    <m/>
    <m/>
    <s v="TZ-MID-68-WPR2-150101"/>
    <s v="PS5 - TZA - PS5 - Tanzania"/>
    <s v="PS5-60-35 - Injector Tip Cooling Module A"/>
    <d v="2026-06-11T10:42:09"/>
    <s v="PS5-60-35"/>
    <x v="0"/>
    <x v="0"/>
    <s v="LV Power Cable"/>
    <s v="E"/>
    <x v="1"/>
    <s v="PS5 - Milestone B"/>
    <s v="TM-00233"/>
    <s v="Gawad, Mohamed"/>
    <s v="TZ-MID-68-WPR2-150101"/>
  </r>
  <r>
    <s v="T-00233-5096"/>
    <s v="PS5-60-BE-0024B-CL01"/>
    <m/>
    <m/>
    <m/>
    <m/>
    <x v="11"/>
    <s v="PCOM - Precommissioning"/>
    <s v="E"/>
    <x v="1"/>
    <x v="0"/>
    <s v="Cable FROM PS5-60-IH-0001B TO PS5-60-BE-0024B"/>
    <s v="EACOP"/>
    <s v="CPP AGI"/>
    <m/>
    <m/>
    <s v="4"/>
    <m/>
    <m/>
    <s v="TZ-MID-68-WPR2-150101"/>
    <s v="PS5 - TZA - PS5 - Tanzania"/>
    <s v="PS5-60-36 - Injector Tip Cooling Module B"/>
    <d v="2026-06-11T10:42:39"/>
    <s v="PS5-60-36"/>
    <x v="0"/>
    <x v="0"/>
    <s v="LV Power Cable"/>
    <s v="E"/>
    <x v="1"/>
    <s v="PS5 - Milestone B"/>
    <s v="TM-00233"/>
    <s v="Gawad, Mohamed"/>
    <s v="TZ-MID-68-WPR2-150101"/>
  </r>
  <r>
    <s v="T-00233-5097"/>
    <s v="PS5-60-BE-0024B-CL02"/>
    <m/>
    <m/>
    <m/>
    <m/>
    <x v="11"/>
    <s v="PCOM - Precommissioning"/>
    <s v="E"/>
    <x v="1"/>
    <x v="0"/>
    <s v="Cable FROM PS5-60-IH-0001B TO PS5-60-BE-0024B"/>
    <s v="EACOP"/>
    <s v="CPP AGI"/>
    <m/>
    <m/>
    <s v="4"/>
    <m/>
    <m/>
    <s v="TZ-MID-68-WPR2-150101"/>
    <s v="PS5 - TZA - PS5 - Tanzania"/>
    <s v="PS5-60-36 - Injector Tip Cooling Module B"/>
    <d v="2026-06-11T10:43:14"/>
    <s v="PS5-60-36"/>
    <x v="0"/>
    <x v="0"/>
    <s v="LV Power Cable"/>
    <s v="E"/>
    <x v="1"/>
    <s v="PS5 - Milestone B"/>
    <s v="TM-00233"/>
    <s v="Gawad, Mohamed"/>
    <s v="TZ-MID-68-WPR2-150101"/>
  </r>
  <r>
    <s v="T-00233-5098"/>
    <s v="PS5-60-BE-0024C-CL01"/>
    <m/>
    <m/>
    <m/>
    <m/>
    <x v="11"/>
    <s v="PCOM - Precommissioning"/>
    <s v="E"/>
    <x v="1"/>
    <x v="0"/>
    <s v="Cable FROM PS5-60-IH-0001C TO PS5-60-BE-0024C"/>
    <s v="EACOP"/>
    <s v="CPP AGI"/>
    <m/>
    <m/>
    <s v="4"/>
    <m/>
    <m/>
    <s v="TZ-MID-68-WPR2-150101"/>
    <s v="PS5 - TZA - PS5 - Tanzania"/>
    <s v="PS5-60-37 - Injector Tip Cooling Module C"/>
    <d v="2026-07-11T07:39:21"/>
    <s v="PS5-60-37"/>
    <x v="1"/>
    <x v="0"/>
    <s v="LV Power Cable"/>
    <s v="E"/>
    <x v="1"/>
    <s v="PS5 - Milestone D"/>
    <s v="TM-00233"/>
    <s v="Gawad, Mohamed"/>
    <s v="TZ-MID-68-WPR2-150101"/>
  </r>
  <r>
    <s v="T-00233-5099"/>
    <s v="PS5-60-BE-0024C-CL02"/>
    <m/>
    <m/>
    <m/>
    <m/>
    <x v="11"/>
    <s v="PCOM - Precommissioning"/>
    <s v="E"/>
    <x v="1"/>
    <x v="0"/>
    <s v="Cable FROM PS5-60-IH-0001C TO PS5-60-BE-0024C"/>
    <s v="EACOP"/>
    <s v="CPP AGI"/>
    <m/>
    <m/>
    <s v="4"/>
    <m/>
    <m/>
    <s v="TZ-MID-68-WPR2-150101"/>
    <s v="PS5 - TZA - PS5 - Tanzania"/>
    <s v="PS5-60-37 - Injector Tip Cooling Module C"/>
    <d v="2026-07-11T08:02:37"/>
    <s v="PS5-60-37"/>
    <x v="1"/>
    <x v="0"/>
    <s v="LV Power Cable"/>
    <s v="E"/>
    <x v="1"/>
    <s v="PS5 - Milestone D"/>
    <s v="TM-00233"/>
    <s v="Gawad, Mohamed"/>
    <s v="TZ-MID-68-WPR2-150101"/>
  </r>
  <r>
    <s v="T-00233-5100"/>
    <s v="PS5-60-BE-0024D-CL01"/>
    <m/>
    <m/>
    <m/>
    <m/>
    <x v="11"/>
    <s v="PCOM - Precommissioning"/>
    <s v="E"/>
    <x v="1"/>
    <x v="0"/>
    <s v="Cable FROM PS5-60-IH-0001D TO PS5-60-BE-0024D"/>
    <s v="EACOP"/>
    <s v="CPP AGI"/>
    <m/>
    <m/>
    <s v="4"/>
    <m/>
    <m/>
    <s v="TZ-MID-68-WPR2-150101"/>
    <s v="PS5 - TZA - PS5 - Tanzania"/>
    <s v="PS5-60-38 - Injector Tip Cooling Module D"/>
    <d v="2026-06-11T10:43:59"/>
    <s v="PS5-60-38"/>
    <x v="1"/>
    <x v="0"/>
    <s v="LV Power Cable"/>
    <s v="E"/>
    <x v="1"/>
    <s v="PS5 - Milestone D"/>
    <s v="TM-00233"/>
    <s v="Gawad, Mohamed"/>
    <s v="TZ-MID-68-WPR2-150101"/>
  </r>
  <r>
    <s v="T-00233-5101"/>
    <s v="PS5-60-BE-0024D-CL02"/>
    <m/>
    <m/>
    <m/>
    <m/>
    <x v="11"/>
    <s v="PCOM - Precommissioning"/>
    <s v="E"/>
    <x v="1"/>
    <x v="0"/>
    <s v="Cable FROM PS5-60-IH-0001D TO PS5-60-BE-0024D"/>
    <s v="EACOP"/>
    <s v="CPP AGI"/>
    <m/>
    <m/>
    <s v="4"/>
    <m/>
    <m/>
    <s v="TZ-MID-68-WPR2-150101"/>
    <s v="PS5 - TZA - PS5 - Tanzania"/>
    <s v="PS5-60-38 - Injector Tip Cooling Module D"/>
    <d v="2026-06-11T10:44:37"/>
    <s v="PS5-60-38"/>
    <x v="1"/>
    <x v="0"/>
    <s v="LV Power Cable"/>
    <s v="E"/>
    <x v="1"/>
    <s v="PS5 - Milestone D"/>
    <s v="TM-00233"/>
    <s v="Gawad, Mohamed"/>
    <s v="TZ-MID-68-WPR2-150101"/>
  </r>
  <r>
    <s v="T-00233-5108"/>
    <s v="PS5-60-BE-0025A-CL01"/>
    <m/>
    <m/>
    <m/>
    <m/>
    <x v="11"/>
    <s v="PCOM - Precommissioning"/>
    <s v="E"/>
    <x v="1"/>
    <x v="0"/>
    <s v="Cable FROM PS5-60-IH-0001A TO PS5-60-BE-0025A"/>
    <s v="EACOP"/>
    <s v="CPP AGI"/>
    <m/>
    <m/>
    <s v="4"/>
    <m/>
    <m/>
    <s v="TZ-MID-68-WPR2-150101"/>
    <s v="PS5 - TZA - PS5 - Tanzania"/>
    <s v="PS5-60-35 - Injector Tip Cooling Module A"/>
    <d v="2026-06-19T04:42:43"/>
    <s v="PS5-60-35"/>
    <x v="0"/>
    <x v="0"/>
    <s v="LV Power Cable"/>
    <s v="E"/>
    <x v="1"/>
    <s v="PS5 - Milestone B"/>
    <s v="TM-00233"/>
    <s v="Gawad, Mohamed"/>
    <s v="TZ-MID-68-WPR2-150101"/>
  </r>
  <r>
    <s v="T-00233-5109"/>
    <s v="PS5-60-BE-0025B-CL01"/>
    <m/>
    <m/>
    <m/>
    <m/>
    <x v="11"/>
    <s v="PCOM - Precommissioning"/>
    <s v="E"/>
    <x v="1"/>
    <x v="0"/>
    <s v="Cable FROM PS5-60-IH-0001B TO PS5-60-BE-0025B"/>
    <s v="EACOP"/>
    <s v="CPP AGI"/>
    <m/>
    <m/>
    <s v="4"/>
    <m/>
    <m/>
    <s v="TZ-MID-68-WPR2-150101"/>
    <s v="PS5 - TZA - PS5 - Tanzania"/>
    <s v="PS5-60-36 - Injector Tip Cooling Module B"/>
    <d v="2026-06-19T04:43:54"/>
    <s v="PS5-60-36"/>
    <x v="0"/>
    <x v="0"/>
    <s v="LV Power Cable"/>
    <s v="E"/>
    <x v="1"/>
    <s v="PS5 - Milestone B"/>
    <s v="TM-00233"/>
    <s v="Gawad, Mohamed"/>
    <s v="TZ-MID-68-WPR2-150101"/>
  </r>
  <r>
    <s v="T-00233-5110"/>
    <s v="PS5-60-BE-0025C-CL01"/>
    <m/>
    <m/>
    <m/>
    <m/>
    <x v="11"/>
    <s v="PCOM - Precommissioning"/>
    <s v="E"/>
    <x v="1"/>
    <x v="0"/>
    <s v="Cable FROM PS5-60-IH-0001C TO PS5-60-BE-0025C"/>
    <s v="EACOP"/>
    <s v="CPP AGI"/>
    <m/>
    <m/>
    <s v="4"/>
    <m/>
    <m/>
    <s v="TZ-MID-68-WPR2-150101"/>
    <s v="PS5 - TZA - PS5 - Tanzania"/>
    <s v="PS5-60-37 - Injector Tip Cooling Module C"/>
    <d v="2026-07-11T08:19:06"/>
    <s v="PS5-60-37"/>
    <x v="1"/>
    <x v="0"/>
    <s v="LV Power Cable"/>
    <s v="E"/>
    <x v="1"/>
    <s v="PS5 - Milestone D"/>
    <s v="TM-00233"/>
    <s v="Gawad, Mohamed"/>
    <s v="TZ-MID-68-WPR2-150101"/>
  </r>
  <r>
    <s v="T-00233-5111"/>
    <s v="PS5-60-BE-0025D-CL01"/>
    <m/>
    <m/>
    <m/>
    <m/>
    <x v="11"/>
    <s v="PCOM - Precommissioning"/>
    <s v="E"/>
    <x v="1"/>
    <x v="0"/>
    <s v="Cable FROM PS5-60-IH-0001D TO PS5-60-BE-0025D"/>
    <s v="EACOP"/>
    <s v="CPP AGI"/>
    <m/>
    <m/>
    <s v="4"/>
    <m/>
    <m/>
    <s v="TZ-MID-68-WPR2-150101"/>
    <s v="PS5 - TZA - PS5 - Tanzania"/>
    <s v="PS5-60-38 - Injector Tip Cooling Module D"/>
    <d v="2026-06-19T08:34:36"/>
    <s v="PS5-60-38"/>
    <x v="1"/>
    <x v="0"/>
    <s v="LV Power Cable"/>
    <s v="E"/>
    <x v="1"/>
    <s v="PS5 - Milestone D"/>
    <s v="TM-00233"/>
    <s v="Gawad, Mohamed"/>
    <s v="TZ-MID-68-WPR2-150101"/>
  </r>
  <r>
    <s v="T-00233-5115"/>
    <s v="PS5-60-BE-0026A-CL01"/>
    <m/>
    <m/>
    <m/>
    <m/>
    <x v="11"/>
    <s v="PCOM - Precommissioning"/>
    <s v="E"/>
    <x v="1"/>
    <x v="0"/>
    <s v="Cable FROM PS5-60-IH-0001A TO PS5-60-BE-0026A"/>
    <s v="EACOP"/>
    <s v="CPP AGI"/>
    <m/>
    <m/>
    <s v="4"/>
    <m/>
    <m/>
    <s v="TZ-MID-68-WPR2-150101"/>
    <s v="PS5 - TZA - PS5 - Tanzania"/>
    <s v="PS5-60-70 - Engine A Cooling system"/>
    <d v="2026-06-19T04:44:36"/>
    <s v="PS5-60-70"/>
    <x v="0"/>
    <x v="0"/>
    <s v="LV Power Cable"/>
    <s v="E"/>
    <x v="1"/>
    <s v="PS5 - Milestone B"/>
    <s v="TM-00233"/>
    <s v="Gawad, Mohamed"/>
    <s v="TZ-MID-68-WPR2-150101"/>
  </r>
  <r>
    <s v="T-00233-5116"/>
    <s v="PS5-60-BE-0026A-CL02"/>
    <m/>
    <m/>
    <m/>
    <m/>
    <x v="11"/>
    <s v="PCOM - Precommissioning"/>
    <s v="E"/>
    <x v="1"/>
    <x v="0"/>
    <s v="Cable FROM PS5-60-IH-0001A TO PS5-60-BE-0026A"/>
    <s v="EACOP"/>
    <s v="CPP AGI"/>
    <m/>
    <m/>
    <s v="4"/>
    <m/>
    <m/>
    <s v="TZ-MID-68-WPR2-150101"/>
    <s v="PS5 - TZA - PS5 - Tanzania"/>
    <s v="PS5-60-70 - Engine A Cooling system"/>
    <d v="2026-06-19T04:45:04"/>
    <s v="PS5-60-70"/>
    <x v="0"/>
    <x v="0"/>
    <s v="LV Power Cable"/>
    <s v="E"/>
    <x v="1"/>
    <s v="PS5 - Milestone B"/>
    <s v="TM-00233"/>
    <s v="Gawad, Mohamed"/>
    <s v="TZ-MID-68-WPR2-150101"/>
  </r>
  <r>
    <s v="T-00233-5117"/>
    <s v="PS5-60-BE-0026B-CL01"/>
    <m/>
    <m/>
    <m/>
    <m/>
    <x v="11"/>
    <s v="PCOM - Precommissioning"/>
    <s v="E"/>
    <x v="1"/>
    <x v="0"/>
    <s v="Cable FROM PS5-60-IH-0001B TO PS5-60-BE-0026B"/>
    <s v="EACOP"/>
    <s v="CPP AGI"/>
    <m/>
    <m/>
    <s v="4"/>
    <m/>
    <m/>
    <s v="TZ-MID-68-WPR2-150101"/>
    <s v="PS5 - TZA - PS5 - Tanzania"/>
    <s v="PS5-60-71 - Engine B Cooling system"/>
    <d v="2026-06-19T04:45:29"/>
    <s v="PS5-60-71"/>
    <x v="0"/>
    <x v="0"/>
    <s v="LV Power Cable"/>
    <s v="E"/>
    <x v="1"/>
    <s v="PS5 - Milestone B"/>
    <s v="TM-00233"/>
    <s v="Gawad, Mohamed"/>
    <s v="TZ-MID-68-WPR2-150101"/>
  </r>
  <r>
    <s v="T-00233-5118"/>
    <s v="PS5-60-BE-0026B-CL02"/>
    <m/>
    <m/>
    <m/>
    <m/>
    <x v="11"/>
    <s v="PCOM - Precommissioning"/>
    <s v="E"/>
    <x v="1"/>
    <x v="0"/>
    <s v="Cable FROM PS5-60-IH-0001B TO PS5-60-BE-0026B"/>
    <s v="EACOP"/>
    <s v="CPP AGI"/>
    <m/>
    <m/>
    <s v="4"/>
    <m/>
    <m/>
    <s v="TZ-MID-68-WPR2-150101"/>
    <s v="PS5 - TZA - PS5 - Tanzania"/>
    <s v="PS5-60-71 - Engine B Cooling system"/>
    <d v="2026-06-19T04:45:54"/>
    <s v="PS5-60-71"/>
    <x v="0"/>
    <x v="0"/>
    <s v="LV Power Cable"/>
    <s v="E"/>
    <x v="1"/>
    <s v="PS5 - Milestone B"/>
    <s v="TM-00233"/>
    <s v="Gawad, Mohamed"/>
    <s v="TZ-MID-68-WPR2-150101"/>
  </r>
  <r>
    <s v="T-00233-5119"/>
    <s v="PS5-60-BE-0026C-CL01"/>
    <m/>
    <m/>
    <m/>
    <m/>
    <x v="11"/>
    <s v="PCOM - Precommissioning"/>
    <s v="E"/>
    <x v="1"/>
    <x v="0"/>
    <s v="Cable FROM PS5-60-IH-0001C TO PS5-60-BE-0026C"/>
    <s v="EACOP"/>
    <s v="CPP AGI"/>
    <m/>
    <m/>
    <s v="4"/>
    <m/>
    <m/>
    <s v="TZ-MID-68-WPR2-150101"/>
    <s v="PS5 - TZA - PS5 - Tanzania"/>
    <s v="PS5-60-72 - Engine C Cooling system"/>
    <d v="2026-07-11T08:31:02"/>
    <s v="PS5-60-72"/>
    <x v="1"/>
    <x v="0"/>
    <s v="LV Power Cable"/>
    <s v="E"/>
    <x v="1"/>
    <s v="PS5 - Milestone D"/>
    <s v="TM-00233"/>
    <s v="Gawad, Mohamed"/>
    <s v="TZ-MID-68-WPR2-150101"/>
  </r>
  <r>
    <s v="T-00233-5120"/>
    <s v="PS5-60-BE-0026C-CL02"/>
    <m/>
    <m/>
    <m/>
    <m/>
    <x v="11"/>
    <s v="PCOM - Precommissioning"/>
    <s v="E"/>
    <x v="1"/>
    <x v="0"/>
    <s v="Cable FROM PS5-60-IH-0001C TO PS5-60-BE-0026C"/>
    <s v="EACOP"/>
    <s v="CPP AGI"/>
    <m/>
    <m/>
    <s v="4"/>
    <m/>
    <m/>
    <s v="TZ-MID-68-WPR2-150101"/>
    <s v="PS5 - TZA - PS5 - Tanzania"/>
    <s v="PS5-60-72 - Engine C Cooling system"/>
    <d v="2026-06-19T04:46:20"/>
    <s v="PS5-60-72"/>
    <x v="1"/>
    <x v="0"/>
    <s v="LV Power Cable"/>
    <s v="E"/>
    <x v="1"/>
    <s v="PS5 - Milestone D"/>
    <s v="TM-00233"/>
    <s v="Gawad, Mohamed"/>
    <s v="TZ-MID-68-WPR2-150101"/>
  </r>
  <r>
    <s v="T-00233-5121"/>
    <s v="PS5-60-BE-0026D-CL01"/>
    <m/>
    <m/>
    <m/>
    <m/>
    <x v="11"/>
    <s v="PCOM - Precommissioning"/>
    <s v="E"/>
    <x v="1"/>
    <x v="0"/>
    <s v="Cable FROM PS5-60-IH-0001D TO PS5-60-BE-0026D"/>
    <s v="EACOP"/>
    <s v="CPP AGI"/>
    <m/>
    <m/>
    <s v="4"/>
    <m/>
    <m/>
    <s v="TZ-MID-68-WPR2-150101"/>
    <s v="PS5 - TZA - PS5 - Tanzania"/>
    <s v="PS5-60-73 - Engine D Cooling system"/>
    <d v="2026-06-11T10:45:20"/>
    <s v="PS5-60-73"/>
    <x v="1"/>
    <x v="0"/>
    <s v="LV Power Cable"/>
    <s v="E"/>
    <x v="1"/>
    <s v="PS5 - Milestone D"/>
    <s v="TM-00233"/>
    <s v="Gawad, Mohamed"/>
    <s v="TZ-MID-68-WPR2-150101"/>
  </r>
  <r>
    <s v="T-00233-5122"/>
    <s v="PS5-60-BE-0026D-CL02"/>
    <m/>
    <m/>
    <m/>
    <m/>
    <x v="11"/>
    <s v="PCOM - Precommissioning"/>
    <s v="E"/>
    <x v="1"/>
    <x v="0"/>
    <s v="Cable FROM PS5-60-IH-0001D TO PS5-60-BE-0026D"/>
    <s v="EACOP"/>
    <s v="CPP AGI"/>
    <m/>
    <m/>
    <s v="4"/>
    <m/>
    <m/>
    <s v="TZ-MID-68-WPR2-150101"/>
    <s v="PS5 - TZA - PS5 - Tanzania"/>
    <s v="PS5-60-73 - Engine D Cooling system"/>
    <d v="2026-06-11T10:45:56"/>
    <s v="PS5-60-73"/>
    <x v="1"/>
    <x v="0"/>
    <s v="LV Power Cable"/>
    <s v="E"/>
    <x v="1"/>
    <s v="PS5 - Milestone D"/>
    <s v="TM-00233"/>
    <s v="Gawad, Mohamed"/>
    <s v="TZ-MID-68-WPR2-150101"/>
  </r>
  <r>
    <s v="T-00233-5129"/>
    <s v="PS5-60-BI-0005A-CL01"/>
    <m/>
    <m/>
    <m/>
    <m/>
    <x v="11"/>
    <s v="PCOM - Precommissioning"/>
    <s v="E"/>
    <x v="1"/>
    <x v="0"/>
    <s v="Cable FROM PS5-60-IH-0001A TO PS5-60-BI-0005A"/>
    <s v="EACOP"/>
    <s v="CPP AGI"/>
    <m/>
    <m/>
    <s v="4"/>
    <m/>
    <m/>
    <s v="TZ-MID-68-WPR2-150101"/>
    <s v="PS5 - TZA - PS5 - Tanzania"/>
    <s v="PS5-60-01 - Power Generation Package A"/>
    <d v="2026-06-05T07:50:36"/>
    <s v="PS5-60-01"/>
    <x v="0"/>
    <x v="0"/>
    <s v="LV Power Cable"/>
    <s v="E"/>
    <x v="1"/>
    <s v="PS5 - Milestone B"/>
    <s v="TM-00233"/>
    <s v="Gawad, Mohamed"/>
    <s v="TZ-MID-68-WPR2-150101"/>
  </r>
  <r>
    <s v="T-00233-5130"/>
    <s v="PS5-60-BI-0005B-CL01"/>
    <m/>
    <m/>
    <m/>
    <m/>
    <x v="11"/>
    <s v="PCOM - Precommissioning"/>
    <s v="E"/>
    <x v="1"/>
    <x v="0"/>
    <s v="Cable FROM PS5-60-IH-0001B TO PS5-60-BI-0005B"/>
    <s v="EACOP"/>
    <s v="CPP AGI"/>
    <m/>
    <m/>
    <s v="4"/>
    <m/>
    <m/>
    <s v="TZ-MID-68-WPR2-150101"/>
    <s v="PS5 - TZA - PS5 - Tanzania"/>
    <s v="PS5-60-04 - Power Generation Package B"/>
    <d v="2026-06-05T07:51:33"/>
    <s v="PS5-60-04"/>
    <x v="0"/>
    <x v="0"/>
    <s v="LV Power Cable"/>
    <s v="E"/>
    <x v="1"/>
    <s v="PS5 - Milestone B"/>
    <s v="TM-00233"/>
    <s v="Gawad, Mohamed"/>
    <s v="TZ-MID-68-WPR2-150101"/>
  </r>
  <r>
    <s v="T-00233-5131"/>
    <s v="PS5-60-BI-0005C-CL01"/>
    <m/>
    <m/>
    <m/>
    <m/>
    <x v="11"/>
    <s v="PCOM - Precommissioning"/>
    <s v="E"/>
    <x v="1"/>
    <x v="0"/>
    <s v="Cable FROM PS5-60-IH-0001C TO PS5-60-BI-0005C"/>
    <s v="EACOP"/>
    <s v="CPP AGI"/>
    <m/>
    <m/>
    <s v="4"/>
    <m/>
    <m/>
    <s v="TZ-MID-68-WPR2-150101"/>
    <s v="PS5 - TZA - PS5 - Tanzania"/>
    <s v="PS5-60-07 - Power Generation Package C"/>
    <d v="2026-06-05T07:52:27"/>
    <s v="PS5-60-07"/>
    <x v="1"/>
    <x v="0"/>
    <s v="LV Power Cable"/>
    <s v="E"/>
    <x v="1"/>
    <s v="PS5 - Milestone D"/>
    <s v="TM-00233"/>
    <s v="Gawad, Mohamed"/>
    <s v="TZ-MID-68-WPR2-150101"/>
  </r>
  <r>
    <s v="T-00233-5132"/>
    <s v="PS5-60-BI-0005D-CL01"/>
    <m/>
    <m/>
    <m/>
    <m/>
    <x v="11"/>
    <s v="PCOM - Precommissioning"/>
    <s v="E"/>
    <x v="1"/>
    <x v="0"/>
    <s v="Cable FROM PS5-60-IH-0001D TO PS5-60-BI-0005D"/>
    <s v="EACOP"/>
    <s v="CPP AGI"/>
    <m/>
    <m/>
    <s v="4"/>
    <m/>
    <m/>
    <s v="TZ-MID-68-WPR2-150101"/>
    <s v="PS5 - TZA - PS5 - Tanzania"/>
    <s v="PS5-60-10 - Power Generation Package D"/>
    <d v="2026-06-06T04:43:02"/>
    <s v="PS5-60-10"/>
    <x v="1"/>
    <x v="0"/>
    <s v="LV Power Cable"/>
    <s v="E"/>
    <x v="1"/>
    <s v="PS5 - Milestone D"/>
    <s v="TM-00233"/>
    <s v="Gawad, Mohamed"/>
    <s v="TZ-MID-68-WPR2-150101"/>
  </r>
  <r>
    <s v="T-00233-5136"/>
    <s v="PS5-60-BI-0015A-CL01"/>
    <m/>
    <m/>
    <m/>
    <m/>
    <x v="11"/>
    <s v="PCOM - Precommissioning"/>
    <s v="E"/>
    <x v="1"/>
    <x v="0"/>
    <s v="Cable FROM PS5-60-IH-0001A TO PS5-60-BI-0015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233"/>
    <m/>
    <s v="TZ-MID-68-WPR2-150101"/>
  </r>
  <r>
    <s v="T-00233-5137"/>
    <s v="PS5-60-BI-0015A-CL02"/>
    <m/>
    <m/>
    <m/>
    <m/>
    <x v="11"/>
    <s v="PCOM - Precommissioning"/>
    <s v="E"/>
    <x v="1"/>
    <x v="0"/>
    <s v="Cable FROM PS5-60-IH-0001A TO PS5-60-BI-0015A"/>
    <s v="EACOP"/>
    <s v="CPP AGI"/>
    <m/>
    <m/>
    <s v="4"/>
    <m/>
    <m/>
    <s v="TZ-MID-68-WPR2-150101"/>
    <s v="PS5 - TZA - PS5 - Tanzania"/>
    <s v="PS5-60-01 - Power Generation Package A"/>
    <d v="2026-06-19T04:48:22"/>
    <s v="PS5-60-01"/>
    <x v="0"/>
    <x v="0"/>
    <s v="LV Power Cable"/>
    <s v="E"/>
    <x v="1"/>
    <s v="PS5 - Milestone B"/>
    <s v="TM-00233"/>
    <s v="Gawad, Mohamed"/>
    <s v="TZ-MID-68-WPR2-150101"/>
  </r>
  <r>
    <s v="T-00233-5138"/>
    <s v="PS5-60-BI-0015A-CL03"/>
    <m/>
    <m/>
    <m/>
    <m/>
    <x v="11"/>
    <s v="PCOM - Precommissioning"/>
    <s v="E"/>
    <x v="1"/>
    <x v="0"/>
    <s v="Cable FROM PS5-60-IH-0001A TO PS5-60-BI-0015A"/>
    <s v="EACOP"/>
    <s v="CPP AGI"/>
    <m/>
    <m/>
    <s v="4"/>
    <m/>
    <m/>
    <s v="TZ-MID-68-WPR2-150101"/>
    <s v="PS5 - TZA - PS5 - Tanzania"/>
    <s v="PS5-60-01 - Power Generation Package A"/>
    <d v="2026-06-19T04:48:16"/>
    <s v="PS5-60-01"/>
    <x v="0"/>
    <x v="0"/>
    <s v="LV Power Cable"/>
    <s v="E"/>
    <x v="1"/>
    <s v="PS5 - Milestone B"/>
    <s v="TM-00233"/>
    <s v="Gawad, Mohamed"/>
    <s v="TZ-MID-68-WPR2-150101"/>
  </r>
  <r>
    <s v="T-00233-5139"/>
    <s v="PS5-60-BI-0015B-CL01"/>
    <m/>
    <m/>
    <m/>
    <m/>
    <x v="11"/>
    <s v="PCOM - Precommissioning"/>
    <s v="E"/>
    <x v="1"/>
    <x v="0"/>
    <s v="Cable FROM PS5-60-IH-0001B TO PS5-60-BI-0015B"/>
    <s v="EACOP"/>
    <s v="CPP AGI"/>
    <m/>
    <m/>
    <s v="4"/>
    <m/>
    <m/>
    <s v="TZ-MID-68-WPR2-150101"/>
    <s v="PS5 - TZA - PS5 - Tanzania"/>
    <s v="PS5-60-04 - Power Generation Package B"/>
    <m/>
    <s v="PS5-60-04"/>
    <x v="0"/>
    <x v="0"/>
    <s v="LV Power Cable"/>
    <s v="E"/>
    <x v="0"/>
    <s v="PS5 - Milestone B"/>
    <s v="TM-00233"/>
    <m/>
    <s v="TZ-MID-68-WPR2-150101"/>
  </r>
  <r>
    <s v="T-00233-5140"/>
    <s v="PS5-60-BI-0015B-CL02"/>
    <m/>
    <m/>
    <m/>
    <m/>
    <x v="11"/>
    <s v="PCOM - Precommissioning"/>
    <s v="E"/>
    <x v="1"/>
    <x v="0"/>
    <s v="Cable FROM PS5-60-IH-0001B TO PS5-60-BI-0015B"/>
    <s v="EACOP"/>
    <s v="CPP AGI"/>
    <m/>
    <m/>
    <s v="4"/>
    <m/>
    <m/>
    <s v="TZ-MID-68-WPR2-150101"/>
    <s v="PS5 - TZA - PS5 - Tanzania"/>
    <s v="PS5-60-04 - Power Generation Package B"/>
    <d v="2026-06-19T04:48:06"/>
    <s v="PS5-60-04"/>
    <x v="0"/>
    <x v="0"/>
    <s v="LV Power Cable"/>
    <s v="E"/>
    <x v="1"/>
    <s v="PS5 - Milestone B"/>
    <s v="TM-00233"/>
    <s v="Gawad, Mohamed"/>
    <s v="TZ-MID-68-WPR2-150101"/>
  </r>
  <r>
    <s v="T-00233-5141"/>
    <s v="PS5-60-BI-0015B-CL03"/>
    <m/>
    <m/>
    <m/>
    <m/>
    <x v="11"/>
    <s v="PCOM - Precommissioning"/>
    <s v="E"/>
    <x v="1"/>
    <x v="0"/>
    <s v="Cable FROM PS5-60-IH-0001B TO PS5-60-BI-0015B"/>
    <s v="EACOP"/>
    <s v="CPP AGI"/>
    <m/>
    <m/>
    <s v="4"/>
    <m/>
    <m/>
    <s v="TZ-MID-68-WPR2-150101"/>
    <s v="PS5 - TZA - PS5 - Tanzania"/>
    <s v="PS5-60-04 - Power Generation Package B"/>
    <d v="2026-06-19T04:48:53"/>
    <s v="PS5-60-04"/>
    <x v="0"/>
    <x v="0"/>
    <s v="LV Power Cable"/>
    <s v="E"/>
    <x v="1"/>
    <s v="PS5 - Milestone B"/>
    <s v="TM-00233"/>
    <s v="Gawad, Mohamed"/>
    <s v="TZ-MID-68-WPR2-150101"/>
  </r>
  <r>
    <s v="T-00233-5142"/>
    <s v="PS5-60-BI-0015C-CL01"/>
    <m/>
    <m/>
    <m/>
    <m/>
    <x v="11"/>
    <s v="PCOM - Precommissioning"/>
    <s v="E"/>
    <x v="1"/>
    <x v="0"/>
    <s v="Cable FROM PS5-60-IH-0001C TO PS5-60-BI-0015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43"/>
    <s v="PS5-60-BI-0015C-CL02"/>
    <m/>
    <m/>
    <m/>
    <m/>
    <x v="11"/>
    <s v="PCOM - Precommissioning"/>
    <s v="E"/>
    <x v="1"/>
    <x v="0"/>
    <s v="Cable FROM PS5-60-IH-0001C TO PS5-60-BI-0015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44"/>
    <s v="PS5-60-BI-0015C-CL03"/>
    <m/>
    <m/>
    <m/>
    <m/>
    <x v="11"/>
    <s v="PCOM - Precommissioning"/>
    <s v="E"/>
    <x v="1"/>
    <x v="0"/>
    <s v="Cable FROM PS5-60-IH-0001C TO PS5-60-BI-0015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45"/>
    <s v="PS5-60-BI-0015D-CL01"/>
    <m/>
    <m/>
    <m/>
    <m/>
    <x v="11"/>
    <s v="PCOM - Precommissioning"/>
    <s v="E"/>
    <x v="1"/>
    <x v="0"/>
    <s v="Cable FROM PS5-60-IH-0001D TO PS5-60-BI-0015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146"/>
    <s v="PS5-60-BI-0015D-CL02"/>
    <m/>
    <m/>
    <m/>
    <m/>
    <x v="11"/>
    <s v="PCOM - Precommissioning"/>
    <s v="E"/>
    <x v="1"/>
    <x v="0"/>
    <s v="Cable FROM PS5-60-IH-0001D TO PS5-60-BI-0015D"/>
    <s v="EACOP"/>
    <s v="CPP AGI"/>
    <m/>
    <m/>
    <s v="4"/>
    <m/>
    <m/>
    <s v="TZ-MID-68-WPR2-150101"/>
    <s v="PS5 - TZA - PS5 - Tanzania"/>
    <s v="PS5-60-10 - Power Generation Package D"/>
    <d v="2026-06-19T04:50:22"/>
    <s v="PS5-60-10"/>
    <x v="1"/>
    <x v="0"/>
    <s v="LV Power Cable"/>
    <s v="E"/>
    <x v="1"/>
    <s v="PS5 - Milestone D"/>
    <s v="TM-00233"/>
    <s v="Gawad, Mohamed"/>
    <s v="TZ-MID-68-WPR2-150101"/>
  </r>
  <r>
    <s v="T-00233-5147"/>
    <s v="PS5-60-BI-0015D-CL03"/>
    <m/>
    <m/>
    <m/>
    <m/>
    <x v="11"/>
    <s v="PCOM - Precommissioning"/>
    <s v="E"/>
    <x v="1"/>
    <x v="0"/>
    <s v="Cable FROM PS5-60-IH-0001D TO PS5-60-BI-0015D"/>
    <s v="EACOP"/>
    <s v="CPP AGI"/>
    <m/>
    <m/>
    <s v="4"/>
    <m/>
    <m/>
    <s v="TZ-MID-68-WPR2-150101"/>
    <s v="PS5 - TZA - PS5 - Tanzania"/>
    <s v="PS5-60-10 - Power Generation Package D"/>
    <d v="2026-06-19T04:50:34"/>
    <s v="PS5-60-10"/>
    <x v="1"/>
    <x v="0"/>
    <s v="LV Power Cable"/>
    <s v="E"/>
    <x v="1"/>
    <s v="PS5 - Milestone D"/>
    <s v="TM-00233"/>
    <s v="Gawad, Mohamed"/>
    <s v="TZ-MID-68-WPR2-150101"/>
  </r>
  <r>
    <s v="T-00233-5157"/>
    <s v="PS5-60-DD-62800A-CL01"/>
    <m/>
    <m/>
    <m/>
    <m/>
    <x v="11"/>
    <s v="PCOM - Precommissioning"/>
    <s v="E"/>
    <x v="1"/>
    <x v="0"/>
    <s v="Cable FROM PS5-60-IH-0001A TO PS5-60-DD-62800A"/>
    <s v="EACOP"/>
    <s v="CPP AGI"/>
    <m/>
    <m/>
    <s v="4"/>
    <m/>
    <m/>
    <s v="TZ-MID-68-WPR2-150101"/>
    <s v="PS5 - TZA - PS5 - Tanzania"/>
    <s v="PS5-60-01 - Power Generation Package A"/>
    <m/>
    <s v="PS5-60-01"/>
    <x v="0"/>
    <x v="0"/>
    <s v="LV Power Cable"/>
    <s v="E"/>
    <x v="0"/>
    <s v="PS5 - Milestone B"/>
    <s v="TM-00233"/>
    <m/>
    <s v="TZ-MID-68-WPR2-150101"/>
  </r>
  <r>
    <s v="T-00233-5159"/>
    <s v="PS5-60-DD-62800C-CL01"/>
    <m/>
    <m/>
    <m/>
    <m/>
    <x v="11"/>
    <s v="PCOM - Precommissioning"/>
    <s v="E"/>
    <x v="1"/>
    <x v="0"/>
    <s v="Cable FROM PS5-60-IH-0001C TO PS5-60-DD-62800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66"/>
    <s v="PS5-60-IE-0002A-CL01"/>
    <m/>
    <m/>
    <m/>
    <m/>
    <x v="11"/>
    <s v="PCOM - Precommissioning"/>
    <s v="E"/>
    <x v="1"/>
    <x v="0"/>
    <s v="Cable FROM PS5-06-IG-0004A TO PS5-60-IE-0002A"/>
    <s v="EACOP"/>
    <s v="CPP AGI"/>
    <m/>
    <m/>
    <s v="4"/>
    <m/>
    <m/>
    <s v="TZ-MID-68-WPR2-150101"/>
    <s v="PS5 - TZA - PS5 - Tanzania"/>
    <s v="PS5-60-01 - Power Generation Package A"/>
    <d v="2026-06-19T08:28:08"/>
    <s v="PS5-60-01"/>
    <x v="0"/>
    <x v="0"/>
    <s v="LV Power Cable"/>
    <s v="E"/>
    <x v="1"/>
    <s v="PS5 - Milestone B"/>
    <s v="TM-00233"/>
    <s v="Gawad, Mohamed"/>
    <s v="TZ-MID-68-WPR2-150101"/>
  </r>
  <r>
    <s v="T-00233-5167"/>
    <s v="PS5-60-IE-0002A-CL02"/>
    <m/>
    <m/>
    <m/>
    <m/>
    <x v="11"/>
    <s v="PCOM - Precommissioning"/>
    <s v="E"/>
    <x v="1"/>
    <x v="0"/>
    <s v="Cable FROM PS5-06-IG-0004B TO PS5-60-IE-0002A"/>
    <s v="EACOP"/>
    <s v="CPP AGI"/>
    <m/>
    <m/>
    <s v="4"/>
    <m/>
    <m/>
    <s v="TZ-MID-68-WPR2-150101"/>
    <s v="PS5 - TZA - PS5 - Tanzania"/>
    <s v="PS5-60-01 - Power Generation Package A"/>
    <d v="2026-06-19T08:30:59"/>
    <s v="PS5-60-01"/>
    <x v="0"/>
    <x v="0"/>
    <s v="LV Power Cable"/>
    <s v="E"/>
    <x v="1"/>
    <s v="PS5 - Milestone B"/>
    <s v="TM-00233"/>
    <s v="Gawad, Mohamed"/>
    <s v="TZ-MID-68-WPR2-150101"/>
  </r>
  <r>
    <s v="T-00233-5168"/>
    <s v="PS5-60-IE-0002A-CL03"/>
    <m/>
    <m/>
    <m/>
    <m/>
    <x v="11"/>
    <s v="PCOM - Precommissioning"/>
    <s v="E"/>
    <x v="1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d v="2026-06-19T08:31:03"/>
    <s v="PS5-60-01"/>
    <x v="0"/>
    <x v="0"/>
    <s v="LV Power Cable"/>
    <s v="E"/>
    <x v="1"/>
    <s v="PS5 - Milestone B"/>
    <s v="TM-00233"/>
    <s v="Gawad, Mohamed"/>
    <s v="TZ-MID-68-WPR2-150101"/>
  </r>
  <r>
    <s v="T-00233-5169"/>
    <s v="PS5-60-IE-0002B-CL01"/>
    <m/>
    <m/>
    <m/>
    <m/>
    <x v="11"/>
    <s v="PCOM - Precommissioning"/>
    <s v="E"/>
    <x v="1"/>
    <x v="0"/>
    <s v="Cable FROM PS5-06-IG-0004A TO PS5-60-IE-0002B"/>
    <s v="EACOP"/>
    <s v="CPP AGI"/>
    <m/>
    <m/>
    <s v="4"/>
    <m/>
    <m/>
    <s v="TZ-MID-68-WPR2-150101"/>
    <s v="PS5 - TZA - PS5 - Tanzania"/>
    <s v="PS5-60-04 - Power Generation Package B"/>
    <d v="2026-06-06T04:44:17"/>
    <s v="PS5-60-04"/>
    <x v="0"/>
    <x v="0"/>
    <s v="LV Power Cable"/>
    <s v="E"/>
    <x v="1"/>
    <s v="PS5 - Milestone B"/>
    <s v="TM-00233"/>
    <s v="Gawad, Mohamed"/>
    <s v="TZ-MID-68-WPR2-150101"/>
  </r>
  <r>
    <s v="T-00233-5170"/>
    <s v="PS5-60-IE-0002B-CL02"/>
    <m/>
    <m/>
    <m/>
    <m/>
    <x v="11"/>
    <s v="PCOM - Precommissioning"/>
    <s v="E"/>
    <x v="1"/>
    <x v="0"/>
    <s v="Cable FROM PS5-06-IG-0004B TO PS5-60-IE-0002B"/>
    <s v="EACOP"/>
    <s v="CPP AGI"/>
    <m/>
    <m/>
    <s v="4"/>
    <m/>
    <m/>
    <s v="TZ-MID-68-WPR2-150101"/>
    <s v="PS5 - TZA - PS5 - Tanzania"/>
    <s v="PS5-60-04 - Power Generation Package B"/>
    <d v="2026-06-06T04:44:58"/>
    <s v="PS5-60-04"/>
    <x v="0"/>
    <x v="0"/>
    <s v="LV Power Cable"/>
    <s v="E"/>
    <x v="1"/>
    <s v="PS5 - Milestone B"/>
    <s v="TM-00233"/>
    <s v="Gawad, Mohamed"/>
    <s v="TZ-MID-68-WPR2-150101"/>
  </r>
  <r>
    <s v="T-00233-5171"/>
    <s v="PS5-60-IE-0002B-CL03"/>
    <m/>
    <m/>
    <m/>
    <m/>
    <x v="11"/>
    <s v="PCOM - Precommissioning"/>
    <s v="E"/>
    <x v="1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d v="2026-06-19T08:31:08"/>
    <s v="PS5-60-04"/>
    <x v="0"/>
    <x v="0"/>
    <s v="LV Power Cable"/>
    <s v="E"/>
    <x v="1"/>
    <s v="PS5 - Milestone B"/>
    <s v="TM-00233"/>
    <s v="Gawad, Mohamed"/>
    <s v="TZ-MID-68-WPR2-150101"/>
  </r>
  <r>
    <s v="T-00233-5172"/>
    <s v="PS5-60-IE-0002C-CL01"/>
    <m/>
    <m/>
    <m/>
    <m/>
    <x v="11"/>
    <s v="PCOM - Precommissioning"/>
    <s v="E"/>
    <x v="1"/>
    <x v="0"/>
    <s v="Cable FROM PS5-06-IG-0004A TO PS5-60-IE-0002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73"/>
    <s v="PS5-60-IE-0002C-CL02"/>
    <m/>
    <m/>
    <m/>
    <m/>
    <x v="11"/>
    <s v="PCOM - Precommissioning"/>
    <s v="E"/>
    <x v="1"/>
    <x v="0"/>
    <s v="Cable FROM PS5-06-IG-0004B TO PS5-60-IE-0002C"/>
    <s v="EACOP"/>
    <s v="CPP AGI"/>
    <m/>
    <m/>
    <s v="4"/>
    <m/>
    <m/>
    <s v="TZ-MID-68-WPR2-150101"/>
    <s v="PS5 - TZA - PS5 - Tanzania"/>
    <s v="PS5-60-07 - Power Generation Package C"/>
    <d v="2026-07-11T09:13:23"/>
    <s v="PS5-60-07"/>
    <x v="1"/>
    <x v="0"/>
    <s v="LV Power Cable"/>
    <s v="E"/>
    <x v="1"/>
    <s v="PS5 - Milestone D"/>
    <s v="TM-00233"/>
    <s v="Gawad, Mohamed"/>
    <s v="TZ-MID-68-WPR2-150101"/>
  </r>
  <r>
    <s v="T-00233-5174"/>
    <s v="PS5-60-IE-0002C-CL03"/>
    <m/>
    <m/>
    <m/>
    <m/>
    <x v="11"/>
    <s v="PCOM - Precommissioning"/>
    <s v="E"/>
    <x v="1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LV Power Cable"/>
    <s v="E"/>
    <x v="0"/>
    <s v="PS5 - Milestone D"/>
    <s v="TM-00233"/>
    <m/>
    <s v="TZ-MID-68-WPR2-150101"/>
  </r>
  <r>
    <s v="T-00233-5175"/>
    <s v="PS5-60-IE-0002D-CL01"/>
    <m/>
    <m/>
    <m/>
    <m/>
    <x v="11"/>
    <s v="PCOM - Precommissioning"/>
    <s v="E"/>
    <x v="1"/>
    <x v="0"/>
    <s v="Cable FROM PS5-06-IG-0004A TO PS5-60-IE-0002D"/>
    <s v="EACOP"/>
    <s v="CPP AGI"/>
    <m/>
    <m/>
    <s v="4"/>
    <m/>
    <m/>
    <s v="TZ-MID-68-WPR2-150101"/>
    <s v="PS5 - TZA - PS5 - Tanzania"/>
    <s v="PS5-60-10 - Power Generation Package D"/>
    <d v="2026-06-19T04:22:57"/>
    <s v="PS5-60-10"/>
    <x v="1"/>
    <x v="0"/>
    <s v="LV Power Cable"/>
    <s v="E"/>
    <x v="1"/>
    <s v="PS5 - Milestone D"/>
    <s v="TM-00233"/>
    <s v="Gawad, Mohamed"/>
    <s v="TZ-MID-68-WPR2-150101"/>
  </r>
  <r>
    <s v="T-00233-5176"/>
    <s v="PS5-60-IE-0002D-CL02"/>
    <m/>
    <m/>
    <m/>
    <m/>
    <x v="11"/>
    <s v="PCOM - Precommissioning"/>
    <s v="E"/>
    <x v="1"/>
    <x v="0"/>
    <s v="Cable FROM PS5-06-IG-0004B TO PS5-60-IE-0002D"/>
    <s v="EACOP"/>
    <s v="CPP AGI"/>
    <m/>
    <m/>
    <s v="4"/>
    <m/>
    <m/>
    <s v="TZ-MID-68-WPR2-150101"/>
    <s v="PS5 - TZA - PS5 - Tanzania"/>
    <s v="PS5-60-10 - Power Generation Package D"/>
    <d v="2026-06-19T04:23:26"/>
    <s v="PS5-60-10"/>
    <x v="1"/>
    <x v="0"/>
    <s v="LV Power Cable"/>
    <s v="E"/>
    <x v="1"/>
    <s v="PS5 - Milestone D"/>
    <s v="TM-00233"/>
    <s v="Gawad, Mohamed"/>
    <s v="TZ-MID-68-WPR2-150101"/>
  </r>
  <r>
    <s v="T-00233-5177"/>
    <s v="PS5-60-IE-0002D-CL03"/>
    <m/>
    <m/>
    <m/>
    <m/>
    <x v="11"/>
    <s v="PCOM - Precommissioning"/>
    <s v="E"/>
    <x v="1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187"/>
    <s v="PS5-60-IE-0003A-CL01"/>
    <m/>
    <m/>
    <m/>
    <m/>
    <x v="11"/>
    <s v="PCOM - Precommissioning"/>
    <s v="E"/>
    <x v="1"/>
    <x v="0"/>
    <s v="Cable FROM PS5-06-IG-0004A TO PS5-60-IE-0003A"/>
    <s v="EACOP"/>
    <s v="CPP AGI"/>
    <m/>
    <m/>
    <s v="4"/>
    <m/>
    <m/>
    <s v="TZ-MID-68-WPR2-150101"/>
    <s v="PS5 - TZA - PS5 - Tanzania"/>
    <s v="PS5-60-02 - Power Gen Package A (UCP)"/>
    <d v="2026-06-19T04:25:26"/>
    <s v="PS5-60-02"/>
    <x v="0"/>
    <x v="0"/>
    <s v="LV Power Cable"/>
    <s v="E"/>
    <x v="1"/>
    <s v="PS5 - Milestone B"/>
    <s v="TM-00233"/>
    <s v="Gawad, Mohamed"/>
    <s v="TZ-MID-68-WPR2-150101"/>
  </r>
  <r>
    <s v="T-00233-5188"/>
    <s v="PS5-60-IE-0003A-CL02"/>
    <m/>
    <m/>
    <m/>
    <m/>
    <x v="11"/>
    <s v="PCOM - Precommissioning"/>
    <s v="E"/>
    <x v="1"/>
    <x v="0"/>
    <s v="Cable FROM PS5-06-IG-0004B TO PS5-60-IE-0003A"/>
    <s v="EACOP"/>
    <s v="CPP AGI"/>
    <m/>
    <m/>
    <s v="4"/>
    <m/>
    <m/>
    <s v="TZ-MID-68-WPR2-150101"/>
    <s v="PS5 - TZA - PS5 - Tanzania"/>
    <s v="PS5-60-02 - Power Gen Package A (UCP)"/>
    <d v="2026-06-19T04:25:48"/>
    <s v="PS5-60-02"/>
    <x v="0"/>
    <x v="0"/>
    <s v="LV Power Cable"/>
    <s v="E"/>
    <x v="1"/>
    <s v="PS5 - Milestone B"/>
    <s v="TM-00233"/>
    <s v="Gawad, Mohamed"/>
    <s v="TZ-MID-68-WPR2-150101"/>
  </r>
  <r>
    <s v="T-00233-5189"/>
    <s v="PS5-60-IE-0003B-CL01"/>
    <m/>
    <m/>
    <m/>
    <m/>
    <x v="11"/>
    <s v="PCOM - Precommissioning"/>
    <s v="E"/>
    <x v="1"/>
    <x v="0"/>
    <s v="Cable FROM PS5-06-IG-0004A TO PS5-60-IE-0003B"/>
    <s v="EACOP"/>
    <s v="CPP AGI"/>
    <m/>
    <m/>
    <s v="4"/>
    <m/>
    <m/>
    <s v="TZ-MID-68-WPR2-150101"/>
    <s v="PS5 - TZA - PS5 - Tanzania"/>
    <s v="PS5-60-05 - Power Gen Package B (UCP)"/>
    <d v="2026-06-19T04:26:23"/>
    <s v="PS5-60-05"/>
    <x v="0"/>
    <x v="0"/>
    <s v="LV Power Cable"/>
    <s v="E"/>
    <x v="1"/>
    <s v="PS5 - Milestone B"/>
    <s v="TM-00233"/>
    <s v="Gawad, Mohamed"/>
    <s v="TZ-MID-68-WPR2-150101"/>
  </r>
  <r>
    <s v="T-00233-5190"/>
    <s v="PS5-60-IE-0003B-CL02"/>
    <m/>
    <m/>
    <m/>
    <m/>
    <x v="11"/>
    <s v="PCOM - Precommissioning"/>
    <s v="E"/>
    <x v="1"/>
    <x v="0"/>
    <s v="Cable FROM PS5-06-IG-0004B TO PS5-60-IE-0003B"/>
    <s v="EACOP"/>
    <s v="CPP AGI"/>
    <m/>
    <m/>
    <s v="4"/>
    <m/>
    <m/>
    <s v="TZ-MID-68-WPR2-150101"/>
    <s v="PS5 - TZA - PS5 - Tanzania"/>
    <s v="PS5-60-05 - Power Gen Package B (UCP)"/>
    <d v="2026-06-19T04:26:49"/>
    <s v="PS5-60-05"/>
    <x v="0"/>
    <x v="0"/>
    <s v="LV Power Cable"/>
    <s v="E"/>
    <x v="1"/>
    <s v="PS5 - Milestone B"/>
    <s v="TM-00233"/>
    <s v="Gawad, Mohamed"/>
    <s v="TZ-MID-68-WPR2-150101"/>
  </r>
  <r>
    <s v="T-00233-5191"/>
    <s v="PS5-60-IE-0003C-CL01"/>
    <m/>
    <m/>
    <m/>
    <m/>
    <x v="11"/>
    <s v="PCOM - Precommissioning"/>
    <s v="E"/>
    <x v="1"/>
    <x v="0"/>
    <s v="Cable FROM PS5-06-IG-0004A TO PS5-60-IE-0003C"/>
    <s v="EACOP"/>
    <s v="CPP AGI"/>
    <m/>
    <m/>
    <s v="4"/>
    <m/>
    <m/>
    <s v="TZ-MID-68-WPR2-150101"/>
    <s v="PS5 - TZA - PS5 - Tanzania"/>
    <s v="PS5-60-08 - Power Gen Package C (UCP)"/>
    <m/>
    <s v="PS5-60-08"/>
    <x v="1"/>
    <x v="0"/>
    <s v="LV Power Cable"/>
    <s v="E"/>
    <x v="0"/>
    <s v="PS5 - Milestone D"/>
    <s v="TM-00233"/>
    <m/>
    <s v="TZ-MID-68-WPR2-150101"/>
  </r>
  <r>
    <s v="T-00233-5192"/>
    <s v="PS5-60-IE-0003C-CL02"/>
    <m/>
    <m/>
    <m/>
    <m/>
    <x v="11"/>
    <s v="PCOM - Precommissioning"/>
    <s v="E"/>
    <x v="1"/>
    <x v="0"/>
    <s v="Cable FROM PS5-06-IG-0004B TO PS5-60-IE-0003C"/>
    <s v="EACOP"/>
    <s v="CPP AGI"/>
    <m/>
    <m/>
    <s v="4"/>
    <m/>
    <m/>
    <s v="TZ-MID-68-WPR2-150101"/>
    <s v="PS5 - TZA - PS5 - Tanzania"/>
    <s v="PS5-60-08 - Power Gen Package C (UCP)"/>
    <m/>
    <s v="PS5-60-08"/>
    <x v="1"/>
    <x v="0"/>
    <s v="LV Power Cable"/>
    <s v="E"/>
    <x v="0"/>
    <s v="PS5 - Milestone D"/>
    <s v="TM-00233"/>
    <m/>
    <s v="TZ-MID-68-WPR2-150101"/>
  </r>
  <r>
    <s v="T-00233-5193"/>
    <s v="PS5-60-IE-0003D-CL01"/>
    <m/>
    <m/>
    <m/>
    <m/>
    <x v="11"/>
    <s v="PCOM - Precommissioning"/>
    <s v="E"/>
    <x v="1"/>
    <x v="0"/>
    <s v="Cable FROM PS5-06-IG-0004A TO PS5-60-IE-0003D"/>
    <s v="EACOP"/>
    <s v="CPP AGI"/>
    <m/>
    <m/>
    <s v="4"/>
    <m/>
    <m/>
    <s v="TZ-MID-68-WPR2-150101"/>
    <s v="PS5 - TZA - PS5 - Tanzania"/>
    <s v="PS5-60-11 - Power Gen Package D (UCP)"/>
    <m/>
    <s v="PS5-60-11"/>
    <x v="1"/>
    <x v="0"/>
    <s v="LV Power Cable"/>
    <s v="E"/>
    <x v="0"/>
    <s v="PS5 - Milestone D"/>
    <s v="TM-00233"/>
    <m/>
    <s v="TZ-MID-68-WPR2-150101"/>
  </r>
  <r>
    <s v="T-00233-5194"/>
    <s v="PS5-60-IE-0003D-CL02"/>
    <m/>
    <m/>
    <m/>
    <m/>
    <x v="11"/>
    <s v="PCOM - Precommissioning"/>
    <s v="E"/>
    <x v="1"/>
    <x v="0"/>
    <s v="Cable FROM PS5-06-IG-0004B TO PS5-60-IE-0003D"/>
    <s v="EACOP"/>
    <s v="CPP AGI"/>
    <m/>
    <m/>
    <s v="4"/>
    <m/>
    <m/>
    <s v="TZ-MID-68-WPR2-150101"/>
    <s v="PS5 - TZA - PS5 - Tanzania"/>
    <s v="PS5-60-11 - Power Gen Package D (UCP)"/>
    <d v="2026-06-19T04:27:14"/>
    <s v="PS5-60-11"/>
    <x v="1"/>
    <x v="0"/>
    <s v="LV Power Cable"/>
    <s v="E"/>
    <x v="1"/>
    <s v="PS5 - Milestone D"/>
    <s v="TM-00233"/>
    <s v="Gawad, Mohamed"/>
    <s v="TZ-MID-68-WPR2-150101"/>
  </r>
  <r>
    <s v="T-00233-5201"/>
    <s v="PS5-60-IE-0004-CL01"/>
    <m/>
    <m/>
    <m/>
    <m/>
    <x v="11"/>
    <s v="PCOM - Precommissioning"/>
    <s v="E"/>
    <x v="1"/>
    <x v="0"/>
    <s v="Cable FROM PS5-06-IG-0004A TO PS5-60-IE-0004"/>
    <s v="EACOP"/>
    <s v="CPP AGI"/>
    <m/>
    <m/>
    <s v="4"/>
    <m/>
    <m/>
    <s v="TZ-MID-68-WPR2-150101"/>
    <s v="PS5 - TZA - PS5 - Tanzania"/>
    <s v="PS5-60-22 - Power Gen Master UCP"/>
    <d v="2026-06-19T04:27:41"/>
    <s v="PS5-60-22"/>
    <x v="0"/>
    <x v="0"/>
    <s v="LV Power Cable"/>
    <s v="E"/>
    <x v="1"/>
    <s v="PS5 - Milestone B"/>
    <s v="TM-00233"/>
    <s v="Gawad, Mohamed"/>
    <s v="TZ-MID-68-WPR2-150101"/>
  </r>
  <r>
    <s v="T-00233-5202"/>
    <s v="PS5-60-IE-0004-CL02"/>
    <m/>
    <m/>
    <m/>
    <m/>
    <x v="11"/>
    <s v="PCOM - Precommissioning"/>
    <s v="E"/>
    <x v="1"/>
    <x v="0"/>
    <s v="Cable FROM PS5-06-IG-0004B TO PS5-60-IE-0004"/>
    <s v="EACOP"/>
    <s v="CPP AGI"/>
    <m/>
    <m/>
    <s v="4"/>
    <m/>
    <m/>
    <s v="TZ-MID-68-WPR2-150101"/>
    <s v="PS5 - TZA - PS5 - Tanzania"/>
    <s v="PS5-60-22 - Power Gen Master UCP"/>
    <d v="2026-06-19T04:28:05"/>
    <s v="PS5-60-22"/>
    <x v="0"/>
    <x v="0"/>
    <s v="LV Power Cable"/>
    <s v="E"/>
    <x v="1"/>
    <s v="PS5 - Milestone B"/>
    <s v="TM-00233"/>
    <s v="Gawad, Mohamed"/>
    <s v="TZ-MID-68-WPR2-150101"/>
  </r>
  <r>
    <s v="T-00233-5204"/>
    <s v="PS5-60-IH-0001A-CL01"/>
    <m/>
    <m/>
    <m/>
    <m/>
    <x v="11"/>
    <s v="PCOM - Precommissioning"/>
    <s v="E"/>
    <x v="1"/>
    <x v="0"/>
    <s v="Cable FROM PS5-61-IK-0003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8:22:54"/>
    <s v="PS5-60-03"/>
    <x v="0"/>
    <x v="0"/>
    <s v="LV Power Cable"/>
    <s v="E"/>
    <x v="1"/>
    <s v="PS5 - Milestone B"/>
    <s v="TM-00233"/>
    <s v="Gawad, Mohamed"/>
    <s v="TZ-MID-68-WPR2-150101"/>
  </r>
  <r>
    <s v="T-00233-5205"/>
    <s v="PS5-60-IH-0001A-CL02"/>
    <m/>
    <m/>
    <m/>
    <m/>
    <x v="11"/>
    <s v="PCOM - Precommissioning"/>
    <s v="E"/>
    <x v="1"/>
    <x v="0"/>
    <s v="Cable FROM PS5-61-IK-0003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8:23:30"/>
    <s v="PS5-60-03"/>
    <x v="0"/>
    <x v="0"/>
    <s v="LV Power Cable"/>
    <s v="E"/>
    <x v="1"/>
    <s v="PS5 - Milestone B"/>
    <s v="TM-00233"/>
    <s v="Gawad, Mohamed"/>
    <s v="TZ-MID-68-WPR2-150101"/>
  </r>
  <r>
    <s v="T-00233-5206"/>
    <s v="PS5-60-IH-0001A-CL03"/>
    <m/>
    <m/>
    <m/>
    <m/>
    <x v="11"/>
    <s v="PCOM - Precommissioning"/>
    <s v="E"/>
    <x v="1"/>
    <x v="0"/>
    <s v="Cable FROM PS5-61-IK-0003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8:25:11"/>
    <s v="PS5-60-03"/>
    <x v="0"/>
    <x v="0"/>
    <s v="LV Power Cable"/>
    <s v="E"/>
    <x v="1"/>
    <s v="PS5 - Milestone B"/>
    <s v="TM-00233"/>
    <s v="Gawad, Mohamed"/>
    <s v="TZ-MID-68-WPR2-150101"/>
  </r>
  <r>
    <s v="T-00233-5207"/>
    <s v="PS5-60-IH-0001A-CL04"/>
    <m/>
    <m/>
    <m/>
    <m/>
    <x v="11"/>
    <s v="PCOM - Precommissioning"/>
    <s v="E"/>
    <x v="1"/>
    <x v="0"/>
    <s v="Cable FROM PS5-61-IK-0003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8:26:08"/>
    <s v="PS5-60-03"/>
    <x v="0"/>
    <x v="0"/>
    <s v="LV Power Cable"/>
    <s v="E"/>
    <x v="1"/>
    <s v="PS5 - Milestone B"/>
    <s v="TM-00233"/>
    <s v="Gawad, Mohamed"/>
    <s v="TZ-MID-68-WPR2-150101"/>
  </r>
  <r>
    <s v="T-00233-5208"/>
    <s v="PS5-60-IH-0001A-CL05"/>
    <m/>
    <m/>
    <m/>
    <m/>
    <x v="11"/>
    <s v="PCOM - Precommissioning"/>
    <s v="E"/>
    <x v="1"/>
    <x v="0"/>
    <s v="Cable FROM PS5-06-IG-0004A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8:31:15"/>
    <s v="PS5-60-03"/>
    <x v="0"/>
    <x v="0"/>
    <s v="LV Power Cable"/>
    <s v="E"/>
    <x v="1"/>
    <s v="PS5 - Milestone B"/>
    <s v="TM-00233"/>
    <s v="Gawad, Mohamed"/>
    <s v="TZ-MID-68-WPR2-150101"/>
  </r>
  <r>
    <s v="T-00233-5209"/>
    <s v="PS5-60-IH-0001A-CL06"/>
    <m/>
    <m/>
    <m/>
    <m/>
    <x v="11"/>
    <s v="PCOM - Precommissioning"/>
    <s v="E"/>
    <x v="1"/>
    <x v="0"/>
    <s v="Cable FROM PS5-06-IG-0004B TO PS5-60-IH-0001A"/>
    <s v="EACOP"/>
    <s v="CPP AGI"/>
    <m/>
    <m/>
    <s v="4"/>
    <m/>
    <m/>
    <s v="TZ-MID-68-WPR2-150101"/>
    <s v="PS5 - TZA - PS5 - Tanzania"/>
    <s v="PS5-60-03 - Power Gen Package A Generator Auxiliary MCCs &amp; DBs"/>
    <d v="2026-06-19T04:28:30"/>
    <s v="PS5-60-03"/>
    <x v="0"/>
    <x v="0"/>
    <s v="LV Power Cable"/>
    <s v="E"/>
    <x v="1"/>
    <s v="PS5 - Milestone B"/>
    <s v="TM-00233"/>
    <s v="Gawad, Mohamed"/>
    <s v="TZ-MID-68-WPR2-150101"/>
  </r>
  <r>
    <s v="T-00233-5211"/>
    <s v="PS5-60-IH-0001B-CL01"/>
    <m/>
    <m/>
    <m/>
    <m/>
    <x v="11"/>
    <s v="PCOM - Precommissioning"/>
    <s v="E"/>
    <x v="1"/>
    <x v="0"/>
    <s v="Cable FROM PS5-61-IK-0003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8:28:14"/>
    <s v="PS5-60-06"/>
    <x v="0"/>
    <x v="0"/>
    <s v="LV Power Cable"/>
    <s v="E"/>
    <x v="1"/>
    <s v="PS5 - Milestone B"/>
    <s v="TM-00233"/>
    <s v="Gawad, Mohamed"/>
    <s v="TZ-MID-68-WPR2-150101"/>
  </r>
  <r>
    <s v="T-00233-5212"/>
    <s v="PS5-60-IH-0001B-CL02"/>
    <m/>
    <m/>
    <m/>
    <m/>
    <x v="11"/>
    <s v="PCOM - Precommissioning"/>
    <s v="E"/>
    <x v="1"/>
    <x v="0"/>
    <s v="Cable FROM PS5-61-IK-0003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8:28:18"/>
    <s v="PS5-60-06"/>
    <x v="0"/>
    <x v="0"/>
    <s v="LV Power Cable"/>
    <s v="E"/>
    <x v="1"/>
    <s v="PS5 - Milestone B"/>
    <s v="TM-00233"/>
    <s v="Gawad, Mohamed"/>
    <s v="TZ-MID-68-WPR2-150101"/>
  </r>
  <r>
    <s v="T-00233-5213"/>
    <s v="PS5-60-IH-0001B-CL03"/>
    <m/>
    <m/>
    <m/>
    <m/>
    <x v="11"/>
    <s v="PCOM - Precommissioning"/>
    <s v="E"/>
    <x v="1"/>
    <x v="0"/>
    <s v="Cable FROM PS5-61-IK-0003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8:28:25"/>
    <s v="PS5-60-06"/>
    <x v="0"/>
    <x v="0"/>
    <s v="LV Power Cable"/>
    <s v="E"/>
    <x v="1"/>
    <s v="PS5 - Milestone B"/>
    <s v="TM-00233"/>
    <s v="Gawad, Mohamed"/>
    <s v="TZ-MID-68-WPR2-150101"/>
  </r>
  <r>
    <s v="T-00233-5214"/>
    <s v="PS5-60-IH-0001B-CL04"/>
    <m/>
    <m/>
    <m/>
    <m/>
    <x v="11"/>
    <s v="PCOM - Precommissioning"/>
    <s v="E"/>
    <x v="1"/>
    <x v="0"/>
    <s v="Cable FROM PS5-61-IK-0003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8:28:33"/>
    <s v="PS5-60-06"/>
    <x v="0"/>
    <x v="0"/>
    <s v="LV Power Cable"/>
    <s v="E"/>
    <x v="1"/>
    <s v="PS5 - Milestone B"/>
    <s v="TM-00233"/>
    <s v="Gawad, Mohamed"/>
    <s v="TZ-MID-68-WPR2-150101"/>
  </r>
  <r>
    <s v="T-00233-5215"/>
    <s v="PS5-60-IH-0001B-CL05"/>
    <m/>
    <m/>
    <m/>
    <m/>
    <x v="11"/>
    <s v="PCOM - Precommissioning"/>
    <s v="E"/>
    <x v="1"/>
    <x v="0"/>
    <s v="Cable FROM PS5-06-IG-0004A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4:29:04"/>
    <s v="PS5-60-06"/>
    <x v="0"/>
    <x v="0"/>
    <s v="LV Power Cable"/>
    <s v="E"/>
    <x v="1"/>
    <s v="PS5 - Milestone B"/>
    <s v="TM-00233"/>
    <s v="Gawad, Mohamed"/>
    <s v="TZ-MID-68-WPR2-150101"/>
  </r>
  <r>
    <s v="T-00233-5216"/>
    <s v="PS5-60-IH-0001B-CL06"/>
    <m/>
    <m/>
    <m/>
    <m/>
    <x v="11"/>
    <s v="PCOM - Precommissioning"/>
    <s v="E"/>
    <x v="1"/>
    <x v="0"/>
    <s v="Cable FROM PS5-06-IG-0004B TO PS5-60-IH-0001B"/>
    <s v="EACOP"/>
    <s v="CPP AGI"/>
    <m/>
    <m/>
    <s v="4"/>
    <m/>
    <m/>
    <s v="TZ-MID-68-WPR2-150101"/>
    <s v="PS5 - TZA - PS5 - Tanzania"/>
    <s v="PS5-60-06 - Power Gen Package B Generator Auxiliary MCCs &amp; DBs"/>
    <d v="2026-06-19T04:31:41"/>
    <s v="PS5-60-06"/>
    <x v="0"/>
    <x v="0"/>
    <s v="LV Power Cable"/>
    <s v="E"/>
    <x v="1"/>
    <s v="PS5 - Milestone B"/>
    <s v="TM-00233"/>
    <s v="Gawad, Mohamed"/>
    <s v="TZ-MID-68-WPR2-150101"/>
  </r>
  <r>
    <s v="T-00233-5218"/>
    <s v="PS5-60-IH-0001C-CL01"/>
    <m/>
    <m/>
    <m/>
    <m/>
    <x v="11"/>
    <s v="PCOM - Precommissioning"/>
    <s v="E"/>
    <x v="1"/>
    <x v="0"/>
    <s v="Cable FROM PS5-61-IK-0003 TO PS5-60-IH-0001C"/>
    <s v="EACOP"/>
    <s v="CPP AGI"/>
    <m/>
    <m/>
    <s v="4"/>
    <m/>
    <m/>
    <s v="TZ-MID-68-WPR2-150101"/>
    <s v="PS5 - TZA - PS5 - Tanzania"/>
    <s v="PS5-60-09 - Power Gen Package C Generator Auxiliary MCCs &amp; DBs"/>
    <d v="2026-07-11T09:29:53"/>
    <s v="PS5-60-09"/>
    <x v="1"/>
    <x v="0"/>
    <s v="LV Power Cable"/>
    <s v="E"/>
    <x v="1"/>
    <s v="PS5 - Milestone D"/>
    <s v="TM-00233"/>
    <s v="Gawad, Mohamed"/>
    <s v="TZ-MID-68-WPR2-150101"/>
  </r>
  <r>
    <s v="T-00233-5219"/>
    <s v="PS5-60-IH-0001C-CL02"/>
    <m/>
    <m/>
    <m/>
    <m/>
    <x v="11"/>
    <s v="PCOM - Precommissioning"/>
    <s v="E"/>
    <x v="1"/>
    <x v="0"/>
    <s v="Cable FROM PS5-61-IK-0003 TO PS5-60-IH-0001C"/>
    <s v="EACOP"/>
    <s v="CPP AGI"/>
    <m/>
    <m/>
    <s v="4"/>
    <m/>
    <m/>
    <s v="TZ-MID-68-WPR2-150101"/>
    <s v="PS5 - TZA - PS5 - Tanzania"/>
    <s v="PS5-60-09 - Power Gen Package C Generator Auxiliary MCCs &amp; DBs"/>
    <d v="2026-07-11T09:31:49"/>
    <s v="PS5-60-09"/>
    <x v="1"/>
    <x v="0"/>
    <s v="LV Power Cable"/>
    <s v="E"/>
    <x v="1"/>
    <s v="PS5 - Milestone D"/>
    <s v="TM-00233"/>
    <s v="Gawad, Mohamed"/>
    <s v="TZ-MID-68-WPR2-150101"/>
  </r>
  <r>
    <s v="T-00233-5220"/>
    <s v="PS5-60-IH-0001C-CL03"/>
    <m/>
    <m/>
    <m/>
    <m/>
    <x v="11"/>
    <s v="PCOM - Precommissioning"/>
    <s v="E"/>
    <x v="1"/>
    <x v="0"/>
    <s v="Cable FROM PS5-61-IK-0003 TO PS5-60-IH-0001C"/>
    <s v="EACOP"/>
    <s v="CPP AGI"/>
    <m/>
    <m/>
    <s v="4"/>
    <m/>
    <m/>
    <s v="TZ-MID-68-WPR2-150101"/>
    <s v="PS5 - TZA - PS5 - Tanzania"/>
    <s v="PS5-60-09 - Power Gen Package C Generator Auxiliary MCCs &amp; DBs"/>
    <d v="2026-07-11T09:33:48"/>
    <s v="PS5-60-09"/>
    <x v="1"/>
    <x v="0"/>
    <s v="LV Power Cable"/>
    <s v="E"/>
    <x v="1"/>
    <s v="PS5 - Milestone D"/>
    <s v="TM-00233"/>
    <s v="Gawad, Mohamed"/>
    <s v="TZ-MID-68-WPR2-150101"/>
  </r>
  <r>
    <s v="T-00233-5221"/>
    <s v="PS5-60-IH-0001C-CL04"/>
    <m/>
    <m/>
    <m/>
    <m/>
    <x v="11"/>
    <s v="PCOM - Precommissioning"/>
    <s v="E"/>
    <x v="1"/>
    <x v="0"/>
    <s v="Cable FROM PS5-61-IK-0003 TO PS5-60-IH-0001C"/>
    <s v="EACOP"/>
    <s v="CPP AGI"/>
    <m/>
    <m/>
    <s v="4"/>
    <m/>
    <m/>
    <s v="TZ-MID-68-WPR2-150101"/>
    <s v="PS5 - TZA - PS5 - Tanzania"/>
    <s v="PS5-60-09 - Power Gen Package C Generator Auxiliary MCCs &amp; DBs"/>
    <d v="2026-07-11T09:37:56"/>
    <s v="PS5-60-09"/>
    <x v="1"/>
    <x v="0"/>
    <s v="LV Power Cable"/>
    <s v="E"/>
    <x v="1"/>
    <s v="PS5 - Milestone D"/>
    <s v="TM-00233"/>
    <s v="Gawad, Mohamed"/>
    <s v="TZ-MID-68-WPR2-150101"/>
  </r>
  <r>
    <s v="T-00233-5222"/>
    <s v="PS5-60-IH-0001C-CL05"/>
    <m/>
    <m/>
    <m/>
    <m/>
    <x v="11"/>
    <s v="PCOM - Precommissioning"/>
    <s v="E"/>
    <x v="1"/>
    <x v="0"/>
    <s v="Cable FROM PS5-06-IG-0004B TO PS5-60-IH-0001C"/>
    <s v="EACOP"/>
    <s v="CPP AGI"/>
    <m/>
    <m/>
    <s v="4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233"/>
    <m/>
    <s v="TZ-MID-68-WPR2-150101"/>
  </r>
  <r>
    <s v="T-00233-5223"/>
    <s v="PS5-60-IH-0001C-CL06"/>
    <m/>
    <m/>
    <m/>
    <m/>
    <x v="11"/>
    <s v="PCOM - Precommissioning"/>
    <s v="E"/>
    <x v="1"/>
    <x v="0"/>
    <s v="Cable FROM PS5-06-IG-0004A TO PS5-60-IH-0001C"/>
    <s v="EACOP"/>
    <s v="CPP AGI"/>
    <m/>
    <m/>
    <s v="4"/>
    <m/>
    <m/>
    <s v="TZ-MID-68-WPR2-150101"/>
    <s v="PS5 - TZA - PS5 - Tanzania"/>
    <s v="PS5-60-09 - Power Gen Package C Generator Auxiliary MCCs &amp; DBs"/>
    <m/>
    <s v="PS5-60-09"/>
    <x v="1"/>
    <x v="0"/>
    <s v="LV Power Cable"/>
    <s v="E"/>
    <x v="0"/>
    <s v="PS5 - Milestone D"/>
    <s v="TM-00233"/>
    <m/>
    <s v="TZ-MID-68-WPR2-150101"/>
  </r>
  <r>
    <s v="T-00233-5225"/>
    <s v="PS5-60-IH-0001D-CL01"/>
    <m/>
    <m/>
    <m/>
    <m/>
    <x v="11"/>
    <s v="PCOM - Precommissioning"/>
    <s v="E"/>
    <x v="1"/>
    <x v="0"/>
    <s v="Cable FROM PS5-61-IK-0003 TO PS5-60-IH-0001D"/>
    <s v="EACOP"/>
    <s v="CPP AGI"/>
    <m/>
    <m/>
    <s v="4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s v="TZ-MID-68-WPR2-150101"/>
  </r>
  <r>
    <s v="T-00233-5226"/>
    <s v="PS5-60-IH-0001D-CL02"/>
    <m/>
    <m/>
    <m/>
    <m/>
    <x v="11"/>
    <s v="PCOM - Precommissioning"/>
    <s v="E"/>
    <x v="1"/>
    <x v="0"/>
    <s v="Cable FROM PS5-61-IK-0003 TO PS5-60-IH-0001D"/>
    <s v="EACOP"/>
    <s v="CPP AGI"/>
    <m/>
    <m/>
    <s v="4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s v="TZ-MID-68-WPR2-150101"/>
  </r>
  <r>
    <s v="T-00233-5227"/>
    <s v="PS5-60-IH-0001D-CL03"/>
    <m/>
    <m/>
    <m/>
    <m/>
    <x v="11"/>
    <s v="PCOM - Precommissioning"/>
    <s v="E"/>
    <x v="1"/>
    <x v="0"/>
    <s v="Cable FROM PS5-61-IK-0003 TO PS5-60-IH-0001D"/>
    <s v="EACOP"/>
    <s v="CPP AGI"/>
    <m/>
    <m/>
    <s v="4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s v="TZ-MID-68-WPR2-150101"/>
  </r>
  <r>
    <s v="T-00233-5228"/>
    <s v="PS5-60-IH-0001D-CL04"/>
    <m/>
    <m/>
    <m/>
    <m/>
    <x v="11"/>
    <s v="PCOM - Precommissioning"/>
    <s v="E"/>
    <x v="1"/>
    <x v="0"/>
    <s v="Cable FROM PS5-61-IK-0003 TO PS5-60-IH-0001D"/>
    <s v="EACOP"/>
    <s v="CPP AGI"/>
    <m/>
    <m/>
    <s v="4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s v="TZ-MID-68-WPR2-150101"/>
  </r>
  <r>
    <s v="T-00233-5229"/>
    <s v="PS5-60-IH-0001D-CL05"/>
    <m/>
    <m/>
    <m/>
    <m/>
    <x v="11"/>
    <s v="PCOM - Precommissioning"/>
    <s v="E"/>
    <x v="1"/>
    <x v="0"/>
    <s v="Cable FROM PS5-06-IG-0004B TO PS5-60-IH-0001D"/>
    <s v="EACOP"/>
    <s v="CPP AGI"/>
    <m/>
    <m/>
    <s v="4"/>
    <m/>
    <m/>
    <s v="TZ-MID-68-WPR2-150101"/>
    <s v="PS5 - TZA - PS5 - Tanzania"/>
    <s v="PS5-60-12 - Power Gen Package D Generator Auxiliary MCCs &amp; DBs"/>
    <d v="2026-06-19T04:32:48"/>
    <s v="PS5-60-12"/>
    <x v="1"/>
    <x v="0"/>
    <s v="LV Power Cable"/>
    <s v="E"/>
    <x v="1"/>
    <s v="PS5 - Milestone D"/>
    <s v="TM-00233"/>
    <s v="Gawad, Mohamed"/>
    <s v="TZ-MID-68-WPR2-150101"/>
  </r>
  <r>
    <s v="T-00233-5230"/>
    <s v="PS5-60-IH-0001D-CL06"/>
    <m/>
    <m/>
    <m/>
    <m/>
    <x v="11"/>
    <s v="PCOM - Precommissioning"/>
    <s v="E"/>
    <x v="1"/>
    <x v="0"/>
    <s v="Cable FROM PS5-06-IG-0004A TO PS5-60-IH-0001D"/>
    <s v="EACOP"/>
    <s v="CPP AGI"/>
    <m/>
    <m/>
    <s v="4"/>
    <m/>
    <m/>
    <s v="TZ-MID-68-WPR2-150101"/>
    <s v="PS5 - TZA - PS5 - Tanzania"/>
    <s v="PS5-60-12 - Power Gen Package D Generator Auxiliary MCCs &amp; DBs"/>
    <m/>
    <s v="PS5-60-12"/>
    <x v="1"/>
    <x v="0"/>
    <s v="LV Power Cable"/>
    <s v="E"/>
    <x v="0"/>
    <s v="PS5 - Milestone D"/>
    <s v="TM-00233"/>
    <m/>
    <s v="TZ-MID-68-WPR2-150101"/>
  </r>
  <r>
    <s v="T-00233-5254"/>
    <s v="PS5-60-IH-0002-CL01"/>
    <m/>
    <m/>
    <m/>
    <m/>
    <x v="11"/>
    <s v="PCOM - Precommissioning"/>
    <s v="E"/>
    <x v="1"/>
    <x v="0"/>
    <s v="Cable FROM PS5-06-IG-0004A TO PS5-60-IH-0002"/>
    <s v="EACOP"/>
    <s v="CPP AGI"/>
    <m/>
    <m/>
    <s v="4"/>
    <m/>
    <m/>
    <s v="TZ-MID-68-WPR2-150101"/>
    <s v="PS5 - TZA - PS5 - Tanzania"/>
    <s v="PS5-60-22 - Power Gen Master UCP"/>
    <d v="2026-06-19T04:32:38"/>
    <s v="PS5-60-22"/>
    <x v="0"/>
    <x v="0"/>
    <s v="LV Power Cable"/>
    <s v="E"/>
    <x v="1"/>
    <s v="PS5 - Milestone B"/>
    <s v="TM-00233"/>
    <s v="Gawad, Mohamed"/>
    <s v="TZ-MID-68-WPR2-150101"/>
  </r>
  <r>
    <s v="T-00233-5255"/>
    <s v="PS5-60-IH-0002-CL02"/>
    <m/>
    <m/>
    <m/>
    <m/>
    <x v="11"/>
    <s v="PCOM - Precommissioning"/>
    <s v="E"/>
    <x v="1"/>
    <x v="0"/>
    <s v="Cable FROM PS5-06-IG-0004B TO PS5-60-IH-0002"/>
    <s v="EACOP"/>
    <s v="CPP AGI"/>
    <m/>
    <m/>
    <s v="4"/>
    <m/>
    <m/>
    <s v="TZ-MID-68-WPR2-150101"/>
    <s v="PS5 - TZA - PS5 - Tanzania"/>
    <s v="PS5-60-22 - Power Gen Master UCP"/>
    <d v="2026-06-19T04:32:31"/>
    <s v="PS5-60-22"/>
    <x v="0"/>
    <x v="0"/>
    <s v="LV Power Cable"/>
    <s v="E"/>
    <x v="1"/>
    <s v="PS5 - Milestone B"/>
    <s v="TM-00233"/>
    <s v="Gawad, Mohamed"/>
    <s v="TZ-MID-68-WPR2-150101"/>
  </r>
  <r>
    <s v="T-00233-5256"/>
    <s v="PS5-60-IH-0002-CL03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17:46"/>
    <s v="PS5-60-22"/>
    <x v="0"/>
    <x v="0"/>
    <s v="LV Power Cable"/>
    <s v="E"/>
    <x v="1"/>
    <s v="PS5 - Milestone B"/>
    <s v="TM-00233"/>
    <s v="Gawad, Mohamed"/>
    <s v="TZ-MID-68-WPR2-150101"/>
  </r>
  <r>
    <s v="T-00233-5257"/>
    <s v="PS5-60-IH-0002-CL04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19:51"/>
    <s v="PS5-60-22"/>
    <x v="0"/>
    <x v="0"/>
    <s v="LV Power Cable"/>
    <s v="E"/>
    <x v="1"/>
    <s v="PS5 - Milestone B"/>
    <s v="TM-00233"/>
    <s v="Gawad, Mohamed"/>
    <s v="TZ-MID-68-WPR2-150101"/>
  </r>
  <r>
    <s v="T-00233-5258"/>
    <s v="PS5-60-IH-0002-CL05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20:16"/>
    <s v="PS5-60-22"/>
    <x v="0"/>
    <x v="0"/>
    <s v="LV Power Cable"/>
    <s v="E"/>
    <x v="1"/>
    <s v="PS5 - Milestone B"/>
    <s v="TM-00233"/>
    <s v="Gawad, Mohamed"/>
    <s v="TZ-MID-68-WPR2-150101"/>
  </r>
  <r>
    <s v="T-00233-5259"/>
    <s v="PS5-60-IH-0002-CL06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20:23"/>
    <s v="PS5-60-22"/>
    <x v="0"/>
    <x v="0"/>
    <s v="LV Power Cable"/>
    <s v="E"/>
    <x v="1"/>
    <s v="PS5 - Milestone B"/>
    <s v="TM-00233"/>
    <s v="Gawad, Mohamed"/>
    <s v="TZ-MID-68-WPR2-150101"/>
  </r>
  <r>
    <s v="T-00233-5260"/>
    <s v="PS5-60-IH-0002-CL07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20:30"/>
    <s v="PS5-60-22"/>
    <x v="0"/>
    <x v="0"/>
    <s v="LV Power Cable"/>
    <s v="E"/>
    <x v="1"/>
    <s v="PS5 - Milestone B"/>
    <s v="TM-00233"/>
    <s v="Gawad, Mohamed"/>
    <s v="TZ-MID-68-WPR2-150101"/>
  </r>
  <r>
    <s v="T-00233-5261"/>
    <s v="PS5-60-IH-0002-CL08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20:36"/>
    <s v="PS5-60-22"/>
    <x v="0"/>
    <x v="0"/>
    <s v="LV Power Cable"/>
    <s v="E"/>
    <x v="1"/>
    <s v="PS5 - Milestone B"/>
    <s v="TM-00233"/>
    <s v="Gawad, Mohamed"/>
    <s v="TZ-MID-68-WPR2-150101"/>
  </r>
  <r>
    <s v="T-00233-5262"/>
    <s v="PS5-60-IH-0002-CL09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20:46"/>
    <s v="PS5-60-22"/>
    <x v="0"/>
    <x v="0"/>
    <s v="LV Power Cable"/>
    <s v="E"/>
    <x v="1"/>
    <s v="PS5 - Milestone B"/>
    <s v="TM-00233"/>
    <s v="Gawad, Mohamed"/>
    <s v="TZ-MID-68-WPR2-150101"/>
  </r>
  <r>
    <s v="T-00233-5263"/>
    <s v="PS5-60-IH-0002-CL10"/>
    <m/>
    <m/>
    <m/>
    <m/>
    <x v="11"/>
    <s v="PCOM - Precommissioning"/>
    <s v="E"/>
    <x v="1"/>
    <x v="0"/>
    <s v="Cable FROM PS5-61-IK-0003 TO PS5-60-IH-0002"/>
    <s v="EACOP"/>
    <s v="CPP AGI"/>
    <m/>
    <m/>
    <s v="4"/>
    <m/>
    <m/>
    <s v="TZ-MID-68-WPR2-150101"/>
    <s v="PS5 - TZA - PS5 - Tanzania"/>
    <s v="PS5-60-22 - Power Gen Master UCP"/>
    <d v="2026-06-19T04:19:58"/>
    <s v="PS5-60-22"/>
    <x v="0"/>
    <x v="0"/>
    <s v="LV Power Cable"/>
    <s v="E"/>
    <x v="1"/>
    <s v="PS5 - Milestone B"/>
    <s v="TM-00233"/>
    <s v="Gawad, Mohamed"/>
    <s v="TZ-MID-68-WPR2-150101"/>
  </r>
  <r>
    <s v="T-00233-5264"/>
    <s v="PS5-60-IN-0001A-CL01"/>
    <m/>
    <m/>
    <m/>
    <m/>
    <x v="11"/>
    <s v="PCOM - Precommissioning"/>
    <s v="E"/>
    <x v="1"/>
    <x v="0"/>
    <s v="Cable FROM PS5-60-IH-0001A TO PS5-60-IN-0001A"/>
    <s v="EACOP"/>
    <s v="CPP AGI"/>
    <m/>
    <m/>
    <s v="4"/>
    <m/>
    <m/>
    <s v="TZ-MID-68-WPR2-150101"/>
    <s v="PS5 - TZA - PS5 - Tanzania"/>
    <s v="PS5-60-49 - Lube Oil Separator Module PS5-60-UO-81100A"/>
    <d v="2026-06-19T04:50:41"/>
    <s v="PS5-60-49"/>
    <x v="0"/>
    <x v="0"/>
    <s v="LV Power Cable"/>
    <s v="E"/>
    <x v="1"/>
    <s v="PS5 - Milestone B"/>
    <s v="TM-00233"/>
    <s v="Gawad, Mohamed"/>
    <s v="TZ-MID-68-WPR2-150101"/>
  </r>
  <r>
    <s v="T-00233-5265"/>
    <s v="PS5-60-IN-0001B-CL01"/>
    <m/>
    <m/>
    <m/>
    <m/>
    <x v="11"/>
    <s v="PCOM - Precommissioning"/>
    <s v="E"/>
    <x v="1"/>
    <x v="0"/>
    <s v="Cable FROM PS5-60-IH-0001B TO PS5-60-IN-0001B"/>
    <s v="EACOP"/>
    <s v="CPP AGI"/>
    <m/>
    <m/>
    <s v="4"/>
    <m/>
    <m/>
    <s v="TZ-MID-68-WPR2-150101"/>
    <s v="PS5 - TZA - PS5 - Tanzania"/>
    <s v="PS5-60-50 - Lube Oil Separator Module PS5-60-UO-81100B"/>
    <d v="2026-06-19T04:50:45"/>
    <s v="PS5-60-50"/>
    <x v="0"/>
    <x v="0"/>
    <s v="LV Power Cable"/>
    <s v="E"/>
    <x v="1"/>
    <s v="PS5 - Milestone B"/>
    <s v="TM-00233"/>
    <s v="Gawad, Mohamed"/>
    <s v="TZ-MID-68-WPR2-150101"/>
  </r>
  <r>
    <s v="T-00233-5266"/>
    <s v="PS5-60-IN-0001C-CL01"/>
    <m/>
    <m/>
    <m/>
    <m/>
    <x v="11"/>
    <s v="PCOM - Precommissioning"/>
    <s v="E"/>
    <x v="1"/>
    <x v="0"/>
    <s v="Cable FROM PS5-60-IH-0001C TO PS5-60-IN-0001C"/>
    <s v="EACOP"/>
    <s v="CPP AGI"/>
    <m/>
    <m/>
    <s v="4"/>
    <m/>
    <m/>
    <s v="TZ-MID-68-WPR2-150101"/>
    <s v="PS5 - TZA - PS5 - Tanzania"/>
    <s v="PS5-60-51 - Lube Oil Separator Module PS5-60-UO-81100C"/>
    <m/>
    <s v="PS5-60-51"/>
    <x v="1"/>
    <x v="0"/>
    <s v="LV Power Cable"/>
    <s v="E"/>
    <x v="0"/>
    <s v="PS5 - Milestone D"/>
    <s v="TM-00233"/>
    <m/>
    <s v="TZ-MID-68-WPR2-150101"/>
  </r>
  <r>
    <s v="T-00233-5267"/>
    <s v="PS5-60-IN-0001D-CL01"/>
    <m/>
    <m/>
    <m/>
    <m/>
    <x v="11"/>
    <s v="PCOM - Precommissioning"/>
    <s v="E"/>
    <x v="1"/>
    <x v="0"/>
    <s v="Cable FROM PS5-60-IH-0001D TO PS5-60-IN-0001D"/>
    <s v="EACOP"/>
    <s v="CPP AGI"/>
    <m/>
    <m/>
    <s v="4"/>
    <m/>
    <m/>
    <s v="TZ-MID-68-WPR2-150101"/>
    <s v="PS5 - TZA - PS5 - Tanzania"/>
    <s v="PS5-60-52 - Lube Oil Separator Module PS5-60-UO-81100D"/>
    <d v="2026-06-19T04:50:28"/>
    <s v="PS5-60-52"/>
    <x v="1"/>
    <x v="0"/>
    <s v="LV Power Cable"/>
    <s v="E"/>
    <x v="1"/>
    <s v="PS5 - Milestone D"/>
    <s v="TM-00233"/>
    <s v="Gawad, Mohamed"/>
    <s v="TZ-MID-68-WPR2-150101"/>
  </r>
  <r>
    <s v="T-00233-5271"/>
    <s v="PS5-60-IN-0002A-CL01"/>
    <m/>
    <m/>
    <m/>
    <m/>
    <x v="11"/>
    <s v="PCOM - Precommissioning"/>
    <s v="E"/>
    <x v="1"/>
    <x v="0"/>
    <s v="Cable FROM PS5-60-IH-0001A TO PS5-60-IN-0002A"/>
    <s v="EACOP"/>
    <s v="CPP AGI"/>
    <m/>
    <m/>
    <s v="4"/>
    <m/>
    <m/>
    <s v="TZ-MID-68-WPR2-150101"/>
    <s v="PS5 - TZA - PS5 - Tanzania"/>
    <s v="PS5-60-57 - Fuel Conditioning Module PS5-60-UZ-8900A (UCP)"/>
    <d v="2026-06-19T08:34:43"/>
    <s v="PS5-60-57"/>
    <x v="0"/>
    <x v="0"/>
    <s v="LV Power Cable"/>
    <s v="E"/>
    <x v="1"/>
    <s v="PS5 - Milestone B"/>
    <s v="TM-00233"/>
    <s v="Gawad, Mohamed"/>
    <s v="TZ-MID-68-WPR2-150101"/>
  </r>
  <r>
    <s v="T-00233-5272"/>
    <s v="PS5-60-IN-0002A-CL02"/>
    <m/>
    <m/>
    <m/>
    <m/>
    <x v="11"/>
    <s v="PCOM - Precommissioning"/>
    <s v="E"/>
    <x v="1"/>
    <x v="0"/>
    <s v="Cable FROM PS5-06-IG-0004A TO PS5-60-IN-0002A"/>
    <s v="EACOP"/>
    <s v="CPP AGI"/>
    <m/>
    <m/>
    <s v="4"/>
    <m/>
    <m/>
    <s v="TZ-MID-68-WPR2-150101"/>
    <s v="PS5 - TZA - PS5 - Tanzania"/>
    <s v="PS5-60-57 - Fuel Conditioning Module PS5-60-UZ-8900A (UCP)"/>
    <d v="2026-06-19T08:31:22"/>
    <s v="PS5-60-57"/>
    <x v="0"/>
    <x v="0"/>
    <s v="LV Power Cable"/>
    <s v="E"/>
    <x v="1"/>
    <s v="PS5 - Milestone B"/>
    <s v="TM-00233"/>
    <s v="Gawad, Mohamed"/>
    <s v="TZ-MID-68-WPR2-150101"/>
  </r>
  <r>
    <s v="T-00233-5273"/>
    <s v="PS5-60-IN-0002A-CL03"/>
    <m/>
    <m/>
    <m/>
    <m/>
    <x v="11"/>
    <s v="PCOM - Precommissioning"/>
    <s v="E"/>
    <x v="1"/>
    <x v="0"/>
    <s v="Cable FROM PS5-06-IG-0004B TO PS5-60-IN-0002A"/>
    <s v="EACOP"/>
    <s v="CPP AGI"/>
    <m/>
    <m/>
    <s v="4"/>
    <m/>
    <m/>
    <s v="TZ-MID-68-WPR2-150101"/>
    <s v="PS5 - TZA - PS5 - Tanzania"/>
    <s v="PS5-60-57 - Fuel Conditioning Module PS5-60-UZ-8900A (UCP)"/>
    <d v="2026-06-19T08:31:29"/>
    <s v="PS5-60-57"/>
    <x v="0"/>
    <x v="0"/>
    <s v="LV Power Cable"/>
    <s v="E"/>
    <x v="1"/>
    <s v="PS5 - Milestone B"/>
    <s v="TM-00233"/>
    <s v="Gawad, Mohamed"/>
    <s v="TZ-MID-68-WPR2-150101"/>
  </r>
  <r>
    <s v="T-00233-5274"/>
    <s v="PS5-60-IN-0002B-CL01"/>
    <m/>
    <m/>
    <m/>
    <m/>
    <x v="11"/>
    <s v="PCOM - Precommissioning"/>
    <s v="E"/>
    <x v="1"/>
    <x v="0"/>
    <s v="Cable FROM PS5-60-IH-0001B TO PS5-60-IN-0002B"/>
    <s v="EACOP"/>
    <s v="CPP AGI"/>
    <m/>
    <m/>
    <s v="4"/>
    <m/>
    <m/>
    <s v="TZ-MID-68-WPR2-150101"/>
    <s v="PS5 - TZA - PS5 - Tanzania"/>
    <s v="PS5-60-59 - Fuel Conditioning Module PS5-60-UZ-8900B (UCP)"/>
    <d v="2026-06-19T08:34:47"/>
    <s v="PS5-60-59"/>
    <x v="0"/>
    <x v="0"/>
    <s v="LV Power Cable"/>
    <s v="E"/>
    <x v="1"/>
    <s v="PS5 - Milestone B"/>
    <s v="TM-00233"/>
    <s v="Gawad, Mohamed"/>
    <s v="TZ-MID-68-WPR2-150101"/>
  </r>
  <r>
    <s v="T-00233-5275"/>
    <s v="PS5-60-IN-0002B-CL02"/>
    <m/>
    <m/>
    <m/>
    <m/>
    <x v="11"/>
    <s v="PCOM - Precommissioning"/>
    <s v="E"/>
    <x v="1"/>
    <x v="0"/>
    <s v="Cable FROM PS5-06-IG-0004A TO PS5-60-IN-0002B"/>
    <s v="EACOP"/>
    <s v="CPP AGI"/>
    <m/>
    <m/>
    <s v="4"/>
    <m/>
    <m/>
    <s v="TZ-MID-68-WPR2-150101"/>
    <s v="PS5 - TZA - PS5 - Tanzania"/>
    <s v="PS5-60-59 - Fuel Conditioning Module PS5-60-UZ-8900B (UCP)"/>
    <d v="2026-06-19T08:30:53"/>
    <s v="PS5-60-59"/>
    <x v="0"/>
    <x v="0"/>
    <s v="LV Power Cable"/>
    <s v="E"/>
    <x v="1"/>
    <s v="PS5 - Milestone B"/>
    <s v="TM-00233"/>
    <s v="Gawad, Mohamed"/>
    <s v="TZ-MID-68-WPR2-150101"/>
  </r>
  <r>
    <s v="T-00233-5276"/>
    <s v="PS5-60-IN-0002B-CL03"/>
    <m/>
    <m/>
    <m/>
    <m/>
    <x v="11"/>
    <s v="PCOM - Precommissioning"/>
    <s v="E"/>
    <x v="1"/>
    <x v="0"/>
    <s v="Cable FROM PS5-06-IG-0004B TO PS5-60-IN-0002B"/>
    <s v="EACOP"/>
    <s v="CPP AGI"/>
    <m/>
    <m/>
    <s v="4"/>
    <m/>
    <m/>
    <s v="TZ-MID-68-WPR2-150101"/>
    <s v="PS5 - TZA - PS5 - Tanzania"/>
    <s v="PS5-60-59 - Fuel Conditioning Module PS5-60-UZ-8900B (UCP)"/>
    <d v="2026-06-19T08:32:30"/>
    <s v="PS5-60-59"/>
    <x v="0"/>
    <x v="0"/>
    <s v="LV Power Cable"/>
    <s v="E"/>
    <x v="1"/>
    <s v="PS5 - Milestone B"/>
    <s v="TM-00233"/>
    <s v="Gawad, Mohamed"/>
    <s v="TZ-MID-68-WPR2-150101"/>
  </r>
  <r>
    <s v="T-00233-5277"/>
    <s v="PS5-60-IN-0002C-CL01"/>
    <m/>
    <m/>
    <m/>
    <m/>
    <x v="11"/>
    <s v="PCOM - Precommissioning"/>
    <s v="E"/>
    <x v="1"/>
    <x v="0"/>
    <s v="Cable FROM PS5-60-IH-0001C TO PS5-60-IN-0002C"/>
    <s v="EACOP"/>
    <s v="CPP AGI"/>
    <m/>
    <m/>
    <s v="4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233"/>
    <m/>
    <s v="TZ-MID-68-WPR2-150101"/>
  </r>
  <r>
    <s v="T-00233-5278"/>
    <s v="PS5-60-IN-0002C-CL02"/>
    <m/>
    <m/>
    <m/>
    <m/>
    <x v="11"/>
    <s v="PCOM - Precommissioning"/>
    <s v="E"/>
    <x v="1"/>
    <x v="0"/>
    <s v="Cable FROM PS5-06-IG-0004A TO PS5-60-IN-0002C"/>
    <s v="EACOP"/>
    <s v="CPP AGI"/>
    <m/>
    <m/>
    <s v="4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233"/>
    <m/>
    <s v="TZ-MID-68-WPR2-150101"/>
  </r>
  <r>
    <s v="T-00233-5279"/>
    <s v="PS5-60-IN-0002C-CL03"/>
    <m/>
    <m/>
    <m/>
    <m/>
    <x v="11"/>
    <s v="PCOM - Precommissioning"/>
    <s v="E"/>
    <x v="1"/>
    <x v="0"/>
    <s v="Cable FROM PS5-06-IG-0004B TO PS5-60-IN-0002C"/>
    <s v="EACOP"/>
    <s v="CPP AGI"/>
    <m/>
    <m/>
    <s v="4"/>
    <m/>
    <m/>
    <s v="TZ-MID-68-WPR2-150101"/>
    <s v="PS5 - TZA - PS5 - Tanzania"/>
    <s v="PS5-60-61 - Fuel Conditioning Module PS5-60-UZ-8900C (UCP)"/>
    <m/>
    <s v="PS5-60-61"/>
    <x v="1"/>
    <x v="0"/>
    <s v="LV Power Cable"/>
    <s v="E"/>
    <x v="0"/>
    <s v="PS5 - Milestone D"/>
    <s v="TM-00233"/>
    <m/>
    <s v="TZ-MID-68-WPR2-150101"/>
  </r>
  <r>
    <s v="T-00233-5280"/>
    <s v="PS5-60-IN-0002D-CL01"/>
    <m/>
    <m/>
    <m/>
    <m/>
    <x v="11"/>
    <s v="PCOM - Precommissioning"/>
    <s v="E"/>
    <x v="1"/>
    <x v="0"/>
    <s v="Cable FROM PS5-60-IH-0001D TO PS5-60-IN-0002D"/>
    <s v="EACOP"/>
    <s v="CPP AGI"/>
    <m/>
    <m/>
    <s v="4"/>
    <m/>
    <m/>
    <s v="TZ-MID-68-WPR2-150101"/>
    <s v="PS5 - TZA - PS5 - Tanzania"/>
    <s v="PS5-60-63 - Fuel Conditioning Module PS5-60-UZ-8900D (UCP)"/>
    <d v="2026-06-19T04:53:04"/>
    <s v="PS5-60-63"/>
    <x v="1"/>
    <x v="0"/>
    <s v="LV Power Cable"/>
    <s v="E"/>
    <x v="1"/>
    <s v="PS5 - Milestone D"/>
    <s v="TM-00233"/>
    <s v="Gawad, Mohamed"/>
    <s v="TZ-MID-68-WPR2-150101"/>
  </r>
  <r>
    <s v="T-00233-5281"/>
    <s v="PS5-60-IN-0002D-CL02"/>
    <m/>
    <m/>
    <m/>
    <m/>
    <x v="11"/>
    <s v="PCOM - Precommissioning"/>
    <s v="E"/>
    <x v="1"/>
    <x v="0"/>
    <s v="Cable FROM PS5-06-IG-0004A TO PS5-60-IN-0002D"/>
    <s v="EACOP"/>
    <s v="CPP AGI"/>
    <m/>
    <m/>
    <s v="4"/>
    <m/>
    <m/>
    <s v="TZ-MID-68-WPR2-150101"/>
    <s v="PS5 - TZA - PS5 - Tanzania"/>
    <s v="PS5-60-63 - Fuel Conditioning Module PS5-60-UZ-8900D (UCP)"/>
    <d v="2026-06-19T04:32:24"/>
    <s v="PS5-60-63"/>
    <x v="1"/>
    <x v="0"/>
    <s v="LV Power Cable"/>
    <s v="E"/>
    <x v="1"/>
    <s v="PS5 - Milestone D"/>
    <s v="TM-00233"/>
    <s v="Gawad, Mohamed"/>
    <s v="TZ-MID-68-WPR2-150101"/>
  </r>
  <r>
    <s v="T-00233-5282"/>
    <s v="PS5-60-IN-0002D-CL03"/>
    <m/>
    <m/>
    <m/>
    <m/>
    <x v="11"/>
    <s v="PCOM - Precommissioning"/>
    <s v="E"/>
    <x v="1"/>
    <x v="0"/>
    <s v="Cable FROM PS5-06-IG-0004B TO PS5-60-IN-0002D"/>
    <s v="EACOP"/>
    <s v="CPP AGI"/>
    <m/>
    <m/>
    <s v="4"/>
    <m/>
    <m/>
    <s v="TZ-MID-68-WPR2-150101"/>
    <s v="PS5 - TZA - PS5 - Tanzania"/>
    <s v="PS5-60-63 - Fuel Conditioning Module PS5-60-UZ-8900D (UCP)"/>
    <d v="2026-06-19T04:32:16"/>
    <s v="PS5-60-63"/>
    <x v="1"/>
    <x v="0"/>
    <s v="LV Power Cable"/>
    <s v="E"/>
    <x v="1"/>
    <s v="PS5 - Milestone D"/>
    <s v="TM-00233"/>
    <s v="Gawad, Mohamed"/>
    <s v="TZ-MID-68-WPR2-150101"/>
  </r>
  <r>
    <s v="T-00233-5292"/>
    <s v="PS5-60-IWK-0001A-CL01"/>
    <m/>
    <m/>
    <m/>
    <m/>
    <x v="11"/>
    <s v="PCOM - Precommissioning"/>
    <s v="E"/>
    <x v="1"/>
    <x v="0"/>
    <s v="Cable FROM PS5-06-IG-0004A TO PS5-60-IWK-0001A"/>
    <s v="EACOP"/>
    <s v="CPP AGI"/>
    <m/>
    <m/>
    <s v="4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233"/>
    <m/>
    <s v="TZ-MID-68-WPR2-150101"/>
  </r>
  <r>
    <s v="T-00233-5293"/>
    <s v="PS5-60-IWK-0001A-CL02"/>
    <m/>
    <m/>
    <m/>
    <m/>
    <x v="11"/>
    <s v="PCOM - Precommissioning"/>
    <s v="E"/>
    <x v="1"/>
    <x v="0"/>
    <s v="Cable FROM PS5-06-IG-0004B TO PS5-60-IWK-0001A"/>
    <s v="EACOP"/>
    <s v="CPP AGI"/>
    <m/>
    <m/>
    <s v="4"/>
    <m/>
    <m/>
    <s v="TZ-MID-68-WPR2-150101"/>
    <s v="PS5 - TZA - PS5 - Tanzania"/>
    <s v="PS5-60-22 - Power Gen Master UCP"/>
    <m/>
    <s v="PS5-60-22"/>
    <x v="0"/>
    <x v="0"/>
    <s v="LV Power Cable"/>
    <s v="E"/>
    <x v="0"/>
    <s v="PS5 - Milestone B"/>
    <s v="TM-00233"/>
    <m/>
    <s v="TZ-MID-68-WPR2-150101"/>
  </r>
  <r>
    <s v="T-00233-5294"/>
    <s v="PS5-60-IWK-0001B-CL01"/>
    <m/>
    <m/>
    <m/>
    <m/>
    <x v="11"/>
    <s v="PCOM - Precommissioning"/>
    <s v="E"/>
    <x v="1"/>
    <x v="0"/>
    <s v="Cable FROM PS5-06-IG-0004A TO PS5-60-IWK-0001B"/>
    <s v="EACOP"/>
    <s v="CPP AGI"/>
    <m/>
    <m/>
    <s v="4"/>
    <m/>
    <m/>
    <s v="TZ-MID-68-WPR2-150101"/>
    <s v="PS5 - TZA - PS5 - Tanzania"/>
    <s v="PS5-60-22 - Power Gen Master UCP"/>
    <d v="2026-06-19T04:32:09"/>
    <s v="PS5-60-22"/>
    <x v="0"/>
    <x v="0"/>
    <s v="LV Power Cable"/>
    <s v="E"/>
    <x v="1"/>
    <s v="PS5 - Milestone B"/>
    <s v="TM-00233"/>
    <s v="Gawad, Mohamed"/>
    <s v="TZ-MID-68-WPR2-150101"/>
  </r>
  <r>
    <s v="T-00233-5295"/>
    <s v="PS5-60-IWK-0001B-CL02"/>
    <m/>
    <m/>
    <m/>
    <m/>
    <x v="11"/>
    <s v="PCOM - Precommissioning"/>
    <s v="E"/>
    <x v="1"/>
    <x v="0"/>
    <s v="Cable FROM PS5-06-IG-0004B TO PS5-60-IWK-0001B"/>
    <s v="EACOP"/>
    <s v="CPP AGI"/>
    <m/>
    <m/>
    <s v="4"/>
    <m/>
    <m/>
    <s v="TZ-MID-68-WPR2-150101"/>
    <s v="PS5 - TZA - PS5 - Tanzania"/>
    <s v="PS5-60-22 - Power Gen Master UCP"/>
    <d v="2026-06-19T04:32:00"/>
    <s v="PS5-60-22"/>
    <x v="0"/>
    <x v="0"/>
    <s v="LV Power Cable"/>
    <s v="E"/>
    <x v="1"/>
    <s v="PS5 - Milestone B"/>
    <s v="TM-00233"/>
    <s v="Gawad, Mohamed"/>
    <s v="TZ-MID-68-WPR2-150101"/>
  </r>
  <r>
    <s v="T-00233-5296"/>
    <s v="PS5-60-IWK-0001C-CL01"/>
    <m/>
    <m/>
    <m/>
    <m/>
    <x v="11"/>
    <s v="PCOM - Precommissioning"/>
    <s v="E"/>
    <x v="1"/>
    <x v="0"/>
    <s v="Cable FROM PS5-06-IG-0004A TO PS5-60-IWK-0001C"/>
    <s v="EACOP"/>
    <s v="CPP AGI"/>
    <m/>
    <m/>
    <s v="4"/>
    <m/>
    <m/>
    <s v="TZ-MID-68-WPR2-150101"/>
    <s v="PS5 - TZA - PS5 - Tanzania"/>
    <s v="PS5-60-22 - Power Gen Master UCP"/>
    <d v="2026-06-19T04:34:07"/>
    <s v="PS5-60-22"/>
    <x v="0"/>
    <x v="0"/>
    <s v="LV Power Cable"/>
    <s v="E"/>
    <x v="1"/>
    <s v="PS5 - Milestone B"/>
    <s v="TM-00233"/>
    <s v="Gawad, Mohamed"/>
    <s v="TZ-MID-68-WPR2-150101"/>
  </r>
  <r>
    <s v="T-00233-5297"/>
    <s v="PS5-60-IWK-0001C-CL02"/>
    <m/>
    <m/>
    <m/>
    <m/>
    <x v="11"/>
    <s v="PCOM - Precommissioning"/>
    <s v="E"/>
    <x v="1"/>
    <x v="0"/>
    <s v="Cable FROM PS5-06-IG-0004B TO PS5-60-IWK-0001C"/>
    <s v="EACOP"/>
    <s v="CPP AGI"/>
    <m/>
    <m/>
    <s v="4"/>
    <m/>
    <m/>
    <s v="TZ-MID-68-WPR2-150101"/>
    <s v="PS5 - TZA - PS5 - Tanzania"/>
    <s v="PS5-60-22 - Power Gen Master UCP"/>
    <d v="2026-06-19T04:34:13"/>
    <s v="PS5-60-22"/>
    <x v="0"/>
    <x v="0"/>
    <s v="LV Power Cable"/>
    <s v="E"/>
    <x v="1"/>
    <s v="PS5 - Milestone B"/>
    <s v="TM-00233"/>
    <s v="Gawad, Mohamed"/>
    <s v="TZ-MID-68-WPR2-150101"/>
  </r>
  <r>
    <s v="T-00233-5298"/>
    <s v="PS5-60-LA-0002A-CL01"/>
    <m/>
    <m/>
    <m/>
    <m/>
    <x v="11"/>
    <s v="PCOM - Precommissioning"/>
    <s v="E"/>
    <x v="1"/>
    <x v="0"/>
    <s v="Cable FROM PS5-06-IG-0004A TO PS5-60-LA-0002A"/>
    <s v="EACOP"/>
    <s v="CPP AGI"/>
    <m/>
    <m/>
    <s v="4"/>
    <m/>
    <m/>
    <s v="TZ-MID-68-WPR2-150101"/>
    <s v="PS5 - TZA - PS5 - Tanzania"/>
    <s v="PS5-60-01 - Power Generation Package A"/>
    <d v="2026-06-19T04:34:18"/>
    <s v="PS5-60-01"/>
    <x v="0"/>
    <x v="0"/>
    <s v="LV Power Cable"/>
    <s v="E"/>
    <x v="1"/>
    <s v="PS5 - Milestone B"/>
    <s v="TM-00233"/>
    <s v="Gawad, Mohamed"/>
    <s v="TZ-MID-68-WPR2-150101"/>
  </r>
  <r>
    <s v="T-00233-5299"/>
    <s v="PS5-60-LA-0002A-CL02"/>
    <m/>
    <m/>
    <m/>
    <m/>
    <x v="11"/>
    <s v="PCOM - Precommissioning"/>
    <s v="E"/>
    <x v="1"/>
    <x v="0"/>
    <s v="Cable FROM PS5-06-IG-0004B TO PS5-60-LA-0002A"/>
    <s v="EACOP"/>
    <s v="CPP AGI"/>
    <m/>
    <m/>
    <s v="4"/>
    <m/>
    <m/>
    <s v="TZ-MID-68-WPR2-150101"/>
    <s v="PS5 - TZA - PS5 - Tanzania"/>
    <s v="PS5-60-01 - Power Generation Package A"/>
    <d v="2026-06-19T04:34:28"/>
    <s v="PS5-60-01"/>
    <x v="0"/>
    <x v="0"/>
    <s v="LV Power Cable"/>
    <s v="E"/>
    <x v="1"/>
    <s v="PS5 - Milestone B"/>
    <s v="TM-00233"/>
    <s v="Gawad, Mohamed"/>
    <s v="TZ-MID-68-WPR2-150101"/>
  </r>
  <r>
    <s v="T-00233-5300"/>
    <s v="PS5-60-LA-0002B-CL01"/>
    <m/>
    <m/>
    <m/>
    <m/>
    <x v="11"/>
    <s v="PCOM - Precommissioning"/>
    <s v="E"/>
    <x v="1"/>
    <x v="0"/>
    <s v="Cable FROM PS5-06-IG-0004A TO PS5-60-LA-0002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301"/>
    <s v="PS5-60-LA-0002B-CL02"/>
    <m/>
    <m/>
    <m/>
    <m/>
    <x v="11"/>
    <s v="PCOM - Precommissioning"/>
    <s v="E"/>
    <x v="1"/>
    <x v="0"/>
    <s v="Cable FROM PS5-06-IG-0004B TO PS5-60-LA-0002B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LV Power Cable"/>
    <s v="E"/>
    <x v="0"/>
    <s v="PS5 - Milestone D"/>
    <s v="TM-00233"/>
    <m/>
    <s v="TZ-MID-68-WPR2-150101"/>
  </r>
  <r>
    <s v="T-00233-5304"/>
    <s v="PS5-60-LA-0003-CL01"/>
    <m/>
    <m/>
    <m/>
    <m/>
    <x v="11"/>
    <s v="PCOM - Precommissioning"/>
    <s v="E"/>
    <x v="1"/>
    <x v="0"/>
    <s v="Cable FROM PS5-06-IG-0004A TO PS5-60-LA-0003"/>
    <s v="EACOP"/>
    <s v="CPP AGI"/>
    <m/>
    <m/>
    <s v="4"/>
    <m/>
    <m/>
    <s v="TZ-MID-68-WPR2-150101"/>
    <s v="PS5 - TZA - PS5 - Tanzania"/>
    <s v="PS5-60-22 - Power Gen Master UCP"/>
    <d v="2026-06-19T08:32:36"/>
    <s v="PS5-60-22"/>
    <x v="0"/>
    <x v="0"/>
    <s v="LV Power Cable"/>
    <s v="E"/>
    <x v="1"/>
    <s v="PS5 - Milestone B"/>
    <s v="TM-00233"/>
    <s v="Gawad, Mohamed"/>
    <s v="TZ-MID-68-WPR2-150101"/>
  </r>
  <r>
    <s v="T-00233-5305"/>
    <s v="PS5-60-LA-0003-CL02"/>
    <m/>
    <m/>
    <m/>
    <m/>
    <x v="11"/>
    <s v="PCOM - Precommissioning"/>
    <s v="E"/>
    <x v="1"/>
    <x v="0"/>
    <s v="Cable FROM PS5-06-IG-0004B TO PS5-60-LA-0003"/>
    <s v="EACOP"/>
    <s v="CPP AGI"/>
    <m/>
    <m/>
    <s v="4"/>
    <m/>
    <m/>
    <s v="TZ-MID-68-WPR2-150101"/>
    <s v="PS5 - TZA - PS5 - Tanzania"/>
    <s v="PS5-60-22 - Power Gen Master UCP"/>
    <d v="2026-06-19T08:32:25"/>
    <s v="PS5-60-22"/>
    <x v="0"/>
    <x v="0"/>
    <s v="LV Power Cable"/>
    <s v="E"/>
    <x v="1"/>
    <s v="PS5 - Milestone B"/>
    <s v="TM-00233"/>
    <s v="Gawad, Mohamed"/>
    <s v="TZ-MID-68-WPR2-150101"/>
  </r>
  <r>
    <s v="T-00233-5310"/>
    <s v="PS5-60-SEA-0001-CL01"/>
    <m/>
    <m/>
    <m/>
    <m/>
    <x v="11"/>
    <s v="PCOM - Precommissioning"/>
    <s v="E"/>
    <x v="1"/>
    <x v="0"/>
    <s v="Cable FROM PS5-06-IG-0004A TO PS5-60-SEA-0001"/>
    <s v="EACOP"/>
    <s v="CPP AGI"/>
    <m/>
    <m/>
    <s v="4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233"/>
    <m/>
    <s v="TZ-MID-68-WPR2-150101"/>
  </r>
  <r>
    <s v="T-00233-5311"/>
    <s v="PS5-60-SEA-0001-CL02"/>
    <m/>
    <m/>
    <m/>
    <m/>
    <x v="11"/>
    <s v="PCOM - Precommissioning"/>
    <s v="E"/>
    <x v="1"/>
    <x v="0"/>
    <s v="Cable FROM PS5-06-IG-0004B TO PS5-60-SEA-0001"/>
    <s v="EACOP"/>
    <s v="CPP AGI"/>
    <m/>
    <m/>
    <s v="4"/>
    <m/>
    <m/>
    <s v="TZ-MID-68-WPR2-150101"/>
    <s v="PS5 - TZA - PS5 - Tanzania"/>
    <s v="PS5-03-14 - FZ-14 - Power Generation Building - Switchgear Room"/>
    <m/>
    <s v="PS5-03-14"/>
    <x v="1"/>
    <x v="0"/>
    <s v="LV Power Cable"/>
    <s v="E"/>
    <x v="0"/>
    <s v="PS5 - Milestone E"/>
    <s v="TM-00233"/>
    <m/>
    <s v="TZ-MID-68-WPR2-150101"/>
  </r>
  <r>
    <s v="T-00233-5312"/>
    <s v="PS5-60-VS-9100A-CL01"/>
    <m/>
    <m/>
    <m/>
    <m/>
    <x v="11"/>
    <s v="PCOM - Precommissioning"/>
    <s v="E"/>
    <x v="1"/>
    <x v="0"/>
    <s v="Cable FROM PS5-60-IH-0001A TO PS5-60-VS-9100A"/>
    <s v="EACOP"/>
    <s v="CPP AGI"/>
    <m/>
    <m/>
    <s v="4"/>
    <m/>
    <m/>
    <s v="TZ-MID-68-WPR2-150101"/>
    <s v="PS5 - TZA - PS5 - Tanzania"/>
    <s v="PS5-60-42 - Oil Mist Separator Skid PS5-60-VS-9100A"/>
    <d v="2026-06-19T04:53:14"/>
    <s v="PS5-60-42"/>
    <x v="0"/>
    <x v="0"/>
    <s v="LV Power Cable"/>
    <s v="E"/>
    <x v="1"/>
    <s v="PS5 - Milestone B"/>
    <s v="TM-00233"/>
    <s v="Gawad, Mohamed"/>
    <s v="TZ-MID-68-WPR2-150101"/>
  </r>
  <r>
    <s v="T-00233-5313"/>
    <s v="PS5-60-VS-9100B-CL01"/>
    <m/>
    <m/>
    <m/>
    <m/>
    <x v="11"/>
    <s v="PCOM - Precommissioning"/>
    <s v="E"/>
    <x v="1"/>
    <x v="0"/>
    <s v="Cable FROM PS5-60-IH-0001B TO PS5-60-VS-9100B"/>
    <s v="EACOP"/>
    <s v="CPP AGI"/>
    <m/>
    <m/>
    <s v="4"/>
    <m/>
    <m/>
    <s v="TZ-MID-68-WPR2-150101"/>
    <s v="PS5 - TZA - PS5 - Tanzania"/>
    <s v="PS5-60-43 - Oil Mist Separator Skid PS5-60-VS-9100B"/>
    <d v="2026-06-19T04:53:25"/>
    <s v="PS5-60-43"/>
    <x v="0"/>
    <x v="0"/>
    <s v="LV Power Cable"/>
    <s v="E"/>
    <x v="1"/>
    <s v="PS5 - Milestone B"/>
    <s v="TM-00233"/>
    <s v="Gawad, Mohamed"/>
    <s v="TZ-MID-68-WPR2-150101"/>
  </r>
  <r>
    <s v="T-00233-5314"/>
    <s v="PS5-60-VS-9100C-CL01"/>
    <m/>
    <m/>
    <m/>
    <m/>
    <x v="11"/>
    <s v="PCOM - Precommissioning"/>
    <s v="E"/>
    <x v="1"/>
    <x v="0"/>
    <s v="Cable FROM PS5-60-IH-0001C TO PS5-60-VS-9100C"/>
    <s v="EACOP"/>
    <s v="CPP AGI"/>
    <m/>
    <m/>
    <s v="4"/>
    <m/>
    <m/>
    <s v="TZ-MID-68-WPR2-150101"/>
    <s v="PS5 - TZA - PS5 - Tanzania"/>
    <s v="PS5-60-44 - Oil Mist Separator Skid PS5-60-VS-9100C"/>
    <m/>
    <s v="PS5-60-44"/>
    <x v="1"/>
    <x v="0"/>
    <s v="LV Power Cable"/>
    <s v="E"/>
    <x v="0"/>
    <s v="PS5 - Milestone D"/>
    <s v="TM-00233"/>
    <m/>
    <s v="TZ-MID-68-WPR2-150101"/>
  </r>
  <r>
    <s v="T-00233-5315"/>
    <s v="PS5-60-VS-9100D-CL01"/>
    <m/>
    <m/>
    <m/>
    <m/>
    <x v="11"/>
    <s v="PCOM - Precommissioning"/>
    <s v="E"/>
    <x v="1"/>
    <x v="0"/>
    <s v="Cable FROM PS5-60-IH-0001D TO PS5-60-VS-9100D"/>
    <s v="EACOP"/>
    <s v="CPP AGI"/>
    <m/>
    <m/>
    <s v="4"/>
    <m/>
    <m/>
    <s v="TZ-MID-68-WPR2-150101"/>
    <s v="PS5 - TZA - PS5 - Tanzania"/>
    <s v="PS5-60-45 - Oil Mist Separator Skid PS5-60-VS-9100D"/>
    <d v="2026-06-19T04:53:31"/>
    <s v="PS5-60-45"/>
    <x v="1"/>
    <x v="0"/>
    <s v="LV Power Cable"/>
    <s v="E"/>
    <x v="1"/>
    <s v="PS5 - Milestone D"/>
    <s v="TM-00233"/>
    <s v="Gawad, Mohamed"/>
    <s v="TZ-MID-68-WPR2-150101"/>
  </r>
  <r>
    <s v="T-00233-5319"/>
    <s v="PS5-61-BI-0001-CL01"/>
    <m/>
    <m/>
    <m/>
    <m/>
    <x v="11"/>
    <s v="PCOM - Precommissioning"/>
    <s v="E"/>
    <x v="1"/>
    <x v="0"/>
    <s v="Cable FROM PS5-60-IH-0001A TO PS5-61-BI-0001"/>
    <s v="EACOP"/>
    <s v="CPP AGI"/>
    <m/>
    <m/>
    <s v="4"/>
    <m/>
    <m/>
    <s v="TZ-MID-68-WPR2-150101"/>
    <s v="PS5 - TZA - PS5 - Tanzania"/>
    <s v="PS5-60-01 - Power Generation Package A"/>
    <d v="2026-05-25T17:34:30"/>
    <s v="PS5-60-01"/>
    <x v="0"/>
    <x v="0"/>
    <s v="LV Power Cable"/>
    <s v="E"/>
    <x v="1"/>
    <s v="PS5 - Milestone B"/>
    <s v="TM-00233"/>
    <s v="Gawad, Mohamed"/>
    <s v="TZ-MID-68-WPR2-150101"/>
  </r>
  <r>
    <s v="T-00233-5320"/>
    <s v="PS5-61-BI-0002-CL01"/>
    <m/>
    <m/>
    <m/>
    <m/>
    <x v="11"/>
    <s v="PCOM - Precommissioning"/>
    <s v="E"/>
    <x v="1"/>
    <x v="0"/>
    <s v="Cable FROM PS5-60-IH-0001B TO PS5-61-BI-0002"/>
    <s v="EACOP"/>
    <s v="CPP AGI"/>
    <m/>
    <m/>
    <s v="4"/>
    <m/>
    <m/>
    <s v="TZ-MID-68-WPR2-150101"/>
    <s v="PS5 - TZA - PS5 - Tanzania"/>
    <s v="PS5-60-04 - Power Generation Package B"/>
    <d v="2026-05-25T17:34:57"/>
    <s v="PS5-60-04"/>
    <x v="0"/>
    <x v="0"/>
    <s v="LV Power Cable"/>
    <s v="E"/>
    <x v="1"/>
    <s v="PS5 - Milestone B"/>
    <s v="TM-00233"/>
    <s v="Gawad, Mohamed"/>
    <s v="TZ-MID-68-WPR2-150101"/>
  </r>
  <r>
    <s v="T-00233-5321"/>
    <s v="PS5-61-BI-0003-CL01"/>
    <m/>
    <m/>
    <m/>
    <m/>
    <x v="11"/>
    <s v="PCOM - Precommissioning"/>
    <s v="E"/>
    <x v="1"/>
    <x v="0"/>
    <s v="Cable FROM PS5-60-IH-0001C TO PS5-61-BI-0003"/>
    <s v="EACOP"/>
    <s v="CPP AGI"/>
    <m/>
    <m/>
    <s v="4"/>
    <m/>
    <m/>
    <s v="TZ-MID-68-WPR2-150101"/>
    <s v="PS5 - TZA - PS5 - Tanzania"/>
    <s v="PS5-60-07 - Power Generation Package C"/>
    <d v="2026-05-29T14:42:44"/>
    <s v="PS5-60-07"/>
    <x v="1"/>
    <x v="0"/>
    <s v="LV Power Cable"/>
    <s v="E"/>
    <x v="1"/>
    <s v="PS5 - Milestone D"/>
    <s v="TM-00233"/>
    <s v="Anwar, Zeeshan"/>
    <s v="TZ-MID-68-WPR2-150101"/>
  </r>
  <r>
    <s v="T-00233-5322"/>
    <s v="PS5-61-BI-0004-CL01"/>
    <m/>
    <m/>
    <m/>
    <m/>
    <x v="11"/>
    <s v="PCOM - Precommissioning"/>
    <s v="E"/>
    <x v="1"/>
    <x v="0"/>
    <s v="Cable FROM PS5-60-IH-0001D TO PS5-61-BI-0004"/>
    <s v="EACOP"/>
    <s v="CPP AGI"/>
    <m/>
    <m/>
    <s v="4"/>
    <m/>
    <m/>
    <s v="TZ-MID-68-WPR2-150101"/>
    <s v="PS5 - TZA - PS5 - Tanzania"/>
    <s v="PS5-60-10 - Power Generation Package D"/>
    <d v="2026-05-29T14:42:05"/>
    <s v="PS5-60-10"/>
    <x v="1"/>
    <x v="0"/>
    <s v="LV Power Cable"/>
    <s v="E"/>
    <x v="1"/>
    <s v="PS5 - Milestone D"/>
    <s v="TM-00233"/>
    <s v="Anwar, Zeeshan"/>
    <s v="TZ-MID-68-WPR2-150101"/>
  </r>
  <r>
    <s v="T-00233-5562"/>
    <s v="PS5-71-FCV-0019-CL01"/>
    <m/>
    <m/>
    <m/>
    <m/>
    <x v="11"/>
    <s v="PCOM - Precommissioning"/>
    <s v="E"/>
    <x v="1"/>
    <x v="0"/>
    <s v="Cable FROM PS5-61-IG-0043 TO PS5-71-FCV-0019"/>
    <s v="EACOP"/>
    <s v="CPP AGI"/>
    <m/>
    <m/>
    <s v="4"/>
    <m/>
    <m/>
    <s v="TZ-MID-68-WPR2-150101"/>
    <s v="PS5 - TZA - PS5 - Tanzania"/>
    <s v="PS5-71-21 - Diesel Transfer Pump A/B"/>
    <d v="2026-05-25T17:32:34"/>
    <s v="PS5-71-21"/>
    <x v="0"/>
    <x v="0"/>
    <s v="LV Power Cable"/>
    <s v="E"/>
    <x v="1"/>
    <s v="PS5 - Milestone B"/>
    <s v="TM-00233"/>
    <s v="Gawad, Mohamed"/>
    <s v="TZ-MID-68-WPR2-150101"/>
  </r>
  <r>
    <s v="T-00233-5584"/>
    <s v="PS5-71-IN-0003-CL01"/>
    <m/>
    <m/>
    <m/>
    <m/>
    <x v="11"/>
    <s v="PCOM - Precommissioning"/>
    <s v="E"/>
    <x v="1"/>
    <x v="0"/>
    <s v="Cable FROM PS5-06-IG-0004A TO PS5-71-IN-0003"/>
    <s v="EACOP"/>
    <s v="CPP AGI"/>
    <m/>
    <m/>
    <s v="4"/>
    <m/>
    <m/>
    <s v="TZ-MID-68-WPR2-150101"/>
    <s v="PS5 - TZA - PS5 - Tanzania"/>
    <s v="PS5-71-23 - Diesel Fuel Pre Pressure Module (UCP)"/>
    <d v="2026-06-19T04:37:19"/>
    <s v="PS5-71-23"/>
    <x v="0"/>
    <x v="0"/>
    <s v="LV Power Cable"/>
    <s v="E"/>
    <x v="1"/>
    <s v="PS5 - Milestone B"/>
    <s v="TM-00233"/>
    <s v="Gawad, Mohamed"/>
    <s v="TZ-MID-68-WPR2-150101"/>
  </r>
  <r>
    <s v="T-00233-5585"/>
    <s v="PS5-71-IN-0003-CL02"/>
    <m/>
    <m/>
    <m/>
    <m/>
    <x v="11"/>
    <s v="PCOM - Precommissioning"/>
    <s v="E"/>
    <x v="1"/>
    <x v="0"/>
    <s v="Cable FROM PS5-06-IG-0004B TO PS5-71-IN-0003"/>
    <s v="EACOP"/>
    <s v="CPP AGI"/>
    <m/>
    <m/>
    <s v="4"/>
    <m/>
    <m/>
    <s v="TZ-MID-68-WPR2-150101"/>
    <s v="PS5 - TZA - PS5 - Tanzania"/>
    <s v="PS5-71-23 - Diesel Fuel Pre Pressure Module (UCP)"/>
    <d v="2026-06-19T04:37:44"/>
    <s v="PS5-71-23"/>
    <x v="0"/>
    <x v="0"/>
    <s v="LV Power Cable"/>
    <s v="E"/>
    <x v="1"/>
    <s v="PS5 - Milestone B"/>
    <s v="TM-00233"/>
    <s v="Gawad, Mohamed"/>
    <s v="TZ-MID-68-WPR2-150101"/>
  </r>
  <r>
    <s v="T-00233-5586"/>
    <s v="PS5-71-IN-0003-CL03"/>
    <m/>
    <m/>
    <m/>
    <m/>
    <x v="11"/>
    <s v="PCOM - Precommissioning"/>
    <s v="E"/>
    <x v="1"/>
    <x v="0"/>
    <s v="Cable FROM PS5-60-IH-0002 TO PS5-71-IN-0003"/>
    <s v="EACOP"/>
    <s v="CPP AGI"/>
    <m/>
    <m/>
    <s v="4"/>
    <m/>
    <m/>
    <s v="TZ-MID-68-WPR2-150101"/>
    <s v="PS5 - TZA - PS5 - Tanzania"/>
    <s v="PS5-71-23 - Diesel Fuel Pre Pressure Module (UCP)"/>
    <d v="2026-06-06T04:49:37"/>
    <s v="PS5-71-23"/>
    <x v="0"/>
    <x v="0"/>
    <s v="LV Power Cable"/>
    <s v="E"/>
    <x v="1"/>
    <s v="PS5 - Milestone B"/>
    <s v="TM-00233"/>
    <s v="Gawad, Mohamed"/>
    <s v="TZ-MID-68-WPR2-150101"/>
  </r>
  <r>
    <s v="T-00233-5587"/>
    <s v="PS5-71-IN-0004A-CL01"/>
    <m/>
    <m/>
    <m/>
    <m/>
    <x v="11"/>
    <s v="PCOM - Precommissioning"/>
    <s v="E"/>
    <x v="1"/>
    <x v="0"/>
    <s v="Cable FROM PS5-06-IG-0004A TO PS5-71-IN-0004A"/>
    <s v="EACOP"/>
    <s v="CPP AGI"/>
    <m/>
    <m/>
    <s v="4"/>
    <m/>
    <m/>
    <s v="TZ-MID-68-WPR2-150101"/>
    <s v="PS5 - TZA - PS5 - Tanzania"/>
    <s v="PS5-71-07 - Crude Fuel Separation Module (UCP)"/>
    <d v="2026-07-11T09:23:09"/>
    <s v="PS5-71-07"/>
    <x v="1"/>
    <x v="0"/>
    <s v="LV Power Cable"/>
    <s v="E"/>
    <x v="1"/>
    <s v="PS5 - Milestone H"/>
    <s v="TM-00233"/>
    <s v="Gawad, Mohamed"/>
    <s v="TZ-MID-68-WPR2-150101"/>
  </r>
  <r>
    <s v="T-00233-5588"/>
    <s v="PS5-71-IN-0004A-CL02"/>
    <m/>
    <m/>
    <m/>
    <m/>
    <x v="11"/>
    <s v="PCOM - Precommissioning"/>
    <s v="E"/>
    <x v="1"/>
    <x v="0"/>
    <s v="Cable FROM PS5-06-IG-0004B TO PS5-71-IN-0004A"/>
    <s v="EACOP"/>
    <s v="CPP AGI"/>
    <m/>
    <m/>
    <s v="4"/>
    <m/>
    <m/>
    <s v="TZ-MID-68-WPR2-150101"/>
    <s v="PS5 - TZA - PS5 - Tanzania"/>
    <s v="PS5-71-07 - Crude Fuel Separation Module (UCP)"/>
    <d v="2026-07-11T09:26:34"/>
    <s v="PS5-71-07"/>
    <x v="1"/>
    <x v="0"/>
    <s v="LV Power Cable"/>
    <s v="E"/>
    <x v="1"/>
    <s v="PS5 - Milestone H"/>
    <s v="TM-00233"/>
    <s v="Gawad, Mohamed"/>
    <s v="TZ-MID-68-WPR2-150101"/>
  </r>
  <r>
    <s v="T-00233-5589"/>
    <s v="PS5-71-IN-0004A-CL03"/>
    <m/>
    <m/>
    <m/>
    <m/>
    <x v="11"/>
    <s v="PCOM - Precommissioning"/>
    <s v="E"/>
    <x v="1"/>
    <x v="0"/>
    <s v="Cable FROM PS5-60-IH-0002 TO PS5-71-IN-0004A"/>
    <s v="EACOP"/>
    <s v="CPP AGI"/>
    <m/>
    <m/>
    <s v="4"/>
    <m/>
    <s v="4"/>
    <s v="TZ-MID-68-WPR2-150101"/>
    <s v="PS5 - TZA - PS5 - Tanzania"/>
    <s v="PS5-71-07 - Crude Fuel Separation Module (UCP)"/>
    <d v="2026-06-05T08:04:32"/>
    <s v="PS5-71-07"/>
    <x v="1"/>
    <x v="0"/>
    <s v="LV Power Cable"/>
    <s v="E"/>
    <x v="1"/>
    <s v="PS5 - Milestone H"/>
    <s v="TM-00233"/>
    <s v="Gawad, Mohamed"/>
    <s v="TZ-MID-68-WPR2-150101"/>
  </r>
  <r>
    <s v="T-00233-5590"/>
    <s v="PS5-71-IN-0004B-CL01"/>
    <m/>
    <m/>
    <m/>
    <m/>
    <x v="11"/>
    <s v="PCOM - Precommissioning"/>
    <s v="E"/>
    <x v="1"/>
    <x v="0"/>
    <s v="Cable FROM PS5-06-IG-0004A TO PS5-71-IN-0004B"/>
    <s v="EACOP"/>
    <s v="CPP AGI"/>
    <m/>
    <m/>
    <s v="4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s v="TZ-MID-68-WPR2-150101"/>
  </r>
  <r>
    <s v="T-00233-5591"/>
    <s v="PS5-71-IN-0004B-CL02"/>
    <m/>
    <m/>
    <m/>
    <m/>
    <x v="11"/>
    <s v="PCOM - Precommissioning"/>
    <s v="E"/>
    <x v="1"/>
    <x v="0"/>
    <s v="Cable FROM PS5-06-IG-0004B TO PS5-71-IN-0004B"/>
    <s v="EACOP"/>
    <s v="CPP AGI"/>
    <m/>
    <m/>
    <s v="4"/>
    <m/>
    <m/>
    <s v="TZ-MID-68-WPR2-150101"/>
    <s v="PS5 - TZA - PS5 - Tanzania"/>
    <s v="PS5-71-07 - Crude Fuel Separation Module (UCP)"/>
    <m/>
    <s v="PS5-71-07"/>
    <x v="1"/>
    <x v="0"/>
    <s v="LV Power Cable"/>
    <s v="E"/>
    <x v="0"/>
    <s v="PS5 - Milestone H"/>
    <s v="TM-00233"/>
    <m/>
    <s v="TZ-MID-68-WPR2-150101"/>
  </r>
  <r>
    <s v="T-00233-5592"/>
    <s v="PS5-71-IN-0004B-CL03"/>
    <m/>
    <m/>
    <m/>
    <m/>
    <x v="11"/>
    <s v="PCOM - Precommissioning"/>
    <s v="E"/>
    <x v="1"/>
    <x v="0"/>
    <s v="Cable FROM PS5-60-IH-0002 TO PS5-71-IN-0004B"/>
    <s v="EACOP"/>
    <s v="CPP AGI"/>
    <m/>
    <m/>
    <s v="4"/>
    <m/>
    <m/>
    <s v="TZ-MID-68-WPR2-150101"/>
    <s v="PS5 - TZA - PS5 - Tanzania"/>
    <s v="PS5-71-07 - Crude Fuel Separation Module (UCP)"/>
    <d v="2026-06-05T08:06:35"/>
    <s v="PS5-71-07"/>
    <x v="1"/>
    <x v="0"/>
    <s v="LV Power Cable"/>
    <s v="E"/>
    <x v="1"/>
    <s v="PS5 - Milestone H"/>
    <s v="TM-00233"/>
    <s v="Gawad, Mohamed"/>
    <s v="TZ-MID-68-WPR2-150101"/>
  </r>
  <r>
    <s v="T-00233-5594"/>
    <s v="PS5-71-MOV-0001-CL01"/>
    <m/>
    <m/>
    <m/>
    <m/>
    <x v="11"/>
    <s v="PCOM - Precommissioning"/>
    <s v="E"/>
    <x v="1"/>
    <x v="0"/>
    <s v="Cable FROM PS5-61-IG-0042 TO PS5-71-MOV-0001"/>
    <s v="EACOP"/>
    <s v="CPP AGI"/>
    <m/>
    <m/>
    <s v="4"/>
    <m/>
    <m/>
    <s v="TZ-MID-68-WPR2-150101"/>
    <s v="PS5 - TZA - PS5 - Tanzania"/>
    <s v="PS5-71-08 - CFO Pre-Pressure Modules"/>
    <d v="2026-06-11T04:55:37"/>
    <s v="PS5-71-08"/>
    <x v="1"/>
    <x v="0"/>
    <s v="LV Power Cable"/>
    <s v="E"/>
    <x v="1"/>
    <s v="PS5 - Milestone H"/>
    <s v="TM-00233"/>
    <s v="Gawad, Mohamed"/>
    <s v="TZ-MID-68-WPR2-150101"/>
  </r>
  <r>
    <s v="T-00233-5595"/>
    <s v="PS5-71-MOV-0002-CL01"/>
    <m/>
    <m/>
    <m/>
    <m/>
    <x v="11"/>
    <s v="PCOM - Precommissioning"/>
    <s v="E"/>
    <x v="1"/>
    <x v="0"/>
    <s v="Cable FROM PS5-61-IG-0042 TO PS5-71-MOV-0002"/>
    <s v="EACOP"/>
    <s v="CPP AGI"/>
    <m/>
    <m/>
    <s v="4"/>
    <m/>
    <m/>
    <s v="TZ-MID-68-WPR2-150101"/>
    <s v="PS5 - TZA - PS5 - Tanzania"/>
    <s v="PS5-71-22 - Diesel Fuel Pre Pressure Module"/>
    <d v="2026-06-04T17:58:47"/>
    <s v="PS5-71-22"/>
    <x v="0"/>
    <x v="0"/>
    <s v="LV Power Cable"/>
    <s v="E"/>
    <x v="1"/>
    <s v="PS5 - Milestone B"/>
    <s v="TM-00233"/>
    <s v="Gawad, Mohamed"/>
    <s v="TZ-MID-68-WPR2-150101"/>
  </r>
  <r>
    <s v="T-00233-5596"/>
    <s v="PS5-71-MOV-0003-CL01"/>
    <m/>
    <m/>
    <m/>
    <m/>
    <x v="11"/>
    <s v="PCOM - Precommissioning"/>
    <s v="E"/>
    <x v="1"/>
    <x v="0"/>
    <s v="Cable FROM PS5-61-IG-0042 TO PS5-71-MOV-0003"/>
    <s v="EACOP"/>
    <s v="CPP AGI"/>
    <m/>
    <m/>
    <s v="4"/>
    <m/>
    <m/>
    <s v="TZ-MID-68-WPR2-150101"/>
    <s v="PS5 - TZA - PS5 - Tanzania"/>
    <s v="PS5-71-08 - CFO Pre-Pressure Modules"/>
    <d v="2026-06-11T04:56:01"/>
    <s v="PS5-71-08"/>
    <x v="1"/>
    <x v="0"/>
    <s v="LV Power Cable"/>
    <s v="E"/>
    <x v="1"/>
    <s v="PS5 - Milestone H"/>
    <s v="TM-00233"/>
    <s v="Gawad, Mohamed"/>
    <s v="TZ-MID-68-WPR2-150101"/>
  </r>
  <r>
    <s v="T-00233-5597"/>
    <s v="PS5-71-MOV-0004-CL01"/>
    <m/>
    <m/>
    <m/>
    <m/>
    <x v="11"/>
    <s v="PCOM - Precommissioning"/>
    <s v="E"/>
    <x v="1"/>
    <x v="0"/>
    <s v="Cable FROM PS5-61-IG-0042 TO PS5-71-MOV-0004"/>
    <s v="EACOP"/>
    <s v="CPP AGI"/>
    <m/>
    <m/>
    <s v="4"/>
    <m/>
    <m/>
    <s v="TZ-MID-68-WPR2-150101"/>
    <s v="PS5 - TZA - PS5 - Tanzania"/>
    <s v="PS5-71-22 - Diesel Fuel Pre Pressure Module"/>
    <d v="2026-06-04T17:59:31"/>
    <s v="PS5-71-22"/>
    <x v="0"/>
    <x v="0"/>
    <s v="LV Power Cable"/>
    <s v="E"/>
    <x v="1"/>
    <s v="PS5 - Milestone B"/>
    <s v="TM-00233"/>
    <s v="Gawad, Mohamed"/>
    <s v="TZ-MID-68-WPR2-150101"/>
  </r>
  <r>
    <s v="T-00233-5599"/>
    <s v="PS5-71-MOV-0008-CL01"/>
    <m/>
    <m/>
    <m/>
    <m/>
    <x v="11"/>
    <s v="PCOM - Precommissioning"/>
    <s v="E"/>
    <x v="1"/>
    <x v="0"/>
    <s v="Cable FROM PS5-61-IG-0042 TO PS5-71-MOV-0008"/>
    <s v="EACOP"/>
    <s v="CPP AGI"/>
    <m/>
    <m/>
    <s v="4"/>
    <m/>
    <m/>
    <s v="TZ-MID-68-WPR2-150101"/>
    <s v="PS5 - TZA - PS5 - Tanzania"/>
    <s v="PS5-71-08 - CFO Pre-Pressure Modules"/>
    <d v="2026-06-04T18:00:58"/>
    <s v="PS5-71-08"/>
    <x v="1"/>
    <x v="0"/>
    <s v="LV Power Cable"/>
    <s v="E"/>
    <x v="1"/>
    <s v="PS5 - Milestone H"/>
    <s v="TM-00233"/>
    <s v="Gawad, Mohamed"/>
    <s v="TZ-MID-68-WPR2-150101"/>
  </r>
  <r>
    <s v="T-00233-5601"/>
    <s v="PS5-71-MOV-0010-CL01"/>
    <m/>
    <m/>
    <m/>
    <m/>
    <x v="11"/>
    <s v="PCOM - Precommissioning"/>
    <s v="E"/>
    <x v="1"/>
    <x v="0"/>
    <s v="Cable FROM PS5-61-IG-0042 TO PS5-71-MOV-0010"/>
    <s v="EACOP"/>
    <s v="CPP AGI"/>
    <m/>
    <m/>
    <s v="4"/>
    <m/>
    <m/>
    <s v="TZ-MID-68-WPR2-150101"/>
    <s v="PS5 - TZA - PS5 - Tanzania"/>
    <s v="PS5-71-08 - CFO Pre-Pressure Modules"/>
    <d v="2026-06-11T04:57:27"/>
    <s v="PS5-71-08"/>
    <x v="1"/>
    <x v="0"/>
    <s v="LV Power Cable"/>
    <s v="E"/>
    <x v="1"/>
    <s v="PS5 - Milestone H"/>
    <s v="TM-00233"/>
    <s v="Gawad, Mohamed"/>
    <s v="TZ-MID-68-WPR2-150101"/>
  </r>
  <r>
    <s v="T-00233-5602"/>
    <s v="PS5-71-SDV-0001-CL01"/>
    <m/>
    <m/>
    <m/>
    <m/>
    <x v="11"/>
    <s v="PCOM - Precommissioning"/>
    <s v="E"/>
    <x v="1"/>
    <x v="0"/>
    <s v="Cable FROM PS5-61-IG-0043 TO PS5-71-SDV-0001"/>
    <s v="EACOP"/>
    <s v="CPP AGI"/>
    <m/>
    <m/>
    <s v="4"/>
    <m/>
    <m/>
    <s v="TZ-MID-68-WPR2-150101"/>
    <s v="PS5 - TZA - PS5 - Tanzania"/>
    <s v="PS5-71-20 - Diesel Fuel Day Tank"/>
    <d v="2026-05-25T17:31:29"/>
    <s v="PS5-71-20"/>
    <x v="0"/>
    <x v="0"/>
    <s v="LV Power Cable"/>
    <s v="E"/>
    <x v="1"/>
    <s v="PS5 - Milestone B"/>
    <s v="TM-00233"/>
    <s v="Gawad, Mohamed"/>
    <s v="TZ-MID-68-WPR2-150101"/>
  </r>
  <r>
    <s v="T-00233-5609"/>
    <s v="PS5-71-XV-0091-CL01"/>
    <m/>
    <m/>
    <m/>
    <m/>
    <x v="11"/>
    <s v="PCOM - Precommissioning"/>
    <s v="E"/>
    <x v="1"/>
    <x v="0"/>
    <s v="Cable FROM PS5-61-IG-0042 TO PS5-71-XV-0091"/>
    <s v="EACOP"/>
    <s v="CPP AGI"/>
    <m/>
    <m/>
    <s v="4"/>
    <m/>
    <m/>
    <s v="TZ-MID-68-WPR2-150101"/>
    <s v="PS5 - TZA - PS5 - Tanzania"/>
    <s v="PS5-71-18 - Diesel Separator Module"/>
    <m/>
    <s v="PS5-71-18"/>
    <x v="1"/>
    <x v="0"/>
    <s v="LV Power Cable"/>
    <s v="E"/>
    <x v="0"/>
    <s v="PS5 - Milestone F"/>
    <s v="TM-00233"/>
    <m/>
    <s v="TZ-MID-68-WPR2-150101"/>
  </r>
  <r>
    <s v="T-00233-5610"/>
    <s v="PS5-71-XV-0092-CL01"/>
    <m/>
    <m/>
    <m/>
    <m/>
    <x v="11"/>
    <s v="PCOM - Precommissioning"/>
    <s v="E"/>
    <x v="1"/>
    <x v="0"/>
    <s v="Cable FROM PS5-61-IG-0042 TO PS5-71-XV-0092"/>
    <s v="EACOP"/>
    <s v="CPP AGI"/>
    <m/>
    <m/>
    <s v="4"/>
    <m/>
    <m/>
    <s v="TZ-MID-68-WPR2-150101"/>
    <s v="PS5 - TZA - PS5 - Tanzania"/>
    <s v="PS5-71-20 - Diesel Fuel Day Tank"/>
    <d v="2026-05-25T17:29:24"/>
    <s v="PS5-71-20"/>
    <x v="0"/>
    <x v="0"/>
    <s v="LV Power Cable"/>
    <s v="E"/>
    <x v="1"/>
    <s v="PS5 - Milestone B"/>
    <s v="TM-00233"/>
    <s v="Gawad, Mohamed"/>
    <s v="TZ-MID-68-WPR2-150101"/>
  </r>
  <r>
    <s v="T-00233-9131"/>
    <s v="PS5-60-BE-0007A-CL01"/>
    <m/>
    <m/>
    <m/>
    <m/>
    <x v="11"/>
    <s v="PCOM - Precommissioning"/>
    <s v="E"/>
    <x v="1"/>
    <x v="0"/>
    <s v="Cable FROM PS5-60-IN-0002A TO PS5-60-BE-0007A"/>
    <s v="EACOP"/>
    <s v="CPP AGI"/>
    <m/>
    <m/>
    <s v="4"/>
    <m/>
    <m/>
    <m/>
    <s v="PS5 - TZA - PS5 - Tanzania"/>
    <s v="PS5-60-56 - Fuel Conditioning Module PS5-60-UZ-8900A"/>
    <d v="2026-06-27T08:56:29"/>
    <s v="PS5-60-56"/>
    <x v="0"/>
    <x v="0"/>
    <s v="LV Power Cable"/>
    <s v="E"/>
    <x v="1"/>
    <s v="PS5 - Milestone B"/>
    <s v="TM-00233"/>
    <s v="Gawad, Mohamed"/>
    <m/>
  </r>
  <r>
    <s v="T-00233-9132"/>
    <s v="PS5-60-BE-0007B-CL01"/>
    <m/>
    <m/>
    <m/>
    <m/>
    <x v="11"/>
    <s v="PCOM - Precommissioning"/>
    <s v="E"/>
    <x v="1"/>
    <x v="0"/>
    <s v="Cable FROM PS5-60-IN-0002B TO PS5-60-BE-0007B"/>
    <s v="EACOP"/>
    <s v="CPP AGI"/>
    <m/>
    <m/>
    <s v="4"/>
    <m/>
    <m/>
    <m/>
    <s v="PS5 - TZA - PS5 - Tanzania"/>
    <s v="PS5-60-58 - Fuel Conditioning Module PS5-60-UZ-8900B"/>
    <d v="2026-06-27T09:13:27"/>
    <s v="PS5-60-58"/>
    <x v="0"/>
    <x v="0"/>
    <s v="LV Power Cable"/>
    <s v="E"/>
    <x v="1"/>
    <s v="PS5 - Milestone B"/>
    <s v="TM-00233"/>
    <s v="Gawad, Mohamed"/>
    <m/>
  </r>
  <r>
    <s v="T-00233-9133"/>
    <s v="PS5-60-BE-0007C-CL01"/>
    <m/>
    <m/>
    <m/>
    <m/>
    <x v="11"/>
    <s v="PCOM - Precommissioning"/>
    <s v="E"/>
    <x v="1"/>
    <x v="0"/>
    <s v="Cable FROM PS5-60-IN-0002C TO PS5-60-BE-0007C"/>
    <s v="EACOP"/>
    <s v="CPP AGI"/>
    <m/>
    <m/>
    <s v="4"/>
    <m/>
    <m/>
    <m/>
    <s v="PS5 - TZA - PS5 - Tanzania"/>
    <s v="PS5-60-60 - Fuel Conditioning Module PS5-60-UZ-8900C"/>
    <d v="2026-07-11T13:35:38"/>
    <s v="PS5-60-60"/>
    <x v="1"/>
    <x v="0"/>
    <s v="LV Power Cable"/>
    <s v="E"/>
    <x v="1"/>
    <s v="PS5 - Milestone D"/>
    <s v="TM-00233"/>
    <s v="Gawad, Mohamed"/>
    <m/>
  </r>
  <r>
    <s v="T-00233-9134"/>
    <s v="PS5-60-BE-0007D-CL01"/>
    <m/>
    <m/>
    <m/>
    <m/>
    <x v="11"/>
    <s v="PCOM - Precommissioning"/>
    <s v="E"/>
    <x v="1"/>
    <x v="0"/>
    <s v="Cable FROM PS5-60-IN-0002D TO PS5-60-BE-0007D"/>
    <s v="EACOP"/>
    <s v="CPP AGI"/>
    <m/>
    <m/>
    <s v="4"/>
    <m/>
    <m/>
    <m/>
    <s v="PS5 - TZA - PS5 - Tanzania"/>
    <s v="PS5-60-62 - Fuel Conditioning Module PS5-60-UZ-8900D"/>
    <d v="2026-06-19T04:22:23"/>
    <s v="PS5-60-62"/>
    <x v="1"/>
    <x v="0"/>
    <s v="LV Power Cable"/>
    <s v="E"/>
    <x v="1"/>
    <s v="PS5 - Milestone D"/>
    <s v="TM-00233"/>
    <s v="Gawad, Mohamed"/>
    <m/>
  </r>
  <r>
    <s v="T-00233-9138"/>
    <s v="PS5-60-BE-0027A-CL01"/>
    <m/>
    <m/>
    <m/>
    <m/>
    <x v="11"/>
    <s v="PCOM - Precommissioning"/>
    <s v="E"/>
    <x v="1"/>
    <x v="0"/>
    <s v="Cable FROM PS5-60-IN-0002A TO PS5-60-BE-0027A"/>
    <s v="EACOP"/>
    <s v="CPP AGI"/>
    <m/>
    <m/>
    <s v="4"/>
    <m/>
    <m/>
    <m/>
    <s v="PS5 - TZA - PS5 - Tanzania"/>
    <s v="PS5-60-56 - Fuel Conditioning Module PS5-60-UZ-8900A"/>
    <d v="2026-07-01T12:39:33"/>
    <s v="PS5-60-56"/>
    <x v="0"/>
    <x v="0"/>
    <s v="LV Power Cable"/>
    <s v="E"/>
    <x v="1"/>
    <s v="PS5 - Milestone B"/>
    <s v="TM-00233"/>
    <s v="Gawad, Mohamed"/>
    <m/>
  </r>
  <r>
    <s v="T-00233-9139"/>
    <s v="PS5-60-BE-0027B-CL01"/>
    <m/>
    <m/>
    <m/>
    <m/>
    <x v="11"/>
    <s v="PCOM - Precommissioning"/>
    <s v="E"/>
    <x v="1"/>
    <x v="0"/>
    <s v="Cable FROM PS5-60-IN-0002B TO PS5-60-BE-0027B"/>
    <s v="EACOP"/>
    <s v="CPP AGI"/>
    <m/>
    <m/>
    <s v="4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233"/>
    <m/>
    <m/>
  </r>
  <r>
    <s v="T-00233-9140"/>
    <s v="PS5-60-BE-0027C-CL01"/>
    <m/>
    <m/>
    <m/>
    <m/>
    <x v="11"/>
    <s v="PCOM - Precommissioning"/>
    <s v="E"/>
    <x v="1"/>
    <x v="0"/>
    <s v="Cable FROM PS5-60-IN-0002C TO PS5-60-BE-0027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41"/>
    <s v="PS5-60-BE-0027D-CL01"/>
    <m/>
    <m/>
    <m/>
    <m/>
    <x v="11"/>
    <s v="PCOM - Precommissioning"/>
    <s v="E"/>
    <x v="1"/>
    <x v="0"/>
    <s v="Cable FROM PS5-60-IN-0002D TO PS5-60-BE-0027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45"/>
    <s v="PS5-60-BE-0028A-CL01"/>
    <m/>
    <m/>
    <m/>
    <m/>
    <x v="11"/>
    <s v="PCOM - Precommissioning"/>
    <s v="E"/>
    <x v="1"/>
    <x v="0"/>
    <s v="Cable FROM PS5-60-IN-0002A TO PS5-60-BE-0028A"/>
    <s v="EACOP"/>
    <s v="CPP AGI"/>
    <m/>
    <m/>
    <s v="4"/>
    <m/>
    <m/>
    <m/>
    <s v="PS5 - TZA - PS5 - Tanzania"/>
    <s v="PS5-60-56 - Fuel Conditioning Module PS5-60-UZ-8900A"/>
    <d v="2026-07-01T12:38:57"/>
    <s v="PS5-60-56"/>
    <x v="0"/>
    <x v="0"/>
    <s v="LV Power Cable"/>
    <s v="E"/>
    <x v="1"/>
    <s v="PS5 - Milestone B"/>
    <s v="TM-00233"/>
    <s v="Gawad, Mohamed"/>
    <m/>
  </r>
  <r>
    <s v="T-00233-9146"/>
    <s v="PS5-60-BE-0028B-CL01"/>
    <m/>
    <m/>
    <m/>
    <m/>
    <x v="11"/>
    <s v="PCOM - Precommissioning"/>
    <s v="E"/>
    <x v="1"/>
    <x v="0"/>
    <s v="Cable FROM PS5-60-IN-0002B TO PS5-60-BE-0028B"/>
    <s v="EACOP"/>
    <s v="CPP AGI"/>
    <m/>
    <m/>
    <s v="4"/>
    <m/>
    <m/>
    <m/>
    <s v="PS5 - TZA - PS5 - Tanzania"/>
    <s v="PS5-60-58 - Fuel Conditioning Module PS5-60-UZ-8900B"/>
    <d v="2026-07-01T13:25:11"/>
    <s v="PS5-60-58"/>
    <x v="0"/>
    <x v="0"/>
    <s v="LV Power Cable"/>
    <s v="E"/>
    <x v="1"/>
    <s v="PS5 - Milestone B"/>
    <s v="TM-00233"/>
    <s v="Gawad, Mohamed"/>
    <m/>
  </r>
  <r>
    <s v="T-00233-9147"/>
    <s v="PS5-60-BE-0028C-CL01"/>
    <m/>
    <m/>
    <m/>
    <m/>
    <x v="11"/>
    <s v="PCOM - Precommissioning"/>
    <s v="E"/>
    <x v="1"/>
    <x v="0"/>
    <s v="Cable FROM PS5-60-IN-0002C TO PS5-60-BE-0028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48"/>
    <s v="PS5-60-BE-0028D-CL01"/>
    <m/>
    <m/>
    <m/>
    <m/>
    <x v="11"/>
    <s v="PCOM - Precommissioning"/>
    <s v="E"/>
    <x v="1"/>
    <x v="0"/>
    <s v="Cable FROM PS5-60-IN-0002D TO PS5-60-BE-0028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52"/>
    <s v="PS5-60-BI-0006A-CL01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8:25"/>
    <s v="PS5-60-56"/>
    <x v="0"/>
    <x v="0"/>
    <s v="LV Power Cable"/>
    <s v="E"/>
    <x v="1"/>
    <s v="PS5 - Milestone B"/>
    <s v="TM-00233"/>
    <s v="Gawad, Mohamed"/>
    <m/>
  </r>
  <r>
    <s v="T-00233-9153"/>
    <s v="PS5-60-BI-0006A-CL02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4:11:44"/>
    <s v="PS5-60-56"/>
    <x v="0"/>
    <x v="0"/>
    <s v="LV Power Cable"/>
    <s v="E"/>
    <x v="1"/>
    <s v="PS5 - Milestone B"/>
    <s v="TM-00233"/>
    <s v="Gawad, Mohamed"/>
    <m/>
  </r>
  <r>
    <s v="T-00233-9154"/>
    <s v="PS5-60-BI-0006A-CL03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3:27:45"/>
    <s v="PS5-60-56"/>
    <x v="0"/>
    <x v="0"/>
    <s v="LV Power Cable"/>
    <s v="E"/>
    <x v="1"/>
    <s v="PS5 - Milestone B"/>
    <s v="TM-00233"/>
    <s v="Gawad, Mohamed"/>
    <m/>
  </r>
  <r>
    <s v="T-00233-9155"/>
    <s v="PS5-60-BI-0006A-CL04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6:10"/>
    <s v="PS5-60-56"/>
    <x v="0"/>
    <x v="0"/>
    <s v="LV Power Cable"/>
    <s v="E"/>
    <x v="1"/>
    <s v="PS5 - Milestone B"/>
    <s v="TM-00233"/>
    <s v="Gawad, Mohamed"/>
    <m/>
  </r>
  <r>
    <s v="T-00233-9156"/>
    <s v="PS5-60-BI-0006A-CL05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3:53"/>
    <s v="PS5-60-56"/>
    <x v="0"/>
    <x v="0"/>
    <s v="LV Power Cable"/>
    <s v="E"/>
    <x v="1"/>
    <s v="PS5 - Milestone B"/>
    <s v="TM-00233"/>
    <s v="Gawad, Mohamed"/>
    <m/>
  </r>
  <r>
    <s v="T-00233-9157"/>
    <s v="PS5-60-BI-0006A-CL06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3:13"/>
    <s v="PS5-60-56"/>
    <x v="0"/>
    <x v="0"/>
    <s v="LV Power Cable"/>
    <s v="E"/>
    <x v="1"/>
    <s v="PS5 - Milestone B"/>
    <s v="TM-00233"/>
    <s v="Gawad, Mohamed"/>
    <m/>
  </r>
  <r>
    <s v="T-00233-9158"/>
    <s v="PS5-60-BI-0006A-CL07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2:32"/>
    <s v="PS5-60-56"/>
    <x v="0"/>
    <x v="0"/>
    <s v="LV Power Cable"/>
    <s v="E"/>
    <x v="1"/>
    <s v="PS5 - Milestone B"/>
    <s v="TM-00233"/>
    <s v="Gawad, Mohamed"/>
    <m/>
  </r>
  <r>
    <s v="T-00233-9159"/>
    <s v="PS5-60-BI-0006A-CL08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2:02"/>
    <s v="PS5-60-56"/>
    <x v="0"/>
    <x v="0"/>
    <s v="LV Power Cable"/>
    <s v="E"/>
    <x v="1"/>
    <s v="PS5 - Milestone B"/>
    <s v="TM-00233"/>
    <s v="Gawad, Mohamed"/>
    <m/>
  </r>
  <r>
    <s v="T-00233-9160"/>
    <s v="PS5-60-BI-0006A-CL09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3:28:46"/>
    <s v="PS5-60-56"/>
    <x v="0"/>
    <x v="0"/>
    <s v="LV Power Cable"/>
    <s v="E"/>
    <x v="1"/>
    <s v="PS5 - Milestone B"/>
    <s v="TM-00233"/>
    <s v="Gawad, Mohamed"/>
    <m/>
  </r>
  <r>
    <s v="T-00233-9161"/>
    <s v="PS5-60-BI-0006A-CL10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31:31"/>
    <s v="PS5-60-56"/>
    <x v="0"/>
    <x v="0"/>
    <s v="LV Power Cable"/>
    <s v="E"/>
    <x v="1"/>
    <s v="PS5 - Milestone B"/>
    <s v="TM-00233"/>
    <s v="Gawad, Mohamed"/>
    <m/>
  </r>
  <r>
    <s v="T-00233-9162"/>
    <s v="PS5-60-BI-0006A-CL11"/>
    <m/>
    <m/>
    <m/>
    <m/>
    <x v="11"/>
    <s v="PCOM - Precommissioning"/>
    <s v="E"/>
    <x v="1"/>
    <x v="0"/>
    <s v="Cable FROM PS5-60-IN-0002A TO PS5-60-BI-0006A"/>
    <s v="EACOP"/>
    <s v="CPP AGI"/>
    <m/>
    <m/>
    <s v="4"/>
    <m/>
    <m/>
    <m/>
    <s v="PS5 - TZA - PS5 - Tanzania"/>
    <s v="PS5-60-56 - Fuel Conditioning Module PS5-60-UZ-8900A"/>
    <d v="2026-07-01T12:29:36"/>
    <s v="PS5-60-56"/>
    <x v="0"/>
    <x v="0"/>
    <s v="LV Power Cable"/>
    <s v="E"/>
    <x v="1"/>
    <s v="PS5 - Milestone B"/>
    <s v="TM-00233"/>
    <s v="Gawad, Mohamed"/>
    <m/>
  </r>
  <r>
    <s v="T-00233-9163"/>
    <s v="PS5-60-BI-0006B-CL01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8:59"/>
    <s v="PS5-60-58"/>
    <x v="0"/>
    <x v="0"/>
    <s v="LV Power Cable"/>
    <s v="E"/>
    <x v="1"/>
    <s v="PS5 - Milestone B"/>
    <s v="TM-00233"/>
    <s v="Gawad, Mohamed"/>
    <m/>
  </r>
  <r>
    <s v="T-00233-9164"/>
    <s v="PS5-60-BI-0006B-CL02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3:30:37"/>
    <s v="PS5-60-58"/>
    <x v="0"/>
    <x v="0"/>
    <s v="LV Power Cable"/>
    <s v="E"/>
    <x v="1"/>
    <s v="PS5 - Milestone B"/>
    <s v="TM-00233"/>
    <s v="Gawad, Mohamed"/>
    <m/>
  </r>
  <r>
    <s v="T-00233-9165"/>
    <s v="PS5-60-BI-0006B-CL03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3:31:30"/>
    <s v="PS5-60-58"/>
    <x v="0"/>
    <x v="0"/>
    <s v="LV Power Cable"/>
    <s v="E"/>
    <x v="1"/>
    <s v="PS5 - Milestone B"/>
    <s v="TM-00233"/>
    <s v="Gawad, Mohamed"/>
    <m/>
  </r>
  <r>
    <s v="T-00233-9166"/>
    <s v="PS5-60-BI-0006B-CL04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8:19"/>
    <s v="PS5-60-58"/>
    <x v="0"/>
    <x v="0"/>
    <s v="LV Power Cable"/>
    <s v="E"/>
    <x v="1"/>
    <s v="PS5 - Milestone B"/>
    <s v="TM-00233"/>
    <s v="Gawad, Mohamed"/>
    <m/>
  </r>
  <r>
    <s v="T-00233-9167"/>
    <s v="PS5-60-BI-0006B-CL05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7:40"/>
    <s v="PS5-60-58"/>
    <x v="0"/>
    <x v="0"/>
    <s v="LV Power Cable"/>
    <s v="E"/>
    <x v="1"/>
    <s v="PS5 - Milestone B"/>
    <s v="TM-00233"/>
    <s v="Gawad, Mohamed"/>
    <m/>
  </r>
  <r>
    <s v="T-00233-9168"/>
    <s v="PS5-60-BI-0006B-CL06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7:00"/>
    <s v="PS5-60-58"/>
    <x v="0"/>
    <x v="0"/>
    <s v="LV Power Cable"/>
    <s v="E"/>
    <x v="1"/>
    <s v="PS5 - Milestone B"/>
    <s v="TM-00233"/>
    <s v="Gawad, Mohamed"/>
    <m/>
  </r>
  <r>
    <s v="T-00233-9169"/>
    <s v="PS5-60-BI-0006B-CL07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6:24"/>
    <s v="PS5-60-58"/>
    <x v="0"/>
    <x v="0"/>
    <s v="LV Power Cable"/>
    <s v="E"/>
    <x v="1"/>
    <s v="PS5 - Milestone B"/>
    <s v="TM-00233"/>
    <s v="Gawad, Mohamed"/>
    <m/>
  </r>
  <r>
    <s v="T-00233-9170"/>
    <s v="PS5-60-BI-0006B-CL08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5:24"/>
    <s v="PS5-60-58"/>
    <x v="0"/>
    <x v="0"/>
    <s v="LV Power Cable"/>
    <s v="E"/>
    <x v="1"/>
    <s v="PS5 - Milestone B"/>
    <s v="TM-00233"/>
    <s v="Gawad, Mohamed"/>
    <m/>
  </r>
  <r>
    <s v="T-00233-9171"/>
    <s v="PS5-60-BI-0006B-CL09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4:53"/>
    <s v="PS5-60-58"/>
    <x v="0"/>
    <x v="0"/>
    <s v="LV Power Cable"/>
    <s v="E"/>
    <x v="1"/>
    <s v="PS5 - Milestone B"/>
    <s v="TM-00233"/>
    <s v="Gawad, Mohamed"/>
    <m/>
  </r>
  <r>
    <s v="T-00233-9172"/>
    <s v="PS5-60-BI-0006B-CL10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4:26"/>
    <s v="PS5-60-58"/>
    <x v="0"/>
    <x v="0"/>
    <s v="LV Power Cable"/>
    <s v="E"/>
    <x v="1"/>
    <s v="PS5 - Milestone B"/>
    <s v="TM-00233"/>
    <s v="Gawad, Mohamed"/>
    <m/>
  </r>
  <r>
    <s v="T-00233-9173"/>
    <s v="PS5-60-BI-0006B-CL11"/>
    <m/>
    <m/>
    <m/>
    <m/>
    <x v="11"/>
    <s v="PCOM - Precommissioning"/>
    <s v="E"/>
    <x v="1"/>
    <x v="0"/>
    <s v="Cable FROM PS5-60-IN-0002B TO PS5-60-BI-0006B"/>
    <s v="EACOP"/>
    <s v="CPP AGI"/>
    <m/>
    <m/>
    <s v="4"/>
    <m/>
    <m/>
    <m/>
    <s v="PS5 - TZA - PS5 - Tanzania"/>
    <s v="PS5-60-58 - Fuel Conditioning Module PS5-60-UZ-8900B"/>
    <d v="2026-07-01T12:23:52"/>
    <s v="PS5-60-58"/>
    <x v="0"/>
    <x v="0"/>
    <s v="LV Power Cable"/>
    <s v="E"/>
    <x v="1"/>
    <s v="PS5 - Milestone B"/>
    <s v="TM-00233"/>
    <s v="Gawad, Mohamed"/>
    <m/>
  </r>
  <r>
    <s v="T-00233-9174"/>
    <s v="PS5-60-BI-0006C-CL01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d v="2026-07-11T06:34:30"/>
    <s v="PS5-60-60"/>
    <x v="1"/>
    <x v="0"/>
    <s v="LV Power Cable"/>
    <s v="E"/>
    <x v="1"/>
    <s v="PS5 - Milestone D"/>
    <s v="TM-00233"/>
    <s v="Gawad, Mohamed"/>
    <m/>
  </r>
  <r>
    <s v="T-00233-9175"/>
    <s v="PS5-60-BI-0006C-CL02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76"/>
    <s v="PS5-60-BI-0006C-CL03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77"/>
    <s v="PS5-60-BI-0006C-CL04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78"/>
    <s v="PS5-60-BI-0006C-CL05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79"/>
    <s v="PS5-60-BI-0006C-CL06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0"/>
    <s v="PS5-60-BI-0006C-CL07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1"/>
    <s v="PS5-60-BI-0006C-CL08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2"/>
    <s v="PS5-60-BI-0006C-CL09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3"/>
    <s v="PS5-60-BI-0006C-CL10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4"/>
    <s v="PS5-60-BI-0006C-CL11"/>
    <m/>
    <m/>
    <m/>
    <m/>
    <x v="11"/>
    <s v="PCOM - Precommissioning"/>
    <s v="E"/>
    <x v="1"/>
    <x v="0"/>
    <s v="Cable FROM PS5-60-IN-0002C TO PS5-60-BI-0006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185"/>
    <s v="PS5-60-BI-0006D-CL01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d v="2026-07-11T06:36:46"/>
    <s v="PS5-60-62"/>
    <x v="1"/>
    <x v="0"/>
    <s v="LV Power Cable"/>
    <s v="E"/>
    <x v="1"/>
    <s v="PS5 - Milestone D"/>
    <s v="TM-00233"/>
    <s v="Gawad, Mohamed"/>
    <m/>
  </r>
  <r>
    <s v="T-00233-9186"/>
    <s v="PS5-60-BI-0006D-CL02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87"/>
    <s v="PS5-60-BI-0006D-CL03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88"/>
    <s v="PS5-60-BI-0006D-CL04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89"/>
    <s v="PS5-60-BI-0006D-CL05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0"/>
    <s v="PS5-60-BI-0006D-CL06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1"/>
    <s v="PS5-60-BI-0006D-CL07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2"/>
    <s v="PS5-60-BI-0006D-CL08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3"/>
    <s v="PS5-60-BI-0006D-CL09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4"/>
    <s v="PS5-60-BI-0006D-CL10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195"/>
    <s v="PS5-60-BI-0006D-CL11"/>
    <m/>
    <m/>
    <m/>
    <m/>
    <x v="11"/>
    <s v="PCOM - Precommissioning"/>
    <s v="E"/>
    <x v="1"/>
    <x v="0"/>
    <s v="Cable FROM PS5-60-IN-0002D TO PS5-60-BI-0006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229"/>
    <s v="PS5-60-BI-0017A-CL01"/>
    <m/>
    <m/>
    <m/>
    <m/>
    <x v="11"/>
    <s v="PCOM - Precommissioning"/>
    <s v="E"/>
    <x v="1"/>
    <x v="0"/>
    <s v="Cable FROM PS5-60-IN-0002A TO PS5-60-BI-0017A"/>
    <s v="EACOP"/>
    <s v="CPP AGI"/>
    <m/>
    <m/>
    <s v="4"/>
    <m/>
    <m/>
    <m/>
    <s v="PS5 - TZA - PS5 - Tanzania"/>
    <s v="PS5-60-56 - Fuel Conditioning Module PS5-60-UZ-8900A"/>
    <d v="2026-07-01T12:23:22"/>
    <s v="PS5-60-56"/>
    <x v="0"/>
    <x v="0"/>
    <s v="LV Power Cable"/>
    <s v="E"/>
    <x v="1"/>
    <s v="PS5 - Milestone B"/>
    <s v="TM-00233"/>
    <s v="Gawad, Mohamed"/>
    <m/>
  </r>
  <r>
    <s v="T-00233-9230"/>
    <s v="PS5-60-BI-0017B-CL01"/>
    <m/>
    <m/>
    <m/>
    <m/>
    <x v="11"/>
    <s v="PCOM - Precommissioning"/>
    <s v="E"/>
    <x v="1"/>
    <x v="0"/>
    <s v="Cable FROM PS5-60-IN-0002B TO PS5-60-BI-0017B"/>
    <s v="EACOP"/>
    <s v="CPP AGI"/>
    <m/>
    <m/>
    <s v="4"/>
    <m/>
    <m/>
    <m/>
    <s v="PS5 - TZA - PS5 - Tanzania"/>
    <s v="PS5-60-58 - Fuel Conditioning Module PS5-60-UZ-8900B"/>
    <d v="2026-07-01T12:22:46"/>
    <s v="PS5-60-58"/>
    <x v="0"/>
    <x v="0"/>
    <s v="LV Power Cable"/>
    <s v="E"/>
    <x v="1"/>
    <s v="PS5 - Milestone B"/>
    <s v="TM-00233"/>
    <s v="Gawad, Mohamed"/>
    <m/>
  </r>
  <r>
    <s v="T-00233-9231"/>
    <s v="PS5-60-BI-0017C-CL01"/>
    <m/>
    <m/>
    <m/>
    <m/>
    <x v="11"/>
    <s v="PCOM - Precommissioning"/>
    <s v="E"/>
    <x v="1"/>
    <x v="0"/>
    <s v="Cable FROM PS5-60-IN-0002C TO PS5-60-BI-0017C"/>
    <s v="EACOP"/>
    <s v="CPP AGI"/>
    <m/>
    <m/>
    <s v="4"/>
    <m/>
    <m/>
    <m/>
    <s v="PS5 - TZA - PS5 - Tanzania"/>
    <s v="PS5-60-60 - Fuel Conditioning Module PS5-60-UZ-8900C"/>
    <m/>
    <s v="PS5-60-60"/>
    <x v="1"/>
    <x v="0"/>
    <s v="LV Power Cable"/>
    <s v="E"/>
    <x v="0"/>
    <s v="PS5 - Milestone D"/>
    <s v="TM-00233"/>
    <m/>
    <m/>
  </r>
  <r>
    <s v="T-00233-9232"/>
    <s v="PS5-60-BI-0017D-CL01"/>
    <m/>
    <m/>
    <m/>
    <m/>
    <x v="11"/>
    <s v="PCOM - Precommissioning"/>
    <s v="E"/>
    <x v="1"/>
    <x v="0"/>
    <s v="Cable FROM PS5-60-IN-0002D TO PS5-60-BI-0017D"/>
    <s v="EACOP"/>
    <s v="CPP AGI"/>
    <m/>
    <m/>
    <s v="4"/>
    <m/>
    <m/>
    <m/>
    <s v="PS5 - TZA - PS5 - Tanzania"/>
    <s v="PS5-60-62 - Fuel Conditioning Module PS5-60-UZ-8900D"/>
    <m/>
    <s v="PS5-60-62"/>
    <x v="1"/>
    <x v="0"/>
    <s v="LV Power Cable"/>
    <s v="E"/>
    <x v="0"/>
    <s v="PS5 - Milestone D"/>
    <s v="TM-00233"/>
    <m/>
    <m/>
  </r>
  <r>
    <s v="T-00233-9236"/>
    <s v="PS5-60-EA-2900A-CL01"/>
    <m/>
    <m/>
    <m/>
    <m/>
    <x v="11"/>
    <s v="PCOM - Precommissioning"/>
    <s v="E"/>
    <x v="1"/>
    <x v="0"/>
    <s v="Cable FROM PS5-60-IN-0002A TO PS5-60-EA-2900A"/>
    <s v="EACOP"/>
    <s v="CPP AGI"/>
    <m/>
    <m/>
    <s v="4"/>
    <m/>
    <m/>
    <m/>
    <s v="PS5 - TZA - PS5 - Tanzania"/>
    <s v="PS5-60-56 - Fuel Conditioning Module PS5-60-UZ-8900A"/>
    <m/>
    <s v="PS5-60-56"/>
    <x v="0"/>
    <x v="0"/>
    <s v="LV Power Cable"/>
    <s v="E"/>
    <x v="0"/>
    <s v="PS5 - Milestone B"/>
    <s v="TM-00233"/>
    <m/>
    <m/>
  </r>
  <r>
    <s v="T-00233-9237"/>
    <s v="PS5-60-EA-2900B-CL01"/>
    <m/>
    <m/>
    <m/>
    <m/>
    <x v="11"/>
    <s v="PCOM - Precommissioning"/>
    <s v="E"/>
    <x v="1"/>
    <x v="0"/>
    <s v="Cable FROM PS5-60-IN-0002B TO PS5-60-EA-2900B"/>
    <s v="EACOP"/>
    <s v="CPP AGI"/>
    <m/>
    <m/>
    <s v="4"/>
    <m/>
    <m/>
    <m/>
    <s v="PS5 - TZA - PS5 - Tanzania"/>
    <s v="PS5-60-58 - Fuel Conditioning Module PS5-60-UZ-8900B"/>
    <m/>
    <s v="PS5-60-58"/>
    <x v="0"/>
    <x v="0"/>
    <s v="LV Power Cable"/>
    <s v="E"/>
    <x v="0"/>
    <s v="PS5 - Milestone B"/>
    <s v="TM-00233"/>
    <m/>
    <m/>
  </r>
  <r>
    <s v="T-00233-9238"/>
    <s v="PS5-60-EA-2900C-CL01"/>
    <m/>
    <m/>
    <m/>
    <m/>
    <x v="11"/>
    <s v="PCOM - Precommissioning"/>
    <s v="E"/>
    <x v="1"/>
    <x v="0"/>
    <s v="Cable FROM PS5-60-IN-0002C TO PS5-60-EA-2900C"/>
    <s v="EACOP"/>
    <s v="CPP AGI"/>
    <m/>
    <m/>
    <s v="4"/>
    <m/>
    <m/>
    <m/>
    <s v="PS5 - TZA - PS5 - Tanzania"/>
    <s v="PS5-60-60 - Fuel Conditioning Module PS5-60-UZ-8900C"/>
    <d v="2026-07-11T06:41:53"/>
    <s v="PS5-60-60"/>
    <x v="1"/>
    <x v="0"/>
    <s v="LV Power Cable"/>
    <s v="E"/>
    <x v="1"/>
    <s v="PS5 - Milestone D"/>
    <s v="TM-00233"/>
    <s v="Gawad, Mohamed"/>
    <m/>
  </r>
  <r>
    <s v="T-00233-9239"/>
    <s v="PS5-60-EA-2900D-CL01"/>
    <m/>
    <m/>
    <m/>
    <m/>
    <x v="11"/>
    <s v="PCOM - Precommissioning"/>
    <s v="E"/>
    <x v="1"/>
    <x v="0"/>
    <s v="Cable FROM PS5-60-IN-0002D TO PS5-60-EA-2900D"/>
    <s v="EACOP"/>
    <s v="CPP AGI"/>
    <m/>
    <m/>
    <s v="4"/>
    <m/>
    <m/>
    <m/>
    <s v="PS5 - TZA - PS5 - Tanzania"/>
    <s v="PS5-60-62 - Fuel Conditioning Module PS5-60-UZ-8900D"/>
    <d v="2026-07-11T06:45:09"/>
    <s v="PS5-60-62"/>
    <x v="1"/>
    <x v="0"/>
    <s v="LV Power Cable"/>
    <s v="E"/>
    <x v="1"/>
    <s v="PS5 - Milestone D"/>
    <s v="TM-00233"/>
    <s v="Gawad, Mohamed"/>
    <m/>
  </r>
  <r>
    <s v="T-00233-9244"/>
    <s v="PS5-71-BE-0004-CL01"/>
    <m/>
    <m/>
    <m/>
    <m/>
    <x v="11"/>
    <s v="PCOM - Precommissioning"/>
    <s v="E"/>
    <x v="1"/>
    <x v="0"/>
    <s v="Cable FROM PS5-71-IN-0002 TO PS5-71-BE-0004"/>
    <s v="EACOP"/>
    <s v="CPP AGI"/>
    <m/>
    <m/>
    <s v="4"/>
    <m/>
    <m/>
    <m/>
    <s v="PS5 - TZA - PS5 - Tanzania"/>
    <s v="PS5-71-08 - CFO Pre-Pressure Modules"/>
    <d v="2026-07-03T09:19:04"/>
    <s v="PS5-71-08"/>
    <x v="1"/>
    <x v="0"/>
    <s v="LV Power Cable"/>
    <s v="E"/>
    <x v="1"/>
    <s v="PS5 - Milestone H"/>
    <s v="TM-00233"/>
    <s v="Gawad, Mohamed"/>
    <m/>
  </r>
  <r>
    <s v="T-00233-9245"/>
    <s v="PS5-71-BE-0004-CL02"/>
    <m/>
    <m/>
    <m/>
    <m/>
    <x v="11"/>
    <s v="PCOM - Precommissioning"/>
    <s v="E"/>
    <x v="1"/>
    <x v="0"/>
    <s v="Cable FROM PS5-71-IN-0002 TO PS5-71-BE-0004"/>
    <s v="EACOP"/>
    <s v="CPP AGI"/>
    <m/>
    <m/>
    <s v="4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233"/>
    <m/>
    <m/>
  </r>
  <r>
    <s v="T-00233-9246"/>
    <s v="PS5-71-BE-0004-CL03"/>
    <m/>
    <m/>
    <m/>
    <m/>
    <x v="11"/>
    <s v="PCOM - Precommissioning"/>
    <s v="E"/>
    <x v="1"/>
    <x v="0"/>
    <s v="Cable FROM PS5-71-IN-0002 TO PS5-71-BE-0004"/>
    <s v="EACOP"/>
    <s v="CPP AGI"/>
    <m/>
    <m/>
    <s v="4"/>
    <m/>
    <m/>
    <m/>
    <s v="PS5 - TZA - PS5 - Tanzania"/>
    <s v="PS5-71-08 - CFO Pre-Pressure Modules"/>
    <d v="2026-07-03T09:21:28"/>
    <s v="PS5-71-08"/>
    <x v="1"/>
    <x v="0"/>
    <s v="LV Power Cable"/>
    <s v="E"/>
    <x v="1"/>
    <s v="PS5 - Milestone H"/>
    <s v="TM-00233"/>
    <s v="Gawad, Mohamed"/>
    <m/>
  </r>
  <r>
    <s v="T-00233-9247"/>
    <s v="PS5-71-BI-0003-CL01"/>
    <m/>
    <m/>
    <m/>
    <m/>
    <x v="11"/>
    <s v="PCOM - Precommissioning"/>
    <s v="E"/>
    <x v="1"/>
    <x v="0"/>
    <s v="Cable FROM PS5-71-IN-0002 TO PS5-71-BI-0003"/>
    <s v="EACOP"/>
    <s v="CPP AGI"/>
    <m/>
    <m/>
    <s v="4"/>
    <m/>
    <m/>
    <m/>
    <s v="PS5 - TZA - PS5 - Tanzania"/>
    <s v="PS5-71-08 - CFO Pre-Pressure Modules"/>
    <d v="2026-07-03T09:24:03"/>
    <s v="PS5-71-08"/>
    <x v="1"/>
    <x v="0"/>
    <s v="LV Power Cable"/>
    <s v="E"/>
    <x v="1"/>
    <s v="PS5 - Milestone H"/>
    <s v="TM-00233"/>
    <s v="Gawad, Mohamed"/>
    <m/>
  </r>
  <r>
    <s v="T-00233-9248"/>
    <s v="PS5-71-BI-0003-CL02"/>
    <m/>
    <m/>
    <m/>
    <m/>
    <x v="11"/>
    <s v="PCOM - Precommissioning"/>
    <s v="E"/>
    <x v="1"/>
    <x v="0"/>
    <s v="Cable FROM PS5-71-IN-0002 TO PS5-71-BI-0003"/>
    <s v="EACOP"/>
    <s v="CPP AGI"/>
    <m/>
    <m/>
    <s v="4"/>
    <m/>
    <m/>
    <m/>
    <s v="PS5 - TZA - PS5 - Tanzania"/>
    <s v="PS5-71-08 - CFO Pre-Pressure Modules"/>
    <d v="2026-07-11T14:04:35"/>
    <s v="PS5-71-08"/>
    <x v="1"/>
    <x v="0"/>
    <s v="LV Power Cable"/>
    <s v="E"/>
    <x v="1"/>
    <s v="PS5 - Milestone H"/>
    <s v="TM-00233"/>
    <s v="Gawad, Mohamed"/>
    <m/>
  </r>
  <r>
    <s v="T-00233-9249"/>
    <s v="PS5-71-BI-0003-CL03"/>
    <m/>
    <m/>
    <m/>
    <m/>
    <x v="11"/>
    <s v="PCOM - Precommissioning"/>
    <s v="E"/>
    <x v="1"/>
    <x v="0"/>
    <s v="Cable FROM PS5-71-IN-0002 TO PS5-71-BI-0003"/>
    <s v="EACOP"/>
    <s v="CPP AGI"/>
    <m/>
    <m/>
    <s v="4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233"/>
    <m/>
    <m/>
  </r>
  <r>
    <s v="T-00233-9250"/>
    <s v="PS5-71-BI-0003-CL04"/>
    <m/>
    <m/>
    <m/>
    <m/>
    <x v="11"/>
    <s v="PCOM - Precommissioning"/>
    <s v="E"/>
    <x v="1"/>
    <x v="0"/>
    <s v="Cable FROM PS5-71-IN-0002 TO PS5-71-BI-0003"/>
    <s v="EACOP"/>
    <s v="CPP AGI"/>
    <m/>
    <m/>
    <s v="4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233"/>
    <m/>
    <m/>
  </r>
  <r>
    <s v="T-00233-9251"/>
    <s v="PS5-71-BI-0004-CL01"/>
    <m/>
    <m/>
    <m/>
    <m/>
    <x v="11"/>
    <s v="PCOM - Precommissioning"/>
    <s v="E"/>
    <x v="1"/>
    <x v="0"/>
    <s v="Cable FROM PS5-71-IN-0002 TO PS5-71-BI-0004"/>
    <s v="EACOP"/>
    <s v="CPP AGI"/>
    <m/>
    <m/>
    <s v="4"/>
    <m/>
    <m/>
    <m/>
    <s v="PS5 - TZA - PS5 - Tanzania"/>
    <s v="PS5-71-08 - CFO Pre-Pressure Modules"/>
    <m/>
    <s v="PS5-71-08"/>
    <x v="1"/>
    <x v="0"/>
    <s v="LV Power Cable"/>
    <s v="E"/>
    <x v="0"/>
    <s v="PS5 - Milestone H"/>
    <s v="TM-00233"/>
    <m/>
    <m/>
  </r>
  <r>
    <s v="T-00233-9252"/>
    <s v="PS5-71-BI-0005-CL01"/>
    <m/>
    <m/>
    <m/>
    <m/>
    <x v="11"/>
    <s v="PCOM - Precommissioning"/>
    <s v="E"/>
    <x v="1"/>
    <x v="0"/>
    <s v="Cable FROM PS5-71-IN-0003 TO PS5-71-BI-0005"/>
    <s v="EACOP"/>
    <s v="CPP AGI"/>
    <m/>
    <m/>
    <s v="4"/>
    <m/>
    <m/>
    <m/>
    <s v="PS5 - TZA - PS5 - Tanzania"/>
    <s v="PS5-71-22 - Diesel Fuel Pre Pressure Module"/>
    <d v="2026-07-01T12:21:01"/>
    <s v="PS5-71-22"/>
    <x v="0"/>
    <x v="0"/>
    <s v="LV Power Cable"/>
    <s v="E"/>
    <x v="1"/>
    <s v="PS5 - Milestone B"/>
    <s v="TM-00233"/>
    <s v="Gawad, Mohamed"/>
    <m/>
  </r>
  <r>
    <s v="T-00233-9253"/>
    <s v="PS5-71-BI-0005-CL02"/>
    <m/>
    <m/>
    <m/>
    <m/>
    <x v="11"/>
    <s v="PCOM - Precommissioning"/>
    <s v="E"/>
    <x v="1"/>
    <x v="0"/>
    <s v="Cable FROM PS5-71-IN-0003 TO PS5-71-BI-0005"/>
    <s v="EACOP"/>
    <s v="CPP AGI"/>
    <m/>
    <m/>
    <s v="4"/>
    <m/>
    <m/>
    <m/>
    <s v="PS5 - TZA - PS5 - Tanzania"/>
    <s v="PS5-71-22 - Diesel Fuel Pre Pressure Module"/>
    <d v="2026-07-01T12:18:32"/>
    <s v="PS5-71-22"/>
    <x v="0"/>
    <x v="0"/>
    <s v="LV Power Cable"/>
    <s v="E"/>
    <x v="1"/>
    <s v="PS5 - Milestone B"/>
    <s v="TM-00233"/>
    <s v="Gawad, Mohamed"/>
    <m/>
  </r>
  <r>
    <s v="T-00233-9254"/>
    <s v="PS5-71-BI-0005-CL03"/>
    <m/>
    <m/>
    <m/>
    <m/>
    <x v="11"/>
    <s v="PCOM - Precommissioning"/>
    <s v="E"/>
    <x v="1"/>
    <x v="0"/>
    <s v="Cable FROM PS5-71-IN-0003 TO PS5-71-BI-0005"/>
    <s v="EACOP"/>
    <s v="CPP AGI"/>
    <m/>
    <m/>
    <s v="4"/>
    <m/>
    <m/>
    <m/>
    <s v="PS5 - TZA - PS5 - Tanzania"/>
    <s v="PS5-71-22 - Diesel Fuel Pre Pressure Module"/>
    <d v="2026-07-01T14:11:12"/>
    <s v="PS5-71-22"/>
    <x v="0"/>
    <x v="0"/>
    <s v="LV Power Cable"/>
    <s v="E"/>
    <x v="1"/>
    <s v="PS5 - Milestone B"/>
    <s v="TM-00233"/>
    <s v="Gawad, Mohamed"/>
    <m/>
  </r>
  <r>
    <s v="T-00233-9255"/>
    <s v="PS5-71-BI-0006-CL01"/>
    <m/>
    <m/>
    <m/>
    <m/>
    <x v="11"/>
    <s v="PCOM - Precommissioning"/>
    <s v="E"/>
    <x v="1"/>
    <x v="0"/>
    <s v="Cable FROM PS5-71-IN-0003 TO PS5-71-BI-0006"/>
    <s v="EACOP"/>
    <s v="CPP AGI"/>
    <m/>
    <m/>
    <s v="4"/>
    <m/>
    <m/>
    <m/>
    <s v="PS5 - TZA - PS5 - Tanzania"/>
    <s v="PS5-71-22 - Diesel Fuel Pre Pressure Module"/>
    <d v="2026-07-01T12:16:54"/>
    <s v="PS5-71-22"/>
    <x v="0"/>
    <x v="0"/>
    <s v="LV Power Cable"/>
    <s v="E"/>
    <x v="1"/>
    <s v="PS5 - Milestone B"/>
    <s v="TM-00233"/>
    <s v="Gawad, Mohamed"/>
    <m/>
  </r>
  <r>
    <s v="T-00234-2101"/>
    <s v="PS5-60-IE-0002A-CD01"/>
    <m/>
    <m/>
    <m/>
    <m/>
    <x v="12"/>
    <s v="PCOM - Precommissioning"/>
    <s v="E"/>
    <x v="1"/>
    <x v="0"/>
    <s v="Cable FROM PS5-60-BI-0015A TO PS5-60-IE-0002A"/>
    <s v="EACOP"/>
    <s v="CPP AGI"/>
    <m/>
    <m/>
    <s v="4"/>
    <m/>
    <s v="4"/>
    <s v="TZ-MID-68-WPR2-150101"/>
    <s v="PS5 - TZA - PS5 - Tanzania"/>
    <s v="PS5-60-01 - Power Generation Package A"/>
    <d v="2026-06-19T08:36:24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02"/>
    <s v="PS5-60-IE-0002A-CD02"/>
    <m/>
    <m/>
    <m/>
    <m/>
    <x v="12"/>
    <s v="PCOM - Precommissioning"/>
    <s v="E"/>
    <x v="1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d v="2026-06-19T08:36:30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03"/>
    <s v="PS5-60-IE-0002A-CD03"/>
    <m/>
    <m/>
    <m/>
    <m/>
    <x v="12"/>
    <s v="PCOM - Precommissioning"/>
    <s v="E"/>
    <x v="1"/>
    <x v="0"/>
    <s v="Cable FROM PS5-60-BI-0015A TO PS5-60-IE-0002A"/>
    <s v="EACOP"/>
    <s v="CPP AGI"/>
    <m/>
    <m/>
    <s v="4"/>
    <m/>
    <m/>
    <s v="TZ-MID-68-WPR2-150101"/>
    <s v="PS5 - TZA - PS5 - Tanzania"/>
    <s v="PS5-60-01 - Power Generation Package A"/>
    <d v="2026-06-19T08:36:35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04"/>
    <s v="PS5-60-IE-0002B-CD01"/>
    <m/>
    <m/>
    <m/>
    <m/>
    <x v="12"/>
    <s v="PCOM - Precommissioning"/>
    <s v="E"/>
    <x v="1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d v="2026-06-19T08:36:41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05"/>
    <s v="PS5-60-IE-0002B-CD02"/>
    <m/>
    <m/>
    <m/>
    <m/>
    <x v="12"/>
    <s v="PCOM - Precommissioning"/>
    <s v="E"/>
    <x v="1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d v="2026-06-19T08:36:18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06"/>
    <s v="PS5-60-IE-0002B-CD03"/>
    <m/>
    <m/>
    <m/>
    <m/>
    <x v="12"/>
    <s v="PCOM - Precommissioning"/>
    <s v="E"/>
    <x v="1"/>
    <x v="0"/>
    <s v="Cable FROM PS5-60-BI-0015B TO PS5-60-IE-0002B"/>
    <s v="EACOP"/>
    <s v="CPP AGI"/>
    <m/>
    <m/>
    <s v="4"/>
    <m/>
    <m/>
    <s v="TZ-MID-68-WPR2-150101"/>
    <s v="PS5 - TZA - PS5 - Tanzania"/>
    <s v="PS5-60-04 - Power Generation Package B"/>
    <d v="2026-06-19T08:38:52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07"/>
    <s v="PS5-60-IE-0002C-CD01"/>
    <m/>
    <m/>
    <m/>
    <m/>
    <x v="12"/>
    <s v="PCOM - Precommissioning"/>
    <s v="E"/>
    <x v="1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d v="2026-07-03T08:45:15"/>
    <s v="PS5-60-07"/>
    <x v="1"/>
    <x v="0"/>
    <s v="Multicore Electrical Control Cable"/>
    <s v="E"/>
    <x v="1"/>
    <s v="PS5 - Milestone D"/>
    <s v="TM-00234"/>
    <s v="Gawad, Mohamed"/>
    <s v="TZ-MID-68-WPR2-150101"/>
  </r>
  <r>
    <s v="T-00234-2108"/>
    <s v="PS5-60-IE-0002C-CD02"/>
    <m/>
    <m/>
    <m/>
    <m/>
    <x v="12"/>
    <s v="PCOM - Precommissioning"/>
    <s v="E"/>
    <x v="1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d v="2026-07-03T08:50:18"/>
    <s v="PS5-60-07"/>
    <x v="1"/>
    <x v="0"/>
    <s v="Multicore Electrical Control Cable"/>
    <s v="E"/>
    <x v="1"/>
    <s v="PS5 - Milestone D"/>
    <s v="TM-00234"/>
    <s v="Gawad, Mohamed"/>
    <s v="TZ-MID-68-WPR2-150101"/>
  </r>
  <r>
    <s v="T-00234-2109"/>
    <s v="PS5-60-IE-0002C-CD03"/>
    <m/>
    <m/>
    <m/>
    <m/>
    <x v="12"/>
    <s v="PCOM - Precommissioning"/>
    <s v="E"/>
    <x v="1"/>
    <x v="0"/>
    <s v="Cable FROM PS5-60-BI-0015C TO PS5-60-IE-0002C"/>
    <s v="EACOP"/>
    <s v="CPP AGI"/>
    <m/>
    <m/>
    <s v="4"/>
    <m/>
    <m/>
    <s v="TZ-MID-68-WPR2-150101"/>
    <s v="PS5 - TZA - PS5 - Tanzania"/>
    <s v="PS5-60-07 - Power Generation Package C"/>
    <d v="2026-07-03T08:52:30"/>
    <s v="PS5-60-07"/>
    <x v="1"/>
    <x v="0"/>
    <s v="Multicore Electrical Control Cable"/>
    <s v="E"/>
    <x v="1"/>
    <s v="PS5 - Milestone D"/>
    <s v="TM-00234"/>
    <s v="Gawad, Mohamed"/>
    <s v="TZ-MID-68-WPR2-150101"/>
  </r>
  <r>
    <s v="T-00234-2110"/>
    <s v="PS5-60-IE-0002D-CD01"/>
    <m/>
    <m/>
    <m/>
    <m/>
    <x v="12"/>
    <s v="PCOM - Precommissioning"/>
    <s v="E"/>
    <x v="1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d v="2026-07-03T08:56:52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11"/>
    <s v="PS5-60-IE-0002D-CD02"/>
    <m/>
    <m/>
    <m/>
    <m/>
    <x v="12"/>
    <s v="PCOM - Precommissioning"/>
    <s v="E"/>
    <x v="1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d v="2026-07-03T09:01:17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12"/>
    <s v="PS5-60-IE-0002D-CD03"/>
    <m/>
    <m/>
    <m/>
    <m/>
    <x v="12"/>
    <s v="PCOM - Precommissioning"/>
    <s v="E"/>
    <x v="1"/>
    <x v="0"/>
    <s v="Cable FROM PS5-60-BI-0015D TO PS5-60-IE-0002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234"/>
    <m/>
    <s v="TZ-MID-68-WPR2-150101"/>
  </r>
  <r>
    <s v="T-00234-2123"/>
    <s v="PS5-60-IE-0003A-CD02"/>
    <m/>
    <m/>
    <m/>
    <m/>
    <x v="12"/>
    <s v="PCOM - Precommissioning"/>
    <s v="E"/>
    <x v="1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d v="2026-06-19T04:54:16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24"/>
    <s v="PS5-60-IE-0003A-CD03"/>
    <m/>
    <m/>
    <m/>
    <m/>
    <x v="12"/>
    <s v="PCOM - Precommissioning"/>
    <s v="E"/>
    <x v="1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d v="2026-06-19T08:37:23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25"/>
    <s v="PS5-60-IE-0003A-CD04"/>
    <m/>
    <m/>
    <m/>
    <m/>
    <x v="12"/>
    <s v="PCOM - Precommissioning"/>
    <s v="E"/>
    <x v="1"/>
    <x v="0"/>
    <s v="Cable FROM PS5-60-BI-0005A TO PS5-60-IE-0003A"/>
    <s v="EACOP"/>
    <s v="CPP AGI"/>
    <m/>
    <m/>
    <s v="4"/>
    <m/>
    <m/>
    <s v="TZ-MID-68-WPR2-150101"/>
    <s v="PS5 - TZA - PS5 - Tanzania"/>
    <s v="PS5-60-01 - Power Generation Package A"/>
    <d v="2026-06-19T04:38:08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26"/>
    <s v="PS5-60-IE-0003A-CD05"/>
    <m/>
    <m/>
    <m/>
    <m/>
    <x v="12"/>
    <s v="PCOM - Precommissioning"/>
    <s v="E"/>
    <x v="1"/>
    <x v="0"/>
    <s v="Cable FROM PS5-60-BI-0015A TO PS5-60-IE-0003A"/>
    <s v="EACOP"/>
    <s v="CPP AGI"/>
    <m/>
    <m/>
    <s v="4"/>
    <m/>
    <m/>
    <s v="TZ-MID-68-WPR2-150101"/>
    <s v="PS5 - TZA - PS5 - Tanzania"/>
    <s v="PS5-60-01 - Power Generation Package A"/>
    <d v="2026-06-19T08:39:00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35"/>
    <s v="PS5-60-IE-0003A-CD14"/>
    <m/>
    <m/>
    <m/>
    <m/>
    <x v="12"/>
    <s v="PCOM - Precommissioning"/>
    <s v="E"/>
    <x v="1"/>
    <x v="0"/>
    <s v="Cable FROM PS5-60-IE-0002A TO PS5-60-IE-0003A"/>
    <s v="EACOP"/>
    <s v="CPP AGI"/>
    <m/>
    <m/>
    <s v="4"/>
    <m/>
    <m/>
    <s v="TZ-MID-68-WPR2-150101"/>
    <s v="PS5 - TZA - PS5 - Tanzania"/>
    <s v="PS5-60-01 - Power Generation Package A"/>
    <d v="2026-06-19T08:38:10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36"/>
    <s v="PS5-60-IE-0003A-CD15"/>
    <m/>
    <m/>
    <m/>
    <m/>
    <x v="12"/>
    <s v="PCOM - Precommissioning"/>
    <s v="E"/>
    <x v="1"/>
    <x v="0"/>
    <s v="Cable FROM PS5-60-IE-0004 TO PS5-60-IE-0003A"/>
    <s v="EACOP"/>
    <s v="CPP AGI"/>
    <m/>
    <m/>
    <s v="4"/>
    <m/>
    <m/>
    <s v="TZ-MID-68-WPR2-150101"/>
    <s v="PS5 - TZA - PS5 - Tanzania"/>
    <s v="PS5-60-01 - Power Generation Package A"/>
    <d v="2026-06-27T09:30:01"/>
    <s v="PS5-60-01"/>
    <x v="0"/>
    <x v="0"/>
    <s v="Multicore Electrical Control Cable"/>
    <s v="E"/>
    <x v="1"/>
    <s v="PS5 - Milestone B"/>
    <s v="TM-00234"/>
    <s v="Gawad, Mohamed"/>
    <s v="TZ-MID-68-WPR2-150101"/>
  </r>
  <r>
    <s v="T-00234-2138"/>
    <s v="PS5-60-IE-0003B-CD02"/>
    <m/>
    <m/>
    <m/>
    <m/>
    <x v="12"/>
    <s v="PCOM - Precommissioning"/>
    <s v="E"/>
    <x v="1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d v="2026-06-19T08:38:42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39"/>
    <s v="PS5-60-IE-0003B-CD03"/>
    <m/>
    <m/>
    <m/>
    <m/>
    <x v="12"/>
    <s v="PCOM - Precommissioning"/>
    <s v="E"/>
    <x v="1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d v="2026-06-19T08:39:43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40"/>
    <s v="PS5-60-IE-0003B-CD04"/>
    <m/>
    <m/>
    <m/>
    <m/>
    <x v="12"/>
    <s v="PCOM - Precommissioning"/>
    <s v="E"/>
    <x v="1"/>
    <x v="0"/>
    <s v="Cable FROM PS5-60-BI-0005B TO PS5-60-IE-0003B"/>
    <s v="EACOP"/>
    <s v="CPP AGI"/>
    <m/>
    <m/>
    <s v="4"/>
    <m/>
    <m/>
    <s v="TZ-MID-68-WPR2-150101"/>
    <s v="PS5 - TZA - PS5 - Tanzania"/>
    <s v="PS5-60-04 - Power Generation Package B"/>
    <d v="2026-06-19T08:34:18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41"/>
    <s v="PS5-60-IE-0003B-CD05"/>
    <m/>
    <m/>
    <m/>
    <m/>
    <x v="12"/>
    <s v="PCOM - Precommissioning"/>
    <s v="E"/>
    <x v="1"/>
    <x v="0"/>
    <s v="Cable FROM PS5-60-BI-0015B TO PS5-60-IE-0003B"/>
    <s v="EACOP"/>
    <s v="CPP AGI"/>
    <m/>
    <m/>
    <s v="4"/>
    <m/>
    <m/>
    <s v="TZ-MID-68-WPR2-150101"/>
    <s v="PS5 - TZA - PS5 - Tanzania"/>
    <s v="PS5-60-04 - Power Generation Package B"/>
    <d v="2026-06-19T04:55:05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50"/>
    <s v="PS5-60-IE-0003B-CD14"/>
    <m/>
    <m/>
    <m/>
    <m/>
    <x v="12"/>
    <s v="PCOM - Precommissioning"/>
    <s v="E"/>
    <x v="1"/>
    <x v="0"/>
    <s v="Cable FROM PS5-60-IE-0002B TO PS5-60-IE-0003B"/>
    <s v="EACOP"/>
    <s v="CPP AGI"/>
    <m/>
    <m/>
    <s v="4"/>
    <m/>
    <m/>
    <s v="TZ-MID-68-WPR2-150101"/>
    <s v="PS5 - TZA - PS5 - Tanzania"/>
    <s v="PS5-60-04 - Power Generation Package B"/>
    <d v="2026-06-19T08:40:17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51"/>
    <s v="PS5-60-IE-0003B-CD15"/>
    <m/>
    <m/>
    <m/>
    <m/>
    <x v="12"/>
    <s v="PCOM - Precommissioning"/>
    <s v="E"/>
    <x v="1"/>
    <x v="0"/>
    <s v="Cable FROM PS5-60-IE-0004 TO PS5-60-IE-0003B"/>
    <s v="EACOP"/>
    <s v="CPP AGI"/>
    <m/>
    <m/>
    <s v="4"/>
    <m/>
    <m/>
    <s v="TZ-MID-68-WPR2-150101"/>
    <s v="PS5 - TZA - PS5 - Tanzania"/>
    <s v="PS5-60-04 - Power Generation Package B"/>
    <d v="2026-06-27T09:31:07"/>
    <s v="PS5-60-04"/>
    <x v="0"/>
    <x v="0"/>
    <s v="Multicore Electrical Control Cable"/>
    <s v="E"/>
    <x v="1"/>
    <s v="PS5 - Milestone B"/>
    <s v="TM-00234"/>
    <s v="Gawad, Mohamed"/>
    <s v="TZ-MID-68-WPR2-150101"/>
  </r>
  <r>
    <s v="T-00234-2153"/>
    <s v="PS5-60-IE-0003C-CD02"/>
    <m/>
    <m/>
    <m/>
    <m/>
    <x v="12"/>
    <s v="PCOM - Precommissioning"/>
    <s v="E"/>
    <x v="1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234"/>
    <m/>
    <s v="TZ-MID-68-WPR2-150101"/>
  </r>
  <r>
    <s v="T-00234-2154"/>
    <s v="PS5-60-IE-0003C-CD03"/>
    <m/>
    <m/>
    <m/>
    <m/>
    <x v="12"/>
    <s v="PCOM - Precommissioning"/>
    <s v="E"/>
    <x v="1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234"/>
    <m/>
    <s v="TZ-MID-68-WPR2-150101"/>
  </r>
  <r>
    <s v="T-00234-2155"/>
    <s v="PS5-60-IE-0003C-CD04"/>
    <m/>
    <m/>
    <m/>
    <m/>
    <x v="12"/>
    <s v="PCOM - Precommissioning"/>
    <s v="E"/>
    <x v="1"/>
    <x v="0"/>
    <s v="Cable FROM PS5-60-BI-0005C TO PS5-60-IE-0003C"/>
    <s v="EACOP"/>
    <s v="CPP AGI"/>
    <m/>
    <m/>
    <s v="4"/>
    <m/>
    <m/>
    <s v="TZ-MID-68-WPR2-150101"/>
    <s v="PS5 - TZA - PS5 - Tanzania"/>
    <s v="PS5-60-07 - Power Generation Package C"/>
    <d v="2026-07-01T14:12:12"/>
    <s v="PS5-60-07"/>
    <x v="1"/>
    <x v="0"/>
    <s v="Multicore Electrical Control Cable"/>
    <s v="E"/>
    <x v="1"/>
    <s v="PS5 - Milestone D"/>
    <s v="TM-00234"/>
    <s v="Gawad, Mohamed"/>
    <s v="TZ-MID-68-WPR2-150101"/>
  </r>
  <r>
    <s v="T-00234-2156"/>
    <s v="PS5-60-IE-0003C-CD05"/>
    <m/>
    <m/>
    <m/>
    <m/>
    <x v="12"/>
    <s v="PCOM - Precommissioning"/>
    <s v="E"/>
    <x v="1"/>
    <x v="0"/>
    <s v="Cable FROM PS5-60-BI-0015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234"/>
    <m/>
    <s v="TZ-MID-68-WPR2-150101"/>
  </r>
  <r>
    <s v="T-00234-2165"/>
    <s v="PS5-60-IE-0003C-CD14"/>
    <m/>
    <m/>
    <m/>
    <m/>
    <x v="12"/>
    <s v="PCOM - Precommissioning"/>
    <s v="E"/>
    <x v="1"/>
    <x v="0"/>
    <s v="Cable FROM PS5-60-IE-0002C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234"/>
    <m/>
    <s v="TZ-MID-68-WPR2-150101"/>
  </r>
  <r>
    <s v="T-00234-2166"/>
    <s v="PS5-60-IE-0003C-CD15"/>
    <m/>
    <m/>
    <m/>
    <m/>
    <x v="12"/>
    <s v="PCOM - Precommissioning"/>
    <s v="E"/>
    <x v="1"/>
    <x v="0"/>
    <s v="Cable FROM PS5-60-IE-0004 TO PS5-60-IE-0003C"/>
    <s v="EACOP"/>
    <s v="CPP AGI"/>
    <m/>
    <m/>
    <s v="4"/>
    <m/>
    <m/>
    <s v="TZ-MID-68-WPR2-150101"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234"/>
    <m/>
    <s v="TZ-MID-68-WPR2-150101"/>
  </r>
  <r>
    <s v="T-00234-2168"/>
    <s v="PS5-60-IE-0003D-CD02"/>
    <m/>
    <m/>
    <m/>
    <m/>
    <x v="12"/>
    <s v="PCOM - Precommissioning"/>
    <s v="E"/>
    <x v="1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234"/>
    <m/>
    <s v="TZ-MID-68-WPR2-150101"/>
  </r>
  <r>
    <s v="T-00234-2169"/>
    <s v="PS5-60-IE-0003D-CD03"/>
    <m/>
    <m/>
    <m/>
    <m/>
    <x v="12"/>
    <s v="PCOM - Precommissioning"/>
    <s v="E"/>
    <x v="1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d v="2026-06-19T04:55:40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70"/>
    <s v="PS5-60-IE-0003D-CD04"/>
    <m/>
    <m/>
    <m/>
    <m/>
    <x v="12"/>
    <s v="PCOM - Precommissioning"/>
    <s v="E"/>
    <x v="1"/>
    <x v="0"/>
    <s v="Cable FROM PS5-60-BI-0005D TO PS5-60-IE-0003D"/>
    <s v="EACOP"/>
    <s v="CPP AGI"/>
    <m/>
    <m/>
    <s v="4"/>
    <m/>
    <m/>
    <s v="TZ-MID-68-WPR2-150101"/>
    <s v="PS5 - TZA - PS5 - Tanzania"/>
    <s v="PS5-60-10 - Power Generation Package D"/>
    <d v="2026-06-19T04:40:42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71"/>
    <s v="PS5-60-IE-0003D-CD05"/>
    <m/>
    <m/>
    <m/>
    <m/>
    <x v="12"/>
    <s v="PCOM - Precommissioning"/>
    <s v="E"/>
    <x v="1"/>
    <x v="0"/>
    <s v="Cable FROM PS5-60-BI-0015D TO PS5-60-IE-0003D"/>
    <s v="EACOP"/>
    <s v="CPP AGI"/>
    <m/>
    <m/>
    <s v="4"/>
    <m/>
    <m/>
    <s v="TZ-MID-68-WPR2-150101"/>
    <s v="PS5 - TZA - PS5 - Tanzania"/>
    <s v="PS5-60-10 - Power Generation Package D"/>
    <d v="2026-06-19T04:56:15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80"/>
    <s v="PS5-60-IE-0003D-CD14"/>
    <m/>
    <m/>
    <m/>
    <m/>
    <x v="12"/>
    <s v="PCOM - Precommissioning"/>
    <s v="E"/>
    <x v="1"/>
    <x v="0"/>
    <s v="Cable FROM PS5-60-IE-0002D TO PS5-60-IE-0003D"/>
    <s v="EACOP"/>
    <s v="CPP AGI"/>
    <m/>
    <m/>
    <s v="4"/>
    <m/>
    <m/>
    <s v="TZ-MID-68-WPR2-150101"/>
    <s v="PS5 - TZA - PS5 - Tanzania"/>
    <s v="PS5-60-10 - Power Generation Package D"/>
    <d v="2026-06-19T04:56:46"/>
    <s v="PS5-60-10"/>
    <x v="1"/>
    <x v="0"/>
    <s v="Multicore Electrical Control Cable"/>
    <s v="E"/>
    <x v="1"/>
    <s v="PS5 - Milestone D"/>
    <s v="TM-00234"/>
    <s v="Gawad, Mohamed"/>
    <s v="TZ-MID-68-WPR2-150101"/>
  </r>
  <r>
    <s v="T-00234-2181"/>
    <s v="PS5-60-IE-0003D-CD15"/>
    <m/>
    <m/>
    <m/>
    <m/>
    <x v="12"/>
    <s v="PCOM - Precommissioning"/>
    <s v="E"/>
    <x v="1"/>
    <x v="0"/>
    <s v="Cable FROM PS5-60-IE-0004 TO PS5-60-IE-0003D"/>
    <s v="EACOP"/>
    <s v="CPP AGI"/>
    <m/>
    <m/>
    <s v="4"/>
    <m/>
    <m/>
    <s v="TZ-MID-68-WPR2-150101"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234"/>
    <m/>
    <s v="TZ-MID-68-WPR2-150101"/>
  </r>
  <r>
    <s v="T-00236-0178"/>
    <s v="PS5-71-DM-3500A"/>
    <m/>
    <m/>
    <m/>
    <m/>
    <x v="13"/>
    <s v="PCOM - Precommissioning"/>
    <s v="E"/>
    <x v="1"/>
    <x v="0"/>
    <s v="Diesel Transfer Pump Motor A"/>
    <s v="EACOP"/>
    <s v="CPP AGI"/>
    <m/>
    <m/>
    <s v="6"/>
    <m/>
    <m/>
    <m/>
    <s v="PS5 - TZA - PS5 - Tanzania"/>
    <s v="PS5-71-21 - Diesel Transfer Pump A/B"/>
    <m/>
    <s v="PS5-71-21"/>
    <x v="0"/>
    <x v="0"/>
    <s v="LV Motor"/>
    <s v="E"/>
    <x v="0"/>
    <s v="PS5 - Milestone B"/>
    <s v="TM-00236"/>
    <m/>
    <m/>
  </r>
  <r>
    <s v="T-00236-0179"/>
    <s v="PS5-71-DM-3500B"/>
    <m/>
    <m/>
    <m/>
    <m/>
    <x v="13"/>
    <s v="PCOM - Precommissioning"/>
    <s v="E"/>
    <x v="1"/>
    <x v="0"/>
    <s v="Diesel Transfer Pump Motor B"/>
    <s v="EACOP"/>
    <s v="CPP AGI"/>
    <m/>
    <m/>
    <s v="6"/>
    <m/>
    <m/>
    <m/>
    <s v="PS5 - TZA - PS5 - Tanzania"/>
    <s v="PS5-71-21 - Diesel Transfer Pump A/B"/>
    <m/>
    <s v="PS5-71-21"/>
    <x v="0"/>
    <x v="0"/>
    <s v="LV Motor"/>
    <s v="E"/>
    <x v="0"/>
    <s v="PS5 - Milestone B"/>
    <s v="TM-00236"/>
    <m/>
    <m/>
  </r>
  <r>
    <s v="T-00238-0457"/>
    <s v="PS5-60-IE-0003A"/>
    <m/>
    <m/>
    <m/>
    <m/>
    <x v="14"/>
    <s v="PCOM - Precommissioning"/>
    <s v="E"/>
    <x v="1"/>
    <x v="0"/>
    <s v="GCP G-1 (A)"/>
    <s v="EACOP"/>
    <s v="CPP AGI"/>
    <m/>
    <m/>
    <s v="6"/>
    <m/>
    <m/>
    <m/>
    <s v="PS5 - TZA - PS5 - Tanzania"/>
    <s v="PS5-60-02 - Power Gen Package A (UCP)"/>
    <m/>
    <s v="PS5-60-02"/>
    <x v="0"/>
    <x v="0"/>
    <s v="Distribution Board/Console/Control Panel"/>
    <s v="E"/>
    <x v="0"/>
    <s v="PS5 - Milestone B"/>
    <s v="TM-00238"/>
    <m/>
    <m/>
  </r>
  <r>
    <s v="T-00238-0458"/>
    <s v="PS5-60-IE-0003B"/>
    <m/>
    <m/>
    <m/>
    <m/>
    <x v="14"/>
    <s v="PCOM - Precommissioning"/>
    <s v="E"/>
    <x v="1"/>
    <x v="0"/>
    <s v="GCP G-2 (B)"/>
    <s v="EACOP"/>
    <s v="CPP AGI"/>
    <m/>
    <m/>
    <s v="6"/>
    <m/>
    <m/>
    <m/>
    <s v="PS5 - TZA - PS5 - Tanzania"/>
    <s v="PS5-60-05 - Power Gen Package B (UCP)"/>
    <m/>
    <s v="PS5-60-05"/>
    <x v="0"/>
    <x v="0"/>
    <s v="Distribution Board/Console/Control Panel"/>
    <s v="E"/>
    <x v="0"/>
    <s v="PS5 - Milestone B"/>
    <s v="TM-00238"/>
    <m/>
    <m/>
  </r>
  <r>
    <s v="T-00238-0459"/>
    <s v="PS5-60-IE-0003C"/>
    <m/>
    <m/>
    <m/>
    <m/>
    <x v="14"/>
    <s v="PCOM - Precommissioning"/>
    <s v="E"/>
    <x v="1"/>
    <x v="0"/>
    <s v="GCP G-3 (C)"/>
    <s v="EACOP"/>
    <s v="CPP AGI"/>
    <m/>
    <m/>
    <s v="6"/>
    <m/>
    <m/>
    <m/>
    <s v="PS5 - TZA - PS5 - Tanzania"/>
    <s v="PS5-60-08 - Power Gen Package C (UCP)"/>
    <m/>
    <s v="PS5-60-08"/>
    <x v="1"/>
    <x v="0"/>
    <s v="Distribution Board/Console/Control Panel"/>
    <s v="E"/>
    <x v="0"/>
    <s v="PS5 - Milestone D"/>
    <s v="TM-00238"/>
    <m/>
    <m/>
  </r>
  <r>
    <s v="T-00238-0460"/>
    <s v="PS5-60-IE-0003D"/>
    <m/>
    <m/>
    <m/>
    <m/>
    <x v="14"/>
    <s v="PCOM - Precommissioning"/>
    <s v="E"/>
    <x v="1"/>
    <x v="0"/>
    <s v="GCP G-4 (D)"/>
    <s v="EACOP"/>
    <s v="CPP AGI"/>
    <m/>
    <m/>
    <s v="6"/>
    <m/>
    <m/>
    <m/>
    <s v="PS5 - TZA - PS5 - Tanzania"/>
    <s v="PS5-60-11 - Power Gen Package D (UCP)"/>
    <m/>
    <s v="PS5-60-11"/>
    <x v="1"/>
    <x v="0"/>
    <s v="Distribution Board/Console/Control Panel"/>
    <s v="E"/>
    <x v="0"/>
    <s v="PS5 - Milestone D"/>
    <s v="TM-00238"/>
    <m/>
    <m/>
  </r>
  <r>
    <s v="T-00238-0464"/>
    <s v="PS5-60-IE-0004"/>
    <m/>
    <m/>
    <m/>
    <m/>
    <x v="14"/>
    <s v="PCOM - Precommissioning"/>
    <s v="E"/>
    <x v="1"/>
    <x v="0"/>
    <s v="MCP- MASTER CONTROL PANEL"/>
    <s v="EACOP"/>
    <s v="CPP AGI"/>
    <m/>
    <m/>
    <s v="6"/>
    <m/>
    <m/>
    <m/>
    <s v="PS5 - TZA - PS5 - Tanzania"/>
    <s v="PS5-60-22 - Power Gen Master UCP"/>
    <m/>
    <s v="PS5-60-22"/>
    <x v="0"/>
    <x v="0"/>
    <s v="Distribution Board/Console/Control Panel"/>
    <s v="E"/>
    <x v="0"/>
    <s v="PS5 - Milestone B"/>
    <s v="TM-00238"/>
    <m/>
    <m/>
  </r>
  <r>
    <s v="T-00238-0465"/>
    <s v="PS5-60-IH-0001A"/>
    <m/>
    <m/>
    <m/>
    <m/>
    <x v="14"/>
    <s v="PCOM - Precommissioning"/>
    <s v="E"/>
    <x v="1"/>
    <x v="0"/>
    <s v="GENSET MCC -1 - G1 (A)"/>
    <s v="EACOP"/>
    <s v="CPP AGI"/>
    <m/>
    <m/>
    <s v="6"/>
    <m/>
    <m/>
    <m/>
    <s v="PS5 - TZA - PS5 - Tanzania"/>
    <s v="PS5-60-03 - Power Gen Package A Generator Auxiliary MCCs &amp; DBs"/>
    <m/>
    <s v="PS5-60-03"/>
    <x v="0"/>
    <x v="0"/>
    <s v="Distribution Board/Console/Control Panel"/>
    <s v="E"/>
    <x v="0"/>
    <s v="PS5 - Milestone B"/>
    <s v="TM-00238"/>
    <m/>
    <m/>
  </r>
  <r>
    <s v="T-00238-0466"/>
    <s v="PS5-60-IH-0001B"/>
    <m/>
    <m/>
    <m/>
    <m/>
    <x v="14"/>
    <s v="PCOM - Precommissioning"/>
    <s v="E"/>
    <x v="1"/>
    <x v="0"/>
    <s v="GENSET MCC -2 - G2 (B)"/>
    <s v="EACOP"/>
    <s v="CPP AGI"/>
    <m/>
    <m/>
    <s v="6"/>
    <m/>
    <m/>
    <m/>
    <s v="PS5 - TZA - PS5 - Tanzania"/>
    <s v="PS5-60-06 - Power Gen Package B Generator Auxiliary MCCs &amp; DBs"/>
    <m/>
    <s v="PS5-60-06"/>
    <x v="0"/>
    <x v="0"/>
    <s v="Distribution Board/Console/Control Panel"/>
    <s v="E"/>
    <x v="0"/>
    <s v="PS5 - Milestone B"/>
    <s v="TM-00238"/>
    <m/>
    <m/>
  </r>
  <r>
    <s v="T-00238-0467"/>
    <s v="PS5-60-IH-0001C"/>
    <m/>
    <m/>
    <m/>
    <m/>
    <x v="14"/>
    <s v="PCOM - Precommissioning"/>
    <s v="E"/>
    <x v="1"/>
    <x v="0"/>
    <s v="GENSET MCC -3 - G3 (C)"/>
    <s v="EACOP"/>
    <s v="CPP AGI"/>
    <m/>
    <m/>
    <s v="6"/>
    <m/>
    <m/>
    <m/>
    <s v="PS5 - TZA - PS5 - Tanzania"/>
    <s v="PS5-60-09 - Power Gen Package C Generator Auxiliary MCCs &amp; DBs"/>
    <m/>
    <s v="PS5-60-09"/>
    <x v="1"/>
    <x v="0"/>
    <s v="Distribution Board/Console/Control Panel"/>
    <s v="E"/>
    <x v="0"/>
    <s v="PS5 - Milestone D"/>
    <s v="TM-00238"/>
    <m/>
    <m/>
  </r>
  <r>
    <s v="T-00238-0468"/>
    <s v="PS5-60-IH-0001D"/>
    <m/>
    <m/>
    <m/>
    <m/>
    <x v="14"/>
    <s v="PCOM - Precommissioning"/>
    <s v="E"/>
    <x v="1"/>
    <x v="0"/>
    <s v="GENSET MCC -4 - G4 (D)"/>
    <s v="EACOP"/>
    <s v="CPP AGI"/>
    <m/>
    <m/>
    <s v="6"/>
    <m/>
    <m/>
    <m/>
    <s v="PS5 - TZA - PS5 - Tanzania"/>
    <s v="PS5-60-12 - Power Gen Package D Generator Auxiliary MCCs &amp; DBs"/>
    <m/>
    <s v="PS5-60-12"/>
    <x v="1"/>
    <x v="0"/>
    <s v="Distribution Board/Console/Control Panel"/>
    <s v="E"/>
    <x v="0"/>
    <s v="PS5 - Milestone D"/>
    <s v="TM-00238"/>
    <m/>
    <m/>
  </r>
  <r>
    <s v="T-00238-0472"/>
    <s v="PS5-60-IH-0002"/>
    <m/>
    <m/>
    <m/>
    <m/>
    <x v="14"/>
    <s v="PCOM - Precommissioning"/>
    <s v="E"/>
    <x v="1"/>
    <x v="0"/>
    <s v="COMMON / TREATMENT MCC"/>
    <s v="EACOP"/>
    <s v="CPP AGI"/>
    <m/>
    <m/>
    <s v="6"/>
    <m/>
    <m/>
    <m/>
    <s v="PS5 - TZA - PS5 - Tanzania"/>
    <s v="PS5-60-22 - Power Gen Master UCP"/>
    <m/>
    <s v="PS5-60-22"/>
    <x v="0"/>
    <x v="0"/>
    <s v="Distribution Board/Console/Control Panel"/>
    <s v="E"/>
    <x v="0"/>
    <s v="PS5 - Milestone B"/>
    <s v="TM-00238"/>
    <m/>
    <m/>
  </r>
  <r>
    <s v="T-00238-0473"/>
    <s v="PS5-60-IE-0002A"/>
    <m/>
    <m/>
    <m/>
    <m/>
    <x v="14"/>
    <s v="PCOM - Precommissioning"/>
    <s v="E"/>
    <x v="1"/>
    <x v="0"/>
    <s v="LOCAL DISPLAY PANEL LDP GENERATOR SET"/>
    <s v="EACOP"/>
    <s v="CPP AGI"/>
    <m/>
    <m/>
    <s v="6"/>
    <m/>
    <m/>
    <m/>
    <s v="PS5 - TZA - PS5 - Tanzania"/>
    <s v="PS5-60-01 - Power Generation Package A"/>
    <m/>
    <s v="PS5-60-01"/>
    <x v="0"/>
    <x v="0"/>
    <s v="Distribution Board/Console/Control Panel"/>
    <s v="E"/>
    <x v="0"/>
    <s v="PS5 - Milestone B"/>
    <s v="TM-00238"/>
    <m/>
    <m/>
  </r>
  <r>
    <s v="T-00238-0474"/>
    <s v="PS5-60-IE-0002B"/>
    <m/>
    <m/>
    <m/>
    <m/>
    <x v="14"/>
    <s v="PCOM - Precommissioning"/>
    <s v="E"/>
    <x v="1"/>
    <x v="0"/>
    <s v="LOCAL DISPLAY PANEL LDP GENERATOR SET"/>
    <s v="EACOP"/>
    <s v="CPP AGI"/>
    <m/>
    <m/>
    <s v="6"/>
    <m/>
    <m/>
    <m/>
    <s v="PS5 - TZA - PS5 - Tanzania"/>
    <s v="PS5-60-04 - Power Generation Package B"/>
    <m/>
    <s v="PS5-60-04"/>
    <x v="0"/>
    <x v="0"/>
    <s v="Distribution Board/Console/Control Panel"/>
    <s v="E"/>
    <x v="0"/>
    <s v="PS5 - Milestone B"/>
    <s v="TM-00238"/>
    <m/>
    <m/>
  </r>
  <r>
    <s v="T-00238-0475"/>
    <s v="PS5-60-IE-0002C"/>
    <m/>
    <m/>
    <m/>
    <m/>
    <x v="14"/>
    <s v="PCOM - Precommissioning"/>
    <s v="E"/>
    <x v="1"/>
    <x v="0"/>
    <s v="LOCAL DISPLAY PANEL LDP GENERATOR SET"/>
    <s v="EACOP"/>
    <s v="CPP AGI"/>
    <m/>
    <m/>
    <s v="6"/>
    <m/>
    <m/>
    <m/>
    <s v="PS5 - TZA - PS5 - Tanzania"/>
    <s v="PS5-60-07 - Power Generation Package C"/>
    <m/>
    <s v="PS5-60-07"/>
    <x v="1"/>
    <x v="0"/>
    <s v="Distribution Board/Console/Control Panel"/>
    <s v="E"/>
    <x v="0"/>
    <s v="PS5 - Milestone D"/>
    <s v="TM-00238"/>
    <m/>
    <m/>
  </r>
  <r>
    <s v="T-00238-0476"/>
    <s v="PS5-60-IE-0002D"/>
    <m/>
    <m/>
    <m/>
    <m/>
    <x v="14"/>
    <s v="PCOM - Precommissioning"/>
    <s v="E"/>
    <x v="1"/>
    <x v="0"/>
    <s v="LOCAL DISPLAY PANEL LDP GENERATOR SET"/>
    <s v="EACOP"/>
    <s v="CPP AGI"/>
    <m/>
    <m/>
    <s v="6"/>
    <m/>
    <m/>
    <m/>
    <s v="PS5 - TZA - PS5 - Tanzania"/>
    <s v="PS5-60-10 - Power Generation Package D"/>
    <m/>
    <s v="PS5-60-10"/>
    <x v="1"/>
    <x v="0"/>
    <s v="Distribution Board/Console/Control Panel"/>
    <s v="E"/>
    <x v="0"/>
    <s v="PS5 - Milestone D"/>
    <s v="TM-00238"/>
    <m/>
    <m/>
  </r>
  <r>
    <s v="T-00238-0552"/>
    <s v="PS5-60-IN-0002A"/>
    <m/>
    <m/>
    <m/>
    <m/>
    <x v="14"/>
    <s v="PCOM - Precommissioning"/>
    <s v="E"/>
    <x v="1"/>
    <x v="0"/>
    <s v="Fuel Conditioning Unit Control Panel - Generator Set-1 (A)"/>
    <s v="EACOP"/>
    <s v="CPP AGI"/>
    <m/>
    <m/>
    <s v="6"/>
    <m/>
    <m/>
    <m/>
    <s v="PS5 - TZA - PS5 - Tanzania"/>
    <s v="PS5-60-57 - Fuel Conditioning Module PS5-60-UZ-8900A (UCP)"/>
    <m/>
    <s v="PS5-60-57"/>
    <x v="0"/>
    <x v="0"/>
    <s v="Distribution Board/Console/Control Panel"/>
    <s v="E"/>
    <x v="0"/>
    <s v="PS5 - Milestone B"/>
    <s v="TM-00238"/>
    <m/>
    <m/>
  </r>
  <r>
    <s v="T-00238-0553"/>
    <s v="PS5-60-IN-0002B"/>
    <m/>
    <m/>
    <m/>
    <m/>
    <x v="14"/>
    <s v="PCOM - Precommissioning"/>
    <s v="E"/>
    <x v="1"/>
    <x v="0"/>
    <s v="Fuel Conditioning Unit Control Panel - Generator Set-2 (B)"/>
    <s v="EACOP"/>
    <s v="CPP AGI"/>
    <m/>
    <m/>
    <s v="6"/>
    <m/>
    <m/>
    <m/>
    <s v="PS5 - TZA - PS5 - Tanzania"/>
    <s v="PS5-60-59 - Fuel Conditioning Module PS5-60-UZ-8900B (UCP)"/>
    <m/>
    <s v="PS5-60-59"/>
    <x v="0"/>
    <x v="0"/>
    <s v="Distribution Board/Console/Control Panel"/>
    <s v="E"/>
    <x v="0"/>
    <s v="PS5 - Milestone B"/>
    <s v="TM-00238"/>
    <m/>
    <m/>
  </r>
  <r>
    <s v="T-00238-0554"/>
    <s v="PS5-60-IN-0002C"/>
    <m/>
    <m/>
    <m/>
    <m/>
    <x v="14"/>
    <s v="PCOM - Precommissioning"/>
    <s v="E"/>
    <x v="1"/>
    <x v="0"/>
    <s v="Fuel Conditioning Unit Control Panel - Generator Set-3 (C)"/>
    <s v="EACOP"/>
    <s v="CPP AGI"/>
    <m/>
    <m/>
    <s v="6"/>
    <m/>
    <m/>
    <m/>
    <s v="PS5 - TZA - PS5 - Tanzania"/>
    <s v="PS5-60-61 - Fuel Conditioning Module PS5-60-UZ-8900C (UCP)"/>
    <m/>
    <s v="PS5-60-61"/>
    <x v="1"/>
    <x v="0"/>
    <s v="Distribution Board/Console/Control Panel"/>
    <s v="E"/>
    <x v="0"/>
    <s v="PS5 - Milestone D"/>
    <s v="TM-00238"/>
    <m/>
    <m/>
  </r>
  <r>
    <s v="T-00238-0555"/>
    <s v="PS5-60-IN-0002D"/>
    <m/>
    <m/>
    <m/>
    <m/>
    <x v="14"/>
    <s v="PCOM - Precommissioning"/>
    <s v="E"/>
    <x v="1"/>
    <x v="0"/>
    <s v="Fuel Conditioning Unit Control Panel - Generator Set-4 (D)"/>
    <s v="EACOP"/>
    <s v="CPP AGI"/>
    <m/>
    <m/>
    <s v="6"/>
    <m/>
    <m/>
    <m/>
    <s v="PS5 - TZA - PS5 - Tanzania"/>
    <s v="PS5-60-63 - Fuel Conditioning Module PS5-60-UZ-8900D (UCP)"/>
    <m/>
    <s v="PS5-60-63"/>
    <x v="1"/>
    <x v="0"/>
    <s v="Distribution Board/Console/Control Panel"/>
    <s v="E"/>
    <x v="0"/>
    <s v="PS5 - Milestone D"/>
    <s v="TM-00238"/>
    <m/>
    <m/>
  </r>
  <r>
    <s v="T-00238-0566"/>
    <s v="PS5-71-IN-0003"/>
    <m/>
    <m/>
    <m/>
    <m/>
    <x v="14"/>
    <s v="PCOM - Precommissioning"/>
    <s v="E"/>
    <x v="1"/>
    <x v="0"/>
    <s v="DFO- PRE PRESSURE CONTROL PANEL"/>
    <s v="EACOP"/>
    <s v="CPP AGI"/>
    <m/>
    <m/>
    <s v="6"/>
    <m/>
    <m/>
    <m/>
    <s v="PS5 - TZA - PS5 - Tanzania"/>
    <s v="PS5-71-23 - Diesel Fuel Pre Pressure Module (UCP)"/>
    <m/>
    <s v="PS5-71-23"/>
    <x v="0"/>
    <x v="0"/>
    <s v="Distribution Board/Console/Control Panel"/>
    <s v="E"/>
    <x v="0"/>
    <s v="PS5 - Milestone B"/>
    <s v="TM-00238"/>
    <m/>
    <m/>
  </r>
  <r>
    <s v="T-00238-0567"/>
    <s v="PS5-71-IN-0004A"/>
    <m/>
    <m/>
    <m/>
    <m/>
    <x v="14"/>
    <s v="PCOM - Precommissioning"/>
    <s v="E"/>
    <x v="1"/>
    <x v="0"/>
    <s v="CRO- SEPARATOR CONTROL PANEL-1"/>
    <s v="EACOP"/>
    <s v="CPP AGI"/>
    <m/>
    <m/>
    <s v="6"/>
    <m/>
    <m/>
    <m/>
    <s v="PS5 - TZA - PS5 - Tanzania"/>
    <s v="PS5-71-07 - Crude Fuel Separation Module (UCP)"/>
    <m/>
    <s v="PS5-71-07"/>
    <x v="1"/>
    <x v="0"/>
    <s v="Distribution Board/Console/Control Panel"/>
    <s v="E"/>
    <x v="0"/>
    <s v="PS5 - Milestone H"/>
    <s v="TM-00238"/>
    <m/>
    <m/>
  </r>
  <r>
    <s v="T-00238-0568"/>
    <s v="PS5-71-IN-0004B"/>
    <m/>
    <m/>
    <m/>
    <m/>
    <x v="14"/>
    <s v="PCOM - Precommissioning"/>
    <s v="E"/>
    <x v="1"/>
    <x v="0"/>
    <s v="CRO- SEPARATOR CONTROL PANEL-2"/>
    <s v="EACOP"/>
    <s v="CPP AGI"/>
    <m/>
    <m/>
    <s v="6"/>
    <m/>
    <m/>
    <m/>
    <s v="PS5 - TZA - PS5 - Tanzania"/>
    <s v="PS5-71-07 - Crude Fuel Separation Module (UCP)"/>
    <m/>
    <s v="PS5-71-07"/>
    <x v="1"/>
    <x v="0"/>
    <s v="Distribution Board/Console/Control Panel"/>
    <s v="E"/>
    <x v="0"/>
    <s v="PS5 - Milestone H"/>
    <s v="TM-00238"/>
    <m/>
    <m/>
  </r>
  <r>
    <s v="T-00243-0059"/>
    <s v="PS5-60-IJ-0001A"/>
    <m/>
    <m/>
    <m/>
    <m/>
    <x v="15"/>
    <s v="PCOM - Precommissioning"/>
    <s v="E"/>
    <x v="1"/>
    <x v="0"/>
    <s v="Neutral Grounding resistor for Generator set 1 (A)"/>
    <s v="EACOP"/>
    <s v="CPP AGI"/>
    <m/>
    <m/>
    <s v="6"/>
    <m/>
    <m/>
    <m/>
    <s v="PS5 - TZA - PS5 - Tanzania"/>
    <s v="PS5-60-01 - Power Generation Package A"/>
    <m/>
    <s v="PS5-60-01"/>
    <x v="0"/>
    <x v="0"/>
    <s v="Neutral Earthing Resistor"/>
    <s v="E"/>
    <x v="0"/>
    <s v="PS5 - Milestone B"/>
    <s v="TM-00243"/>
    <m/>
    <m/>
  </r>
  <r>
    <s v="T-00243-0060"/>
    <s v="PS5-60-IJ-0001B"/>
    <m/>
    <m/>
    <m/>
    <m/>
    <x v="15"/>
    <s v="PCOM - Precommissioning"/>
    <s v="E"/>
    <x v="1"/>
    <x v="0"/>
    <s v="Neutral Grounding resistor for Generator set 2 (B)"/>
    <s v="EACOP"/>
    <s v="CPP AGI"/>
    <m/>
    <m/>
    <s v="6"/>
    <m/>
    <m/>
    <m/>
    <s v="PS5 - TZA - PS5 - Tanzania"/>
    <s v="PS5-60-04 - Power Generation Package B"/>
    <m/>
    <s v="PS5-60-04"/>
    <x v="0"/>
    <x v="0"/>
    <s v="Neutral Earthing Resistor"/>
    <s v="E"/>
    <x v="0"/>
    <s v="PS5 - Milestone B"/>
    <s v="TM-00243"/>
    <m/>
    <m/>
  </r>
  <r>
    <s v="T-00243-0061"/>
    <s v="PS5-60-IJ-0001C"/>
    <m/>
    <m/>
    <m/>
    <m/>
    <x v="15"/>
    <s v="PCOM - Precommissioning"/>
    <s v="E"/>
    <x v="1"/>
    <x v="0"/>
    <s v="Neutral Grounding resistor for Generator set 3 (C)"/>
    <s v="EACOP"/>
    <s v="CPP AGI"/>
    <m/>
    <m/>
    <s v="6"/>
    <m/>
    <m/>
    <m/>
    <s v="PS5 - TZA - PS5 - Tanzania"/>
    <s v="PS5-60-07 - Power Generation Package C"/>
    <m/>
    <s v="PS5-60-07"/>
    <x v="1"/>
    <x v="0"/>
    <s v="Neutral Earthing Resistor"/>
    <s v="E"/>
    <x v="0"/>
    <s v="PS5 - Milestone D"/>
    <s v="TM-00243"/>
    <m/>
    <m/>
  </r>
  <r>
    <s v="T-00243-0062"/>
    <s v="PS5-60-IJ-0001D"/>
    <m/>
    <m/>
    <m/>
    <m/>
    <x v="15"/>
    <s v="PCOM - Precommissioning"/>
    <s v="E"/>
    <x v="1"/>
    <x v="0"/>
    <s v="Neutral Grounding resistor for Generator set 4 (D)"/>
    <s v="EACOP"/>
    <s v="CPP AGI"/>
    <m/>
    <m/>
    <s v="6"/>
    <m/>
    <m/>
    <m/>
    <s v="PS5 - TZA - PS5 - Tanzania"/>
    <s v="PS5-60-10 - Power Generation Package D"/>
    <m/>
    <s v="PS5-60-10"/>
    <x v="1"/>
    <x v="0"/>
    <s v="Neutral Earthing Resistor"/>
    <s v="E"/>
    <x v="0"/>
    <s v="PS5 - Milestone D"/>
    <s v="TM-00243"/>
    <m/>
    <m/>
  </r>
  <r>
    <s v="T-00247-0146"/>
    <s v="PS5 - POWER DISTRIBUTION AREA_Earthing"/>
    <m/>
    <m/>
    <m/>
    <m/>
    <x v="16"/>
    <s v="PCOM - Precommissioning"/>
    <s v="E"/>
    <x v="1"/>
    <x v="0"/>
    <s v="Earthing"/>
    <s v="EACOP"/>
    <s v="CPP AGI"/>
    <m/>
    <m/>
    <s v="10"/>
    <m/>
    <m/>
    <s v="TZ-MID-68-WPR2-151148"/>
    <s v="PS5 - TZA - PS5 - Tanzania"/>
    <s v="PS5-63-01 - Electrical Earthing"/>
    <m/>
    <s v="PS5-63-01"/>
    <x v="0"/>
    <x v="0"/>
    <s v="Earthing System"/>
    <s v="E"/>
    <x v="0"/>
    <s v="PS5 - Milestone A"/>
    <s v="TM-00247"/>
    <m/>
    <s v="TZ-MID-68-WPR2-151148"/>
  </r>
  <r>
    <s v="T-00247-0147"/>
    <s v="PS5 - POWER GENERATION BUILDING AREA_Earthing"/>
    <m/>
    <m/>
    <m/>
    <m/>
    <x v="16"/>
    <s v="PCOM - Precommissioning"/>
    <s v="E"/>
    <x v="1"/>
    <x v="0"/>
    <s v="Earthing"/>
    <s v="EACOP"/>
    <s v="CPP AGI"/>
    <m/>
    <m/>
    <s v="10"/>
    <m/>
    <m/>
    <s v="TZ-MID-68-WPR2-151152"/>
    <s v="PS5 - TZA - PS5 - Tanzania"/>
    <s v="PS5-63-01 - Electrical Earthing"/>
    <m/>
    <s v="PS5-63-01"/>
    <x v="0"/>
    <x v="0"/>
    <s v="Earthing System"/>
    <s v="E"/>
    <x v="0"/>
    <s v="PS5 - Milestone A"/>
    <s v="TM-00247"/>
    <m/>
    <s v="TZ-MID-68-WPR2-151152"/>
  </r>
  <r>
    <s v="T-00247-0148"/>
    <s v="PS5 - POWER GENERATION COOLING TOWER AREA_Earthing"/>
    <m/>
    <m/>
    <m/>
    <m/>
    <x v="16"/>
    <s v="PCOM - Precommissioning"/>
    <s v="E"/>
    <x v="1"/>
    <x v="0"/>
    <s v="Earthing"/>
    <s v="EACOP"/>
    <s v="CPP AGI"/>
    <m/>
    <m/>
    <s v="10"/>
    <m/>
    <m/>
    <s v="TZ-MID-68-WPR2-151154"/>
    <s v="PS5 - TZA - PS5 - Tanzania"/>
    <s v="PS5-63-01 - Electrical Earthing"/>
    <m/>
    <s v="PS5-63-01"/>
    <x v="0"/>
    <x v="0"/>
    <s v="Earthing System"/>
    <s v="E"/>
    <x v="0"/>
    <s v="PS5 - Milestone A"/>
    <s v="TM-00247"/>
    <m/>
    <s v="TZ-MID-68-WPR2-151154"/>
  </r>
  <r>
    <s v="T-00247-0160"/>
    <s v="PS5-84-OB-0005_Earthing"/>
    <m/>
    <m/>
    <m/>
    <m/>
    <x v="16"/>
    <s v="PCOM - Precommissioning"/>
    <s v="E"/>
    <x v="1"/>
    <x v="0"/>
    <s v="Earthing for Generator Electrical Building"/>
    <s v="EACOP"/>
    <s v="CPP AGI"/>
    <m/>
    <m/>
    <s v="10"/>
    <m/>
    <m/>
    <s v="TZ-MID-68-WPR2-151181"/>
    <s v="PS5 - TZA - PS5 - Tanzania"/>
    <s v="PS5-63-03 - Electrical Earthing - Generator Building"/>
    <m/>
    <s v="PS5-63-03"/>
    <x v="0"/>
    <x v="0"/>
    <s v="Earthing System"/>
    <s v="E"/>
    <x v="0"/>
    <s v="PS5 - Milestone B"/>
    <s v="TM-00247"/>
    <m/>
    <s v="TZ-MID-68-WPR2-151181"/>
  </r>
  <r>
    <s v="T-00608-0456"/>
    <s v="PS5-71-DM-3500A-CL01"/>
    <m/>
    <m/>
    <m/>
    <m/>
    <x v="17"/>
    <s v="PCOM - Precommissioning"/>
    <s v="E"/>
    <x v="0"/>
    <x v="0"/>
    <s v="Cable FROM PS5-61-IK-0001 TO PS5-71-DM-3500A"/>
    <s v="EACOP"/>
    <s v="CPP AGI"/>
    <m/>
    <m/>
    <s v="1"/>
    <m/>
    <s v="1"/>
    <m/>
    <s v="PS5 - TZA - PS5 - Tanzania"/>
    <s v="PS5-71-21 - Diesel Transfer Pump A/B"/>
    <m/>
    <s v="PS5-71-21"/>
    <x v="0"/>
    <x v="0"/>
    <m/>
    <s v="E"/>
    <x v="0"/>
    <s v="PS5 - Milestone B"/>
    <s v="TM-00608"/>
    <m/>
    <m/>
  </r>
  <r>
    <s v="T-00608-0457"/>
    <s v="PS5-71-DM-3500B-CL01"/>
    <m/>
    <m/>
    <m/>
    <m/>
    <x v="17"/>
    <s v="PCOM - Precommissioning"/>
    <s v="E"/>
    <x v="0"/>
    <x v="0"/>
    <s v="Cable FROM PS5-61-IK-0001 TO PS5-71-DM-3500B"/>
    <s v="EACOP"/>
    <s v="CPP AGI"/>
    <m/>
    <m/>
    <s v="1"/>
    <m/>
    <s v="1"/>
    <m/>
    <s v="PS5 - TZA - PS5 - Tanzania"/>
    <s v="PS5-71-21 - Diesel Transfer Pump A/B"/>
    <m/>
    <s v="PS5-71-21"/>
    <x v="0"/>
    <x v="0"/>
    <m/>
    <s v="E"/>
    <x v="0"/>
    <s v="PS5 - Milestone B"/>
    <s v="TM-00608"/>
    <m/>
    <m/>
  </r>
  <r>
    <s v="T-00610-0220"/>
    <s v="PS5-60-IE-0003A-CD06"/>
    <m/>
    <m/>
    <m/>
    <m/>
    <x v="18"/>
    <s v="PCOM - Precommissioning"/>
    <s v="E"/>
    <x v="0"/>
    <x v="0"/>
    <s v="Cable FROM PS5-61-IJ-0001 TO PS5-60-IE-0003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610"/>
    <m/>
    <m/>
  </r>
  <r>
    <s v="T-00610-0221"/>
    <s v="PS5-60-IE-0003A-CD08"/>
    <m/>
    <m/>
    <m/>
    <m/>
    <x v="18"/>
    <s v="PCOM - Precommissioning"/>
    <s v="E"/>
    <x v="0"/>
    <x v="0"/>
    <s v="Cable FROM PS5-61-IJ-0001 TO PS5-60-IE-0003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610"/>
    <m/>
    <m/>
  </r>
  <r>
    <s v="T-00610-0222"/>
    <s v="PS5-60-IE-0003A-CD12"/>
    <m/>
    <m/>
    <m/>
    <m/>
    <x v="18"/>
    <s v="PCOM - Precommissioning"/>
    <s v="E"/>
    <x v="0"/>
    <x v="0"/>
    <s v="Cable FROM PS5-61-IJ-0001 TO PS5-60-IE-0003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core Electrical Control Cable"/>
    <s v="E"/>
    <x v="0"/>
    <s v="PS5 - Milestone B"/>
    <s v="TM-00610"/>
    <m/>
    <m/>
  </r>
  <r>
    <s v="T-00610-0223"/>
    <s v="PS5-60-IE-0003B-CD06"/>
    <m/>
    <m/>
    <m/>
    <m/>
    <x v="18"/>
    <s v="PCOM - Precommissioning"/>
    <s v="E"/>
    <x v="0"/>
    <x v="0"/>
    <s v="Cable FROM PS5-61-IJ-0001 TO PS5-60-IE-0003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610"/>
    <m/>
    <m/>
  </r>
  <r>
    <s v="T-00610-0224"/>
    <s v="PS5-60-IE-0003B-CD08"/>
    <m/>
    <m/>
    <m/>
    <m/>
    <x v="18"/>
    <s v="PCOM - Precommissioning"/>
    <s v="E"/>
    <x v="0"/>
    <x v="0"/>
    <s v="Cable FROM PS5-61-IJ-0001 TO PS5-60-IE-0003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610"/>
    <m/>
    <m/>
  </r>
  <r>
    <s v="T-00610-0225"/>
    <s v="PS5-60-IE-0003B-CD12"/>
    <m/>
    <m/>
    <m/>
    <m/>
    <x v="18"/>
    <s v="PCOM - Precommissioning"/>
    <s v="E"/>
    <x v="0"/>
    <x v="0"/>
    <s v="Cable FROM PS5-61-IJ-0001 TO PS5-60-IE-0003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core Electrical Control Cable"/>
    <s v="E"/>
    <x v="0"/>
    <s v="PS5 - Milestone B"/>
    <s v="TM-00610"/>
    <m/>
    <m/>
  </r>
  <r>
    <s v="T-00610-0226"/>
    <s v="PS5-60-IE-0003C-CD06"/>
    <m/>
    <m/>
    <m/>
    <m/>
    <x v="18"/>
    <s v="PCOM - Precommissioning"/>
    <s v="E"/>
    <x v="0"/>
    <x v="0"/>
    <s v="Cable FROM PS5-61-IJ-0001 TO PS5-60-IE-0003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610"/>
    <m/>
    <m/>
  </r>
  <r>
    <s v="T-00610-0227"/>
    <s v="PS5-60-IE-0003C-CD08"/>
    <m/>
    <m/>
    <m/>
    <m/>
    <x v="18"/>
    <s v="PCOM - Precommissioning"/>
    <s v="E"/>
    <x v="0"/>
    <x v="0"/>
    <s v="Cable FROM PS5-61-IJ-0001 TO PS5-60-IE-0003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610"/>
    <m/>
    <m/>
  </r>
  <r>
    <s v="T-00610-0228"/>
    <s v="PS5-60-IE-0003C-CD12"/>
    <m/>
    <m/>
    <m/>
    <m/>
    <x v="18"/>
    <s v="PCOM - Precommissioning"/>
    <s v="E"/>
    <x v="0"/>
    <x v="0"/>
    <s v="Cable FROM PS5-61-IJ-0001 TO PS5-60-IE-0003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core Electrical Control Cable"/>
    <s v="E"/>
    <x v="0"/>
    <s v="PS5 - Milestone D"/>
    <s v="TM-00610"/>
    <m/>
    <m/>
  </r>
  <r>
    <s v="T-00610-0229"/>
    <s v="PS5-60-IE-0003D-CD06"/>
    <m/>
    <m/>
    <m/>
    <m/>
    <x v="18"/>
    <s v="PCOM - Precommissioning"/>
    <s v="E"/>
    <x v="0"/>
    <x v="0"/>
    <s v="Cable FROM PS5-61-IJ-0001 TO PS5-60-IE-0003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610"/>
    <m/>
    <m/>
  </r>
  <r>
    <s v="T-00610-0230"/>
    <s v="PS5-60-IE-0003D-CD08"/>
    <m/>
    <m/>
    <m/>
    <m/>
    <x v="18"/>
    <s v="PCOM - Precommissioning"/>
    <s v="E"/>
    <x v="0"/>
    <x v="0"/>
    <s v="Cable FROM PS5-61-IJ-0001 TO PS5-60-IE-0003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610"/>
    <m/>
    <m/>
  </r>
  <r>
    <s v="T-00610-0231"/>
    <s v="PS5-60-IE-0003D-CD12"/>
    <m/>
    <m/>
    <m/>
    <m/>
    <x v="18"/>
    <s v="PCOM - Precommissioning"/>
    <s v="E"/>
    <x v="0"/>
    <x v="0"/>
    <s v="Cable FROM PS5-61-IJ-0001 TO PS5-60-IE-0003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core Electrical Control Cable"/>
    <s v="E"/>
    <x v="0"/>
    <s v="PS5 - Milestone D"/>
    <s v="TM-00610"/>
    <m/>
    <m/>
  </r>
  <r>
    <s v="T-00610-0241"/>
    <s v="PS5-60-IE-0004-CD01"/>
    <m/>
    <m/>
    <m/>
    <m/>
    <x v="18"/>
    <s v="PCOM - Precommissioning"/>
    <s v="E"/>
    <x v="0"/>
    <x v="0"/>
    <s v="Cable FROM PS5-61-IJ-0001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s v="Multicore Electrical Control Cable"/>
    <s v="E"/>
    <x v="0"/>
    <s v="PS5 - Milestone B"/>
    <s v="TM-00610"/>
    <m/>
    <m/>
  </r>
  <r>
    <s v="T-00610-0242"/>
    <s v="PS5-60-IE-0004-CD02"/>
    <m/>
    <m/>
    <m/>
    <m/>
    <x v="18"/>
    <s v="PCOM - Precommissioning"/>
    <s v="E"/>
    <x v="0"/>
    <x v="0"/>
    <s v="Cable FROM PS5-61-IJ-0001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s v="Multicore Electrical Control Cable"/>
    <s v="E"/>
    <x v="0"/>
    <s v="PS5 - Milestone B"/>
    <s v="TM-00610"/>
    <m/>
    <m/>
  </r>
  <r>
    <s v="T-00610-0284"/>
    <s v="PS5-71-IES-3500A-CD01"/>
    <m/>
    <m/>
    <m/>
    <m/>
    <x v="18"/>
    <s v="PCOM - Precommissioning"/>
    <s v="E"/>
    <x v="0"/>
    <x v="0"/>
    <s v="Cable FROM PS5-61-IK-0001 TO PS5-71-IES-3500A"/>
    <s v="EACOP"/>
    <s v="CPP AGI"/>
    <m/>
    <m/>
    <s v="4"/>
    <m/>
    <s v="4"/>
    <m/>
    <s v="PS5 - TZA - PS5 - Tanzania"/>
    <s v="PS5-71-21 - Diesel Transfer Pump A/B"/>
    <d v="2026-07-03T14:27:21"/>
    <s v="PS5-71-21"/>
    <x v="0"/>
    <x v="0"/>
    <s v="Multicore Electrical Control Cable"/>
    <s v="E"/>
    <x v="1"/>
    <s v="PS5 - Milestone B"/>
    <s v="TM-00610"/>
    <s v="Gawad, Mohamed"/>
    <m/>
  </r>
  <r>
    <s v="T-00610-0285"/>
    <s v="PS5-71-IES-3500B-CD01"/>
    <m/>
    <m/>
    <m/>
    <m/>
    <x v="18"/>
    <s v="PCOM - Precommissioning"/>
    <s v="E"/>
    <x v="0"/>
    <x v="0"/>
    <s v="Cable FROM PS5-61-IK-0001 TO PS5-71-IES-3500B"/>
    <s v="EACOP"/>
    <s v="CPP AGI"/>
    <m/>
    <m/>
    <s v="4"/>
    <m/>
    <s v="4"/>
    <m/>
    <s v="PS5 - TZA - PS5 - Tanzania"/>
    <s v="PS5-71-21 - Diesel Transfer Pump A/B"/>
    <d v="2026-07-03T14:29:33"/>
    <s v="PS5-71-21"/>
    <x v="0"/>
    <x v="0"/>
    <s v="Multicore Electrical Control Cable"/>
    <s v="E"/>
    <x v="1"/>
    <s v="PS5 - Milestone B"/>
    <s v="TM-00610"/>
    <s v="Gawad, Mohamed"/>
    <m/>
  </r>
  <r>
    <s v="T-00610-0574"/>
    <s v="PS5-60-IE-0004-CD14"/>
    <m/>
    <m/>
    <m/>
    <m/>
    <x v="18"/>
    <s v="PCOM - Precommissioning"/>
    <s v="E"/>
    <x v="0"/>
    <x v="0"/>
    <s v="Cable FROM PS5-61-IJ-0001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s v="Multicore Electrical Control Cable"/>
    <s v="E"/>
    <x v="0"/>
    <s v="PS5 - Milestone B"/>
    <s v="TM-00610"/>
    <m/>
    <m/>
  </r>
  <r>
    <s v="T-00610-0575"/>
    <s v="PS5-60-IE-0004-CD15"/>
    <m/>
    <m/>
    <m/>
    <m/>
    <x v="18"/>
    <s v="PCOM - Precommissioning"/>
    <s v="E"/>
    <x v="0"/>
    <x v="0"/>
    <s v="Cable FROM PS5-61-IJ-0001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s v="Multicore Electrical Control Cable"/>
    <s v="E"/>
    <x v="0"/>
    <s v="PS5 - Milestone B"/>
    <s v="TM-00610"/>
    <m/>
    <m/>
  </r>
  <r>
    <s v="T-00610-0576"/>
    <s v="PS5-60-IE-0004-CD16"/>
    <m/>
    <m/>
    <m/>
    <m/>
    <x v="18"/>
    <s v="PCOM - Precommissioning"/>
    <s v="E"/>
    <x v="0"/>
    <x v="0"/>
    <s v="Cable FROM PS5-61-IJ-0001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s v="Multicore Electrical Control Cable"/>
    <s v="E"/>
    <x v="0"/>
    <s v="PS5 - Milestone B"/>
    <s v="TM-00610"/>
    <m/>
    <m/>
  </r>
  <r>
    <s v="T-00066-0066"/>
    <s v="PS5-71-FCV-0019"/>
    <m/>
    <m/>
    <m/>
    <m/>
    <x v="19"/>
    <s v="PCOM - Precommissioning"/>
    <s v="I"/>
    <x v="0"/>
    <x v="1"/>
    <s v="Flow Control Valve"/>
    <s v="EACOP"/>
    <s v="CPP AGI"/>
    <m/>
    <m/>
    <s v="1"/>
    <m/>
    <m/>
    <m/>
    <s v="PS5 - TZA - PS5 - Tanzania"/>
    <s v="PS5-71-21 - Diesel Transfer Pump A/B"/>
    <m/>
    <s v="PS5-71-21"/>
    <x v="0"/>
    <x v="0"/>
    <s v="Tubing Hydraulic"/>
    <s v="I"/>
    <x v="0"/>
    <s v="PS5 - Milestone B"/>
    <s v="TM-00066"/>
    <m/>
    <m/>
  </r>
  <r>
    <s v="T-00067-0659"/>
    <s v="PS5-03-RMAC-1409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TZ-MID-68-WPR2-121106"/>
  </r>
  <r>
    <s v="T-00067-0659"/>
    <s v="PS5-03-RMAC-1409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UT-MID-60-WPR2-160211"/>
  </r>
  <r>
    <s v="T-00067-0660"/>
    <s v="PS5-03-RMAC-1410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TZ-MID-68-WPR2-121106"/>
  </r>
  <r>
    <s v="T-00067-0660"/>
    <s v="PS5-03-RMAC-1410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UT-MID-60-WPR2-160211"/>
  </r>
  <r>
    <s v="T-00067-0661"/>
    <s v="PS5-03-RMAC-1411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TZ-MID-68-WPR2-121106"/>
  </r>
  <r>
    <s v="T-00067-0661"/>
    <s v="PS5-03-RMAC-1411"/>
    <m/>
    <m/>
    <m/>
    <m/>
    <x v="20"/>
    <s v="PCOM - Precommissioning"/>
    <s v="I"/>
    <x v="0"/>
    <x v="1"/>
    <s v="MANUAL CALL POINT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Electrical Instrument"/>
    <s v="I"/>
    <x v="0"/>
    <s v="PS5 - Milestone E"/>
    <s v="TM-00067"/>
    <m/>
    <s v="UT-MID-60-WPR2-160211"/>
  </r>
  <r>
    <s v="T-00067-2052"/>
    <s v="PS5-71-HZL-0059"/>
    <m/>
    <m/>
    <m/>
    <m/>
    <x v="20"/>
    <s v="PCOM - Precommissioning"/>
    <s v="I"/>
    <x v="0"/>
    <x v="1"/>
    <s v="Position Switch Closed"/>
    <s v="EACOP"/>
    <s v="CPP AGI"/>
    <m/>
    <m/>
    <s v="1"/>
    <m/>
    <m/>
    <s v="TZ-MID-68-WPR2-135009"/>
    <s v="PS5 - TZA - PS5 - Tanzania"/>
    <s v="PS5-71-18 - Diesel Separator Module"/>
    <m/>
    <s v="PS5-71-18"/>
    <x v="1"/>
    <x v="0"/>
    <s v="Electrical Instrument"/>
    <s v="I"/>
    <x v="0"/>
    <s v="PS5 - Milestone F"/>
    <s v="TM-00067"/>
    <m/>
    <s v="TZ-MID-68-WPR2-135009"/>
  </r>
  <r>
    <s v="T-00067-2053"/>
    <s v="PS5-71-HZH-0059"/>
    <m/>
    <m/>
    <m/>
    <m/>
    <x v="20"/>
    <s v="PCOM - Precommissioning"/>
    <s v="I"/>
    <x v="0"/>
    <x v="1"/>
    <s v="Position Switch Opened"/>
    <s v="EACOP"/>
    <s v="CPP AGI"/>
    <m/>
    <m/>
    <s v="1"/>
    <m/>
    <m/>
    <s v="TZ-MID-68-WPR2-135009"/>
    <s v="PS5 - TZA - PS5 - Tanzania"/>
    <s v="PS5-71-18 - Diesel Separator Module"/>
    <m/>
    <s v="PS5-71-18"/>
    <x v="1"/>
    <x v="0"/>
    <s v="Electrical Instrument"/>
    <s v="I"/>
    <x v="0"/>
    <s v="PS5 - Milestone F"/>
    <s v="TM-00067"/>
    <m/>
    <s v="TZ-MID-68-WPR2-135009"/>
  </r>
  <r>
    <s v="T-00067-2057"/>
    <s v="PS5-71-FIT-0019"/>
    <m/>
    <m/>
    <m/>
    <m/>
    <x v="20"/>
    <s v="PCOM - Precommissioning"/>
    <s v="I"/>
    <x v="0"/>
    <x v="1"/>
    <s v="DP Flow Ind Transmitter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Electrical Instrument"/>
    <s v="I"/>
    <x v="0"/>
    <s v="PS5 - Milestone B"/>
    <s v="TM-00067"/>
    <m/>
    <s v="TZ-MID-68-WPR2-135008"/>
  </r>
  <r>
    <s v="T-00067-2073"/>
    <s v="PS5-71-LIT-1202"/>
    <m/>
    <m/>
    <m/>
    <m/>
    <x v="20"/>
    <s v="PCOM - Precommissioning"/>
    <s v="I"/>
    <x v="0"/>
    <x v="1"/>
    <s v="DP Level Ind Transmitter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Electrical Instrument"/>
    <s v="I"/>
    <x v="0"/>
    <s v="PS5 - Milestone B"/>
    <s v="TM-00067"/>
    <m/>
    <s v="TZ-MID-68-WPR2-135205"/>
  </r>
  <r>
    <s v="T-00067-2093"/>
    <s v="PS5-71-LIT-1201"/>
    <m/>
    <m/>
    <m/>
    <m/>
    <x v="20"/>
    <s v="PCOM - Precommissioning"/>
    <s v="I"/>
    <x v="0"/>
    <x v="1"/>
    <s v="DP Level Ind Transmitter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Electrical Instrument"/>
    <s v="I"/>
    <x v="0"/>
    <s v="PS5 - Milestone B"/>
    <s v="TM-00067"/>
    <m/>
    <s v="TZ-MID-68-WPR2-135205"/>
  </r>
  <r>
    <s v="T-00067-2168"/>
    <s v="PS5-71-HZL-0058"/>
    <m/>
    <m/>
    <m/>
    <m/>
    <x v="20"/>
    <s v="PCOM - Precommissioning"/>
    <s v="I"/>
    <x v="0"/>
    <x v="1"/>
    <s v="Position Switch Closed"/>
    <s v="EACOP"/>
    <s v="CPP AGI"/>
    <m/>
    <m/>
    <s v="1"/>
    <m/>
    <m/>
    <m/>
    <s v="PS5 - TZA - PS5 - Tanzania"/>
    <s v="PS5-71-21 - Diesel Transfer Pump A/B"/>
    <m/>
    <s v="PS5-71-21"/>
    <x v="0"/>
    <x v="0"/>
    <s v="Electrical Instrument"/>
    <s v="I"/>
    <x v="0"/>
    <s v="PS5 - Milestone B"/>
    <s v="TM-00067"/>
    <m/>
    <m/>
  </r>
  <r>
    <s v="T-00067-2169"/>
    <s v="PS5-71-HZH-0058"/>
    <m/>
    <m/>
    <m/>
    <m/>
    <x v="20"/>
    <s v="PCOM - Precommissioning"/>
    <s v="I"/>
    <x v="0"/>
    <x v="1"/>
    <s v="Position Switch Opened"/>
    <s v="EACOP"/>
    <s v="CPP AGI"/>
    <m/>
    <m/>
    <s v="1"/>
    <m/>
    <m/>
    <m/>
    <s v="PS5 - TZA - PS5 - Tanzania"/>
    <s v="PS5-71-21 - Diesel Transfer Pump A/B"/>
    <m/>
    <s v="PS5-71-21"/>
    <x v="0"/>
    <x v="0"/>
    <s v="Electrical Instrument"/>
    <s v="I"/>
    <x v="0"/>
    <s v="PS5 - Milestone B"/>
    <s v="TM-00067"/>
    <m/>
    <m/>
  </r>
  <r>
    <s v="T-00067-2468"/>
    <s v="PS5-71-IES-3500A"/>
    <m/>
    <m/>
    <m/>
    <m/>
    <x v="20"/>
    <s v="PCOM - Precommissioning"/>
    <s v="I"/>
    <x v="0"/>
    <x v="1"/>
    <s v="LCS for Diesel Transfer Pump Motor A"/>
    <s v="EACOP"/>
    <s v="CPP AGI"/>
    <m/>
    <m/>
    <s v="1"/>
    <m/>
    <m/>
    <m/>
    <s v="PS5 - TZA - PS5 - Tanzania"/>
    <s v="PS5-71-21 - Diesel Transfer Pump A/B"/>
    <m/>
    <s v="PS5-71-21"/>
    <x v="0"/>
    <x v="0"/>
    <s v="Electrical Instrument"/>
    <s v="E"/>
    <x v="0"/>
    <s v="PS5 - Milestone B"/>
    <s v="TM-00067"/>
    <m/>
    <m/>
  </r>
  <r>
    <s v="T-00067-2469"/>
    <s v="PS5-71-IES-3500B"/>
    <m/>
    <m/>
    <m/>
    <m/>
    <x v="20"/>
    <s v="PCOM - Precommissioning"/>
    <s v="I"/>
    <x v="0"/>
    <x v="1"/>
    <s v="LCS for Diesel Transfer Pump Motor B"/>
    <s v="EACOP"/>
    <s v="CPP AGI"/>
    <m/>
    <m/>
    <s v="1"/>
    <m/>
    <m/>
    <m/>
    <s v="PS5 - TZA - PS5 - Tanzania"/>
    <s v="PS5-71-21 - Diesel Transfer Pump A/B"/>
    <m/>
    <s v="PS5-71-21"/>
    <x v="0"/>
    <x v="0"/>
    <s v="Electrical Instrument"/>
    <s v="E"/>
    <x v="0"/>
    <s v="PS5 - Milestone B"/>
    <s v="TM-00067"/>
    <m/>
    <m/>
  </r>
  <r>
    <s v="T-00069-12948"/>
    <s v="PS5-60-BI-0001A-CC02"/>
    <m/>
    <m/>
    <m/>
    <m/>
    <x v="21"/>
    <s v="PCOM - Precommissioning"/>
    <s v="I"/>
    <x v="0"/>
    <x v="1"/>
    <s v="Cable FROM PS5-60-IE-0001A TO PS5-60-BI-0001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12949"/>
    <s v="PS5-60-BI-0001B-CC02"/>
    <m/>
    <m/>
    <m/>
    <m/>
    <x v="21"/>
    <s v="PCOM - Precommissioning"/>
    <s v="I"/>
    <x v="0"/>
    <x v="1"/>
    <s v="Cable FROM PS5-60-IE-0001B TO PS5-60-BI-0001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12950"/>
    <s v="PS5-60-BI-0001C-CC02"/>
    <m/>
    <m/>
    <m/>
    <m/>
    <x v="21"/>
    <s v="PCOM - Precommissioning"/>
    <s v="I"/>
    <x v="0"/>
    <x v="1"/>
    <s v="Cable FROM PS5-60-IE-0001C TO PS5-60-BI-0001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12951"/>
    <s v="PS5-60-BI-0001D-CC02"/>
    <m/>
    <m/>
    <m/>
    <m/>
    <x v="21"/>
    <s v="PCOM - Precommissioning"/>
    <s v="I"/>
    <x v="0"/>
    <x v="1"/>
    <s v="Cable FROM PS5-60-IE-0001D TO PS5-60-BI-0001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12955"/>
    <s v="PS5-60-BI-0003-CC03"/>
    <m/>
    <m/>
    <m/>
    <m/>
    <x v="21"/>
    <s v="PCOM - Precommissioning"/>
    <s v="I"/>
    <x v="0"/>
    <x v="1"/>
    <s v="Cable FROM PS5-60-IE-0004 TO PS5-60-BI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12956"/>
    <s v="PS5-60-IE-0002A-CC01"/>
    <m/>
    <m/>
    <m/>
    <m/>
    <x v="21"/>
    <s v="PCOM - Precommissioning"/>
    <s v="I"/>
    <x v="0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12957"/>
    <s v="PS5-60-IE-0002A-CC02"/>
    <m/>
    <m/>
    <m/>
    <m/>
    <x v="21"/>
    <s v="PCOM - Precommissioning"/>
    <s v="I"/>
    <x v="0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12958"/>
    <s v="PS5-60-IE-0002A-CC03"/>
    <m/>
    <m/>
    <m/>
    <m/>
    <x v="21"/>
    <s v="PCOM - Precommissioning"/>
    <s v="I"/>
    <x v="0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12959"/>
    <s v="PS5-60-IE-0002B-CC01"/>
    <m/>
    <m/>
    <m/>
    <m/>
    <x v="21"/>
    <s v="PCOM - Precommissioning"/>
    <s v="I"/>
    <x v="0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12960"/>
    <s v="PS5-60-IE-0002B-CC02"/>
    <m/>
    <m/>
    <m/>
    <m/>
    <x v="21"/>
    <s v="PCOM - Precommissioning"/>
    <s v="I"/>
    <x v="0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12961"/>
    <s v="PS5-60-IE-0002B-CC03"/>
    <m/>
    <m/>
    <m/>
    <m/>
    <x v="21"/>
    <s v="PCOM - Precommissioning"/>
    <s v="I"/>
    <x v="0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12962"/>
    <s v="PS5-60-IE-0002C-CC01"/>
    <m/>
    <m/>
    <m/>
    <m/>
    <x v="21"/>
    <s v="PCOM - Precommissioning"/>
    <s v="I"/>
    <x v="0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12963"/>
    <s v="PS5-60-IE-0002C-CC02"/>
    <m/>
    <m/>
    <m/>
    <m/>
    <x v="21"/>
    <s v="PCOM - Precommissioning"/>
    <s v="I"/>
    <x v="0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12964"/>
    <s v="PS5-60-IE-0002C-CC03"/>
    <m/>
    <m/>
    <m/>
    <m/>
    <x v="21"/>
    <s v="PCOM - Precommissioning"/>
    <s v="I"/>
    <x v="0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12965"/>
    <s v="PS5-60-IE-0002D-CC01"/>
    <m/>
    <m/>
    <m/>
    <m/>
    <x v="21"/>
    <s v="PCOM - Precommissioning"/>
    <s v="I"/>
    <x v="0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12966"/>
    <s v="PS5-60-IE-0002D-CC02"/>
    <m/>
    <m/>
    <m/>
    <m/>
    <x v="21"/>
    <s v="PCOM - Precommissioning"/>
    <s v="I"/>
    <x v="0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12967"/>
    <s v="PS5-60-IE-0002D-CC03"/>
    <m/>
    <m/>
    <m/>
    <m/>
    <x v="21"/>
    <s v="PCOM - Precommissioning"/>
    <s v="I"/>
    <x v="0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12977"/>
    <s v="PS5-60-IH-0001A-CC01"/>
    <m/>
    <m/>
    <m/>
    <m/>
    <x v="21"/>
    <s v="PCOM - Precommissioning"/>
    <s v="I"/>
    <x v="0"/>
    <x v="1"/>
    <s v="Cable FROM PS5-60-IE-0003A TO PS5-60-IH-0001A"/>
    <s v="EACOP"/>
    <s v="CPP AGI"/>
    <m/>
    <m/>
    <s v="4"/>
    <m/>
    <s v="4"/>
    <m/>
    <s v="PS5 - TZA - PS5 - Tanzania"/>
    <s v="PS5-60-03 - Power Gen Package A Generator Auxiliary MCCs &amp; DBs"/>
    <m/>
    <s v="PS5-60-03"/>
    <x v="0"/>
    <x v="0"/>
    <s v="Multi/Single-Core Instrument Control Cable"/>
    <s v="I"/>
    <x v="0"/>
    <s v="PS5 - Milestone B"/>
    <s v="TM-00069"/>
    <m/>
    <m/>
  </r>
  <r>
    <s v="T-00069-12978"/>
    <s v="PS5-60-IH-0001A-CC02"/>
    <m/>
    <m/>
    <m/>
    <m/>
    <x v="21"/>
    <s v="PCOM - Precommissioning"/>
    <s v="I"/>
    <x v="0"/>
    <x v="1"/>
    <s v="Cable FROM PS5-60-IE-0003A TO PS5-60-IH-0001A"/>
    <s v="EACOP"/>
    <s v="CPP AGI"/>
    <m/>
    <m/>
    <s v="4"/>
    <m/>
    <s v="4"/>
    <m/>
    <s v="PS5 - TZA - PS5 - Tanzania"/>
    <s v="PS5-60-03 - Power Gen Package A Generator Auxiliary MCCs &amp; DBs"/>
    <m/>
    <s v="PS5-60-03"/>
    <x v="0"/>
    <x v="0"/>
    <s v="Multi/Single-Core Instrument Control Cable"/>
    <s v="I"/>
    <x v="0"/>
    <s v="PS5 - Milestone B"/>
    <s v="TM-00069"/>
    <m/>
    <m/>
  </r>
  <r>
    <s v="T-00069-12979"/>
    <s v="PS5-60-IH-0001B-CC01"/>
    <m/>
    <m/>
    <m/>
    <m/>
    <x v="21"/>
    <s v="PCOM - Precommissioning"/>
    <s v="I"/>
    <x v="0"/>
    <x v="1"/>
    <s v="Cable FROM PS5-60-IE-0003B TO PS5-60-IH-0001B"/>
    <s v="EACOP"/>
    <s v="CPP AGI"/>
    <m/>
    <m/>
    <s v="4"/>
    <m/>
    <s v="4"/>
    <m/>
    <s v="PS5 - TZA - PS5 - Tanzania"/>
    <s v="PS5-60-06 - Power Gen Package B Generator Auxiliary MCCs &amp; DBs"/>
    <m/>
    <s v="PS5-60-06"/>
    <x v="0"/>
    <x v="0"/>
    <s v="Multi/Single-Core Instrument Control Cable"/>
    <s v="I"/>
    <x v="0"/>
    <s v="PS5 - Milestone B"/>
    <s v="TM-00069"/>
    <m/>
    <m/>
  </r>
  <r>
    <s v="T-00069-12980"/>
    <s v="PS5-60-IH-0001B-CC02"/>
    <m/>
    <m/>
    <m/>
    <m/>
    <x v="21"/>
    <s v="PCOM - Precommissioning"/>
    <s v="I"/>
    <x v="0"/>
    <x v="1"/>
    <s v="Cable FROM PS5-60-IE-0003B TO PS5-60-IH-0001B"/>
    <s v="EACOP"/>
    <s v="CPP AGI"/>
    <m/>
    <m/>
    <s v="4"/>
    <m/>
    <s v="4"/>
    <m/>
    <s v="PS5 - TZA - PS5 - Tanzania"/>
    <s v="PS5-60-06 - Power Gen Package B Generator Auxiliary MCCs &amp; DBs"/>
    <m/>
    <s v="PS5-60-06"/>
    <x v="0"/>
    <x v="0"/>
    <s v="Multi/Single-Core Instrument Control Cable"/>
    <s v="I"/>
    <x v="0"/>
    <s v="PS5 - Milestone B"/>
    <s v="TM-00069"/>
    <m/>
    <m/>
  </r>
  <r>
    <s v="T-00069-12981"/>
    <s v="PS5-60-IH-0001C-CC01"/>
    <m/>
    <m/>
    <m/>
    <m/>
    <x v="21"/>
    <s v="PCOM - Precommissioning"/>
    <s v="I"/>
    <x v="0"/>
    <x v="1"/>
    <s v="Cable FROM PS5-60-IE-0003C TO PS5-60-IH-0001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Multi/Single-Core Instrument Control Cable"/>
    <s v="I"/>
    <x v="0"/>
    <s v="PS5 - Milestone D"/>
    <s v="TM-00069"/>
    <m/>
    <m/>
  </r>
  <r>
    <s v="T-00069-12982"/>
    <s v="PS5-60-IH-0001C-CC02"/>
    <m/>
    <m/>
    <m/>
    <m/>
    <x v="21"/>
    <s v="PCOM - Precommissioning"/>
    <s v="I"/>
    <x v="0"/>
    <x v="1"/>
    <s v="Cable FROM PS5-60-IE-0003C TO PS5-60-IH-0001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Multi/Single-Core Instrument Control Cable"/>
    <s v="I"/>
    <x v="0"/>
    <s v="PS5 - Milestone D"/>
    <s v="TM-00069"/>
    <m/>
    <m/>
  </r>
  <r>
    <s v="T-00069-12983"/>
    <s v="PS5-60-IH-0001D-CC01"/>
    <m/>
    <m/>
    <m/>
    <m/>
    <x v="21"/>
    <s v="PCOM - Precommissioning"/>
    <s v="I"/>
    <x v="0"/>
    <x v="1"/>
    <s v="Cable FROM PS5-60-IE-0003D TO PS5-60-IH-0001D"/>
    <s v="EACOP"/>
    <s v="CPP AGI"/>
    <m/>
    <m/>
    <s v="4"/>
    <m/>
    <s v="4"/>
    <m/>
    <s v="PS5 - TZA - PS5 - Tanzania"/>
    <s v="PS5-60-12 - Power Gen Package D Generator Auxiliary MCCs &amp; DBs"/>
    <m/>
    <s v="PS5-60-12"/>
    <x v="1"/>
    <x v="0"/>
    <s v="Multi/Single-Core Instrument Control Cable"/>
    <s v="I"/>
    <x v="0"/>
    <s v="PS5 - Milestone D"/>
    <s v="TM-00069"/>
    <m/>
    <m/>
  </r>
  <r>
    <s v="T-00069-12984"/>
    <s v="PS5-60-IH-0001D-CC02"/>
    <m/>
    <m/>
    <m/>
    <m/>
    <x v="21"/>
    <s v="PCOM - Precommissioning"/>
    <s v="I"/>
    <x v="0"/>
    <x v="1"/>
    <s v="Cable FROM PS5-60-IE-0003D TO PS5-60-IH-0001D"/>
    <s v="EACOP"/>
    <s v="CPP AGI"/>
    <m/>
    <m/>
    <s v="4"/>
    <m/>
    <s v="4"/>
    <m/>
    <s v="PS5 - TZA - PS5 - Tanzania"/>
    <s v="PS5-60-12 - Power Gen Package D Generator Auxiliary MCCs &amp; DBs"/>
    <m/>
    <s v="PS5-60-12"/>
    <x v="1"/>
    <x v="0"/>
    <s v="Multi/Single-Core Instrument Control Cable"/>
    <s v="I"/>
    <x v="0"/>
    <s v="PS5 - Milestone D"/>
    <s v="TM-00069"/>
    <m/>
    <m/>
  </r>
  <r>
    <s v="T-00069-12991"/>
    <s v="PS5-60-IH-0002-CC01"/>
    <m/>
    <m/>
    <m/>
    <m/>
    <x v="21"/>
    <s v="PCOM - Precommissioning"/>
    <s v="I"/>
    <x v="0"/>
    <x v="1"/>
    <s v="Cable FROM PS5-60-IE-0004 TO PS5-60-IH-0002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12992"/>
    <s v="PS5-60-IH-0002-CC02"/>
    <m/>
    <m/>
    <m/>
    <m/>
    <x v="21"/>
    <s v="PCOM - Precommissioning"/>
    <s v="I"/>
    <x v="0"/>
    <x v="1"/>
    <s v="Cable FROM PS5-60-IE-0004 TO PS5-60-IH-0002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12993"/>
    <s v="PS5-60-LA-0003-CC02"/>
    <m/>
    <m/>
    <m/>
    <m/>
    <x v="21"/>
    <s v="PCOM - Precommissioning"/>
    <s v="I"/>
    <x v="0"/>
    <x v="1"/>
    <s v="Cable FROM PS5-60-IE-0004 TO PS5-60-LA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12994"/>
    <s v="PS5-60-LA-0003-CC03"/>
    <m/>
    <m/>
    <m/>
    <m/>
    <x v="21"/>
    <s v="PCOM - Precommissioning"/>
    <s v="I"/>
    <x v="0"/>
    <x v="1"/>
    <s v="Cable FROM PS5-60-IE-0004 TO PS5-60-LA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12995"/>
    <s v="PS5-60-PIT-8113A-CC01"/>
    <m/>
    <m/>
    <m/>
    <m/>
    <x v="21"/>
    <s v="PCOM - Precommissioning"/>
    <s v="I"/>
    <x v="0"/>
    <x v="1"/>
    <s v="Cable FROM PS5-60-IE-0001A TO PS5-60-BE-0027A"/>
    <s v="EACOP"/>
    <s v="CPP AGI"/>
    <m/>
    <m/>
    <s v="4"/>
    <m/>
    <s v="4"/>
    <m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069"/>
    <m/>
    <m/>
  </r>
  <r>
    <s v="T-00069-12996"/>
    <s v="PS5-60-PIT-8113B-CC01"/>
    <m/>
    <m/>
    <m/>
    <m/>
    <x v="21"/>
    <s v="PCOM - Precommissioning"/>
    <s v="I"/>
    <x v="0"/>
    <x v="1"/>
    <s v="Cable FROM PS5-60-IE-0001B TO PS5-60-BE-0027B"/>
    <s v="EACOP"/>
    <s v="CPP AGI"/>
    <m/>
    <m/>
    <s v="4"/>
    <m/>
    <s v="4"/>
    <m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069"/>
    <m/>
    <m/>
  </r>
  <r>
    <s v="T-00069-12997"/>
    <s v="PS5-60-PIT-8113C-CC01"/>
    <m/>
    <m/>
    <m/>
    <m/>
    <x v="21"/>
    <s v="PCOM - Precommissioning"/>
    <s v="I"/>
    <x v="0"/>
    <x v="1"/>
    <s v="Cable FROM PS5-60-IE-0001C TO PS5-60-BE-0027C"/>
    <s v="EACOP"/>
    <s v="CPP AGI"/>
    <m/>
    <m/>
    <s v="4"/>
    <m/>
    <s v="4"/>
    <m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069"/>
    <m/>
    <m/>
  </r>
  <r>
    <s v="T-00069-12998"/>
    <s v="PS5-60-PIT-8113D-CC01"/>
    <m/>
    <m/>
    <m/>
    <m/>
    <x v="21"/>
    <s v="PCOM - Precommissioning"/>
    <s v="I"/>
    <x v="0"/>
    <x v="1"/>
    <s v="Cable FROM PS5-60-IE-0001D TO PS5-60-BE-0027D"/>
    <s v="EACOP"/>
    <s v="CPP AGI"/>
    <m/>
    <m/>
    <s v="4"/>
    <m/>
    <s v="4"/>
    <m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069"/>
    <m/>
    <m/>
  </r>
  <r>
    <s v="T-00069-13002"/>
    <s v="PS5-60-PIT-8114A-CC01"/>
    <m/>
    <m/>
    <m/>
    <m/>
    <x v="21"/>
    <s v="PCOM - Precommissioning"/>
    <s v="I"/>
    <x v="0"/>
    <x v="1"/>
    <s v="Cable FROM PS5-60-IE-0001A TO PS5-60-BE-0027A"/>
    <s v="EACOP"/>
    <s v="CPP AGI"/>
    <m/>
    <m/>
    <s v="4"/>
    <m/>
    <s v="4"/>
    <m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069"/>
    <m/>
    <m/>
  </r>
  <r>
    <s v="T-00069-13003"/>
    <s v="PS5-60-PIT-8114B-CC01"/>
    <m/>
    <m/>
    <m/>
    <m/>
    <x v="21"/>
    <s v="PCOM - Precommissioning"/>
    <s v="I"/>
    <x v="0"/>
    <x v="1"/>
    <s v="Cable FROM PS5-60-IE-0001B TO PS5-60-BE-0027B"/>
    <s v="EACOP"/>
    <s v="CPP AGI"/>
    <m/>
    <m/>
    <s v="4"/>
    <m/>
    <s v="4"/>
    <m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069"/>
    <m/>
    <m/>
  </r>
  <r>
    <s v="T-00069-13004"/>
    <s v="PS5-60-PIT-8114C-CC01"/>
    <m/>
    <m/>
    <m/>
    <m/>
    <x v="21"/>
    <s v="PCOM - Precommissioning"/>
    <s v="I"/>
    <x v="0"/>
    <x v="1"/>
    <s v="Cable FROM PS5-60-IE-0001C TO PS5-60-BE-0027C"/>
    <s v="EACOP"/>
    <s v="CPP AGI"/>
    <m/>
    <m/>
    <s v="4"/>
    <m/>
    <s v="4"/>
    <m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069"/>
    <m/>
    <m/>
  </r>
  <r>
    <s v="T-00069-13005"/>
    <s v="PS5-60-PIT-8114D-CC01"/>
    <m/>
    <m/>
    <m/>
    <m/>
    <x v="21"/>
    <s v="PCOM - Precommissioning"/>
    <s v="I"/>
    <x v="0"/>
    <x v="1"/>
    <s v="Cable FROM PS5-60-IE-0001D TO PS5-60-BE-0027D"/>
    <s v="EACOP"/>
    <s v="CPP AGI"/>
    <m/>
    <m/>
    <s v="4"/>
    <m/>
    <s v="4"/>
    <m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069"/>
    <m/>
    <m/>
  </r>
  <r>
    <s v="T-00069-13009"/>
    <s v="PS5-71-IN-0004A-CC10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4487"/>
    <s v="PS5-03-RDOS-1401-CJ01"/>
    <m/>
    <m/>
    <m/>
    <m/>
    <x v="21"/>
    <s v="PCOM - Precommissioning"/>
    <s v="I"/>
    <x v="0"/>
    <x v="1"/>
    <s v="Cable FROM PS5-03-RMAC-1411 TO PS5-03-RDOS-14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88"/>
    <s v="PS5-03-RDOS-1402-CJ01"/>
    <m/>
    <m/>
    <m/>
    <m/>
    <x v="21"/>
    <s v="PCOM - Precommissioning"/>
    <s v="I"/>
    <x v="0"/>
    <x v="1"/>
    <s v="Cable FROM PS5-03-RDOS-1401 TO PS5-03-RDOS-1402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89"/>
    <s v="PS5-03-RDOS-1403-CJ01"/>
    <m/>
    <m/>
    <m/>
    <m/>
    <x v="21"/>
    <s v="PCOM - Precommissioning"/>
    <s v="I"/>
    <x v="0"/>
    <x v="1"/>
    <s v="Cable FROM PS5-03-RDOS-1402 TO PS5-03-RDOS-1403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90"/>
    <s v="PS5-03-RDOS-1404-CJ01"/>
    <m/>
    <m/>
    <m/>
    <m/>
    <x v="21"/>
    <s v="PCOM - Precommissioning"/>
    <s v="I"/>
    <x v="0"/>
    <x v="1"/>
    <s v="Cable FROM PS5-03-RDOS-1403 TO PS5-03-RDOS-1404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91"/>
    <s v="PS5-03-RDOS-1405-CJ01"/>
    <m/>
    <m/>
    <m/>
    <m/>
    <x v="21"/>
    <s v="PCOM - Precommissioning"/>
    <s v="I"/>
    <x v="0"/>
    <x v="1"/>
    <s v="Cable FROM PS5-03-RDOS-1404 TO PS5-03-RDOS-1405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92"/>
    <s v="PS5-03-RDOS-1406-CJ01"/>
    <m/>
    <m/>
    <m/>
    <m/>
    <x v="21"/>
    <s v="PCOM - Precommissioning"/>
    <s v="I"/>
    <x v="0"/>
    <x v="1"/>
    <s v="Cable FROM PS5-03-RDOS-1503 TO PS5-03-RDOS-1406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93"/>
    <s v="PS5-03-RDOS-1407-CJ01"/>
    <m/>
    <m/>
    <m/>
    <m/>
    <x v="21"/>
    <s v="PCOM - Precommissioning"/>
    <s v="I"/>
    <x v="0"/>
    <x v="1"/>
    <s v="Cable FROM PS5-03-RDOS-1405 TO PS5-03-RDOS-1407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494"/>
    <s v="PS5-03-RDOS-1408-CJ01"/>
    <m/>
    <m/>
    <m/>
    <m/>
    <x v="21"/>
    <s v="PCOM - Precommissioning"/>
    <s v="I"/>
    <x v="0"/>
    <x v="1"/>
    <s v="Cable FROM PS5-03-RDOS-1407 TO PS5-03-RDOS-1408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540"/>
    <s v="PS5-03-RMAC-1410-CJ01"/>
    <m/>
    <m/>
    <m/>
    <m/>
    <x v="21"/>
    <s v="PCOM - Precommissioning"/>
    <s v="I"/>
    <x v="0"/>
    <x v="1"/>
    <s v="Cable FROM PS5-03-RDOS-2103 TO PS5-03-RMAC-1410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541"/>
    <s v="PS5-03-RMAC-1411-CJ01"/>
    <m/>
    <m/>
    <m/>
    <m/>
    <x v="21"/>
    <s v="PCOM - Precommissioning"/>
    <s v="I"/>
    <x v="0"/>
    <x v="1"/>
    <s v="Cable FROM PS5-03-RDOS-1406 TO PS5-03-RMAC-141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4888"/>
    <s v="PS5-60-BE-0001-CC01"/>
    <m/>
    <m/>
    <m/>
    <m/>
    <x v="21"/>
    <s v="PCOM - Precommissioning"/>
    <s v="I"/>
    <x v="0"/>
    <x v="1"/>
    <s v="Cable FROM PS5-60-IE-0004 TO PS5-60-BE-0001"/>
    <s v="EACOP"/>
    <s v="CPP AGI"/>
    <m/>
    <m/>
    <s v="4"/>
    <m/>
    <m/>
    <s v="0"/>
    <s v="PS5 - TZA - PS5 - Tanzania"/>
    <s v="PS5-60-27 - Compressed Air Starting Skid"/>
    <m/>
    <s v="PS5-60-27"/>
    <x v="0"/>
    <x v="0"/>
    <s v="Multi/Single-Core Instrument Control Cable"/>
    <s v="I"/>
    <x v="0"/>
    <s v="PS5 - Milestone B"/>
    <s v="TM-00069"/>
    <m/>
    <m/>
  </r>
  <r>
    <s v="T-00069-4889"/>
    <s v="PS5-60-BE-0002-CC01"/>
    <m/>
    <m/>
    <m/>
    <m/>
    <x v="21"/>
    <s v="PCOM - Precommissioning"/>
    <s v="I"/>
    <x v="0"/>
    <x v="1"/>
    <s v="Cable FROM PS5-60-IE-0004 TO PS5-60-BE-0002"/>
    <s v="EACOP"/>
    <s v="CPP AGI"/>
    <m/>
    <m/>
    <s v="4"/>
    <m/>
    <m/>
    <s v="0"/>
    <s v="PS5 - TZA - PS5 - Tanzania"/>
    <s v="PS5-60-26 - Instrument Air Compressor Skid"/>
    <m/>
    <s v="PS5-60-26"/>
    <x v="0"/>
    <x v="0"/>
    <s v="Multi/Single-Core Instrument Control Cable"/>
    <s v="I"/>
    <x v="0"/>
    <s v="PS5 - Milestone B"/>
    <s v="TM-00069"/>
    <m/>
    <m/>
  </r>
  <r>
    <s v="T-00069-4890"/>
    <s v="PS5-60-BE-0004A-CC01"/>
    <m/>
    <m/>
    <m/>
    <m/>
    <x v="21"/>
    <s v="PCOM - Precommissioning"/>
    <s v="I"/>
    <x v="0"/>
    <x v="1"/>
    <s v="Cable FROM PS5-60-IN-0001A TO PS5-60-BE-0004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069"/>
    <m/>
    <m/>
  </r>
  <r>
    <s v="T-00069-4891"/>
    <s v="PS5-60-BE-0004B-CC01"/>
    <m/>
    <m/>
    <m/>
    <m/>
    <x v="21"/>
    <s v="PCOM - Precommissioning"/>
    <s v="I"/>
    <x v="0"/>
    <x v="1"/>
    <s v="Cable FROM PS5-60-IN-0001B TO PS5-60-BE-0004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069"/>
    <m/>
    <m/>
  </r>
  <r>
    <s v="T-00069-4892"/>
    <s v="PS5-60-BE-0004C-CC01"/>
    <m/>
    <m/>
    <m/>
    <m/>
    <x v="21"/>
    <s v="PCOM - Precommissioning"/>
    <s v="I"/>
    <x v="0"/>
    <x v="1"/>
    <s v="Cable FROM PS5-60-IN-0001C TO PS5-60-BE-0004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069"/>
    <m/>
    <m/>
  </r>
  <r>
    <s v="T-00069-4893"/>
    <s v="PS5-60-BE-0004D-CC01"/>
    <m/>
    <m/>
    <m/>
    <m/>
    <x v="21"/>
    <s v="PCOM - Precommissioning"/>
    <s v="I"/>
    <x v="0"/>
    <x v="1"/>
    <s v="Cable FROM PS5-60-IN-0001D TO PS5-60-BE-0004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069"/>
    <m/>
    <m/>
  </r>
  <r>
    <s v="T-00069-4897"/>
    <s v="PS5-60-BI-0001A-CC01"/>
    <m/>
    <m/>
    <m/>
    <m/>
    <x v="21"/>
    <s v="PCOM - Precommissioning"/>
    <s v="I"/>
    <x v="0"/>
    <x v="1"/>
    <s v="Cable FROM PS5-60-IE-0003A TO PS5-60-BI-0001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898"/>
    <s v="PS5-60-BI-0001A-CC03"/>
    <m/>
    <m/>
    <m/>
    <m/>
    <x v="21"/>
    <s v="PCOM - Precommissioning"/>
    <s v="I"/>
    <x v="0"/>
    <x v="1"/>
    <s v="Cable FROM PS5-60-IE-0003A TO PS5-60-BI-0001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899"/>
    <s v="PS5-60-BI-0001B-CC01"/>
    <m/>
    <m/>
    <m/>
    <m/>
    <x v="21"/>
    <s v="PCOM - Precommissioning"/>
    <s v="I"/>
    <x v="0"/>
    <x v="1"/>
    <s v="Cable FROM PS5-60-IE-0003B TO PS5-60-BI-0001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00"/>
    <s v="PS5-60-BI-0001B-CC03"/>
    <m/>
    <m/>
    <m/>
    <m/>
    <x v="21"/>
    <s v="PCOM - Precommissioning"/>
    <s v="I"/>
    <x v="0"/>
    <x v="1"/>
    <s v="Cable FROM PS5-60-IE-0003B TO PS5-60-BI-0001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01"/>
    <s v="PS5-60-BI-0001C-CC01"/>
    <m/>
    <m/>
    <m/>
    <m/>
    <x v="21"/>
    <s v="PCOM - Precommissioning"/>
    <s v="I"/>
    <x v="0"/>
    <x v="1"/>
    <s v="Cable FROM PS5-60-IE-0003C TO PS5-60-BI-0001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02"/>
    <s v="PS5-60-BI-0001C-CC03"/>
    <m/>
    <m/>
    <m/>
    <m/>
    <x v="21"/>
    <s v="PCOM - Precommissioning"/>
    <s v="I"/>
    <x v="0"/>
    <x v="1"/>
    <s v="Cable FROM PS5-60-IE-0003C TO PS5-60-BI-0001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03"/>
    <s v="PS5-60-BI-0001D-CC01"/>
    <m/>
    <m/>
    <m/>
    <m/>
    <x v="21"/>
    <s v="PCOM - Precommissioning"/>
    <s v="I"/>
    <x v="0"/>
    <x v="1"/>
    <s v="Cable FROM PS5-60-IE-0003D TO PS5-60-BI-0001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04"/>
    <s v="PS5-60-BI-0001D-CC03"/>
    <m/>
    <m/>
    <m/>
    <m/>
    <x v="21"/>
    <s v="PCOM - Precommissioning"/>
    <s v="I"/>
    <x v="0"/>
    <x v="1"/>
    <s v="Cable FROM PS5-60-IE-0003D TO PS5-60-BI-0001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11"/>
    <s v="PS5-60-BI-0002-CC01"/>
    <m/>
    <m/>
    <m/>
    <m/>
    <x v="21"/>
    <s v="PCOM - Precommissioning"/>
    <s v="I"/>
    <x v="0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2"/>
    <s v="PS5-60-BI-0002-CC02"/>
    <m/>
    <m/>
    <m/>
    <m/>
    <x v="21"/>
    <s v="PCOM - Precommissioning"/>
    <s v="I"/>
    <x v="0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3"/>
    <s v="PS5-60-BI-0002-CC03"/>
    <m/>
    <m/>
    <m/>
    <m/>
    <x v="21"/>
    <s v="PCOM - Precommissioning"/>
    <s v="I"/>
    <x v="0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4"/>
    <s v="PS5-60-BI-0002-CC04"/>
    <m/>
    <m/>
    <m/>
    <m/>
    <x v="21"/>
    <s v="PCOM - Precommissioning"/>
    <s v="I"/>
    <x v="0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5"/>
    <s v="PS5-60-BI-0003-CC01"/>
    <m/>
    <m/>
    <m/>
    <m/>
    <x v="21"/>
    <s v="PCOM - Precommissioning"/>
    <s v="I"/>
    <x v="0"/>
    <x v="1"/>
    <s v="Cable FROM PS5-60-IE-0004 TO PS5-60-BI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6"/>
    <s v="PS5-60-BI-0003-CC02"/>
    <m/>
    <m/>
    <m/>
    <m/>
    <x v="21"/>
    <s v="PCOM - Precommissioning"/>
    <s v="I"/>
    <x v="0"/>
    <x v="1"/>
    <s v="Cable FROM PS5-60-IE-0004 TO PS5-60-BI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4917"/>
    <s v="PS5-60-BI-0004A-CCO1"/>
    <m/>
    <m/>
    <m/>
    <m/>
    <x v="21"/>
    <s v="PCOM - Precommissioning"/>
    <s v="I"/>
    <x v="0"/>
    <x v="1"/>
    <s v="Cable FROM PS5-60-IE-0001A TO PS5-60-BI-0004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18"/>
    <s v="PS5-60-BI-0004B-CCO1"/>
    <m/>
    <m/>
    <m/>
    <m/>
    <x v="21"/>
    <s v="PCOM - Precommissioning"/>
    <s v="I"/>
    <x v="0"/>
    <x v="1"/>
    <s v="Cable FROM PS5-60-IE-0001B TO PS5-60-BI-0004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19"/>
    <s v="PS5-60-BI-0004C-CCO1"/>
    <m/>
    <m/>
    <m/>
    <m/>
    <x v="21"/>
    <s v="PCOM - Precommissioning"/>
    <s v="I"/>
    <x v="0"/>
    <x v="1"/>
    <s v="Cable FROM PS5-60-IE-0001C TO PS5-60-BI-0004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20"/>
    <s v="PS5-60-BI-0004D-CCO1"/>
    <m/>
    <m/>
    <m/>
    <m/>
    <x v="21"/>
    <s v="PCOM - Precommissioning"/>
    <s v="I"/>
    <x v="0"/>
    <x v="1"/>
    <s v="Cable FROM PS5-60-IE-0001D TO PS5-60-BI-0004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24"/>
    <s v="PS5-60-BI-0005A-CC01"/>
    <m/>
    <m/>
    <m/>
    <m/>
    <x v="21"/>
    <s v="PCOM - Precommissioning"/>
    <s v="I"/>
    <x v="0"/>
    <x v="1"/>
    <s v="Cable FROM PS5-60-IE-0003A TO PS5-60-BI-0005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25"/>
    <s v="PS5-60-BI-0005A-CC02"/>
    <m/>
    <m/>
    <m/>
    <m/>
    <x v="21"/>
    <s v="PCOM - Precommissioning"/>
    <s v="I"/>
    <x v="0"/>
    <x v="1"/>
    <s v="Cable FROM PS5-60-IE-0003A TO PS5-60-BI-0005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26"/>
    <s v="PS5-60-BI-0005B-CC01"/>
    <m/>
    <m/>
    <m/>
    <m/>
    <x v="21"/>
    <s v="PCOM - Precommissioning"/>
    <s v="I"/>
    <x v="0"/>
    <x v="1"/>
    <s v="Cable FROM PS5-60-IE-0003B TO PS5-60-BI-0005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27"/>
    <s v="PS5-60-BI-0005B-CC02"/>
    <m/>
    <m/>
    <m/>
    <m/>
    <x v="21"/>
    <s v="PCOM - Precommissioning"/>
    <s v="I"/>
    <x v="0"/>
    <x v="1"/>
    <s v="Cable FROM PS5-60-IE-0003B TO PS5-60-BI-0005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28"/>
    <s v="PS5-60-BI-0005C-CC01"/>
    <m/>
    <m/>
    <m/>
    <m/>
    <x v="21"/>
    <s v="PCOM - Precommissioning"/>
    <s v="I"/>
    <x v="0"/>
    <x v="1"/>
    <s v="Cable FROM PS5-60-IE-0003C TO PS5-60-BI-0005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29"/>
    <s v="PS5-60-BI-0005C-CC02"/>
    <m/>
    <m/>
    <m/>
    <m/>
    <x v="21"/>
    <s v="PCOM - Precommissioning"/>
    <s v="I"/>
    <x v="0"/>
    <x v="1"/>
    <s v="Cable FROM PS5-60-IE-0003C TO PS5-60-BI-0005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30"/>
    <s v="PS5-60-BI-0005D-CC01"/>
    <m/>
    <m/>
    <m/>
    <m/>
    <x v="21"/>
    <s v="PCOM - Precommissioning"/>
    <s v="I"/>
    <x v="0"/>
    <x v="1"/>
    <s v="Cable FROM PS5-60-IE-0003D TO PS5-60-BI-0005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31"/>
    <s v="PS5-60-BI-0005D-CC02"/>
    <m/>
    <m/>
    <m/>
    <m/>
    <x v="21"/>
    <s v="PCOM - Precommissioning"/>
    <s v="I"/>
    <x v="0"/>
    <x v="1"/>
    <s v="Cable FROM PS5-60-IE-0003D TO PS5-60-BI-0005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38"/>
    <s v="PS5-60-BI-0006A-CC01"/>
    <m/>
    <m/>
    <m/>
    <m/>
    <x v="21"/>
    <s v="PCOM - Precommissioning"/>
    <s v="I"/>
    <x v="0"/>
    <x v="1"/>
    <s v="Cable FROM PS5-60-IE-0003A TO PS5-60-BI-0006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4939"/>
    <s v="PS5-60-BI-0006A-CC02"/>
    <m/>
    <m/>
    <m/>
    <m/>
    <x v="21"/>
    <s v="PCOM - Precommissioning"/>
    <s v="I"/>
    <x v="0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4940"/>
    <s v="PS5-60-BI-0006A-CC03"/>
    <m/>
    <m/>
    <m/>
    <m/>
    <x v="21"/>
    <s v="PCOM - Precommissioning"/>
    <s v="I"/>
    <x v="0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4941"/>
    <s v="PS5-60-BI-0006A-CC04"/>
    <m/>
    <m/>
    <m/>
    <m/>
    <x v="21"/>
    <s v="PCOM - Precommissioning"/>
    <s v="I"/>
    <x v="0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4942"/>
    <s v="PS5-60-BI-0006A-CC05"/>
    <m/>
    <m/>
    <m/>
    <m/>
    <x v="21"/>
    <s v="PCOM - Precommissioning"/>
    <s v="I"/>
    <x v="0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4943"/>
    <s v="PS5-60-BI-0006A-CC06"/>
    <m/>
    <m/>
    <m/>
    <m/>
    <x v="21"/>
    <s v="PCOM - Precommissioning"/>
    <s v="I"/>
    <x v="0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4944"/>
    <s v="PS5-60-BI-0006B-CC01"/>
    <m/>
    <m/>
    <m/>
    <m/>
    <x v="21"/>
    <s v="PCOM - Precommissioning"/>
    <s v="I"/>
    <x v="0"/>
    <x v="1"/>
    <s v="Cable FROM PS5-60-IE-0003B TO PS5-60-BI-0006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4945"/>
    <s v="PS5-60-BI-0006B-CC02"/>
    <m/>
    <m/>
    <m/>
    <m/>
    <x v="21"/>
    <s v="PCOM - Precommissioning"/>
    <s v="I"/>
    <x v="0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4946"/>
    <s v="PS5-60-BI-0006B-CC03"/>
    <m/>
    <m/>
    <m/>
    <m/>
    <x v="21"/>
    <s v="PCOM - Precommissioning"/>
    <s v="I"/>
    <x v="0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4947"/>
    <s v="PS5-60-BI-0006B-CC04"/>
    <m/>
    <m/>
    <m/>
    <m/>
    <x v="21"/>
    <s v="PCOM - Precommissioning"/>
    <s v="I"/>
    <x v="0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4948"/>
    <s v="PS5-60-BI-0006B-CC05"/>
    <m/>
    <m/>
    <m/>
    <m/>
    <x v="21"/>
    <s v="PCOM - Precommissioning"/>
    <s v="I"/>
    <x v="0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4949"/>
    <s v="PS5-60-BI-0006B-CC06"/>
    <m/>
    <m/>
    <m/>
    <m/>
    <x v="21"/>
    <s v="PCOM - Precommissioning"/>
    <s v="I"/>
    <x v="0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4950"/>
    <s v="PS5-60-BI-0006C-CC01"/>
    <m/>
    <m/>
    <m/>
    <m/>
    <x v="21"/>
    <s v="PCOM - Precommissioning"/>
    <s v="I"/>
    <x v="0"/>
    <x v="1"/>
    <s v="Cable FROM PS5-60-IE-0003C TO PS5-60-BI-0006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4951"/>
    <s v="PS5-60-BI-0006C-CC02"/>
    <m/>
    <m/>
    <m/>
    <m/>
    <x v="21"/>
    <s v="PCOM - Precommissioning"/>
    <s v="I"/>
    <x v="0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4952"/>
    <s v="PS5-60-BI-0006C-CC03"/>
    <m/>
    <m/>
    <m/>
    <m/>
    <x v="21"/>
    <s v="PCOM - Precommissioning"/>
    <s v="I"/>
    <x v="0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4953"/>
    <s v="PS5-60-BI-0006C-CC04"/>
    <m/>
    <m/>
    <m/>
    <m/>
    <x v="21"/>
    <s v="PCOM - Precommissioning"/>
    <s v="I"/>
    <x v="0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4954"/>
    <s v="PS5-60-BI-0006C-CC05"/>
    <m/>
    <m/>
    <m/>
    <m/>
    <x v="21"/>
    <s v="PCOM - Precommissioning"/>
    <s v="I"/>
    <x v="0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4955"/>
    <s v="PS5-60-BI-0006C-CC06"/>
    <m/>
    <m/>
    <m/>
    <m/>
    <x v="21"/>
    <s v="PCOM - Precommissioning"/>
    <s v="I"/>
    <x v="0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4956"/>
    <s v="PS5-60-BI-0006D-CC01"/>
    <m/>
    <m/>
    <m/>
    <m/>
    <x v="21"/>
    <s v="PCOM - Precommissioning"/>
    <s v="I"/>
    <x v="0"/>
    <x v="1"/>
    <s v="Cable FROM PS5-60-IE-0003D TO PS5-60-BI-0006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4957"/>
    <s v="PS5-60-BI-0006D-CC02"/>
    <m/>
    <m/>
    <m/>
    <m/>
    <x v="21"/>
    <s v="PCOM - Precommissioning"/>
    <s v="I"/>
    <x v="0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4958"/>
    <s v="PS5-60-BI-0006D-CC03"/>
    <m/>
    <m/>
    <m/>
    <m/>
    <x v="21"/>
    <s v="PCOM - Precommissioning"/>
    <s v="I"/>
    <x v="0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4959"/>
    <s v="PS5-60-BI-0006D-CC04"/>
    <m/>
    <m/>
    <m/>
    <m/>
    <x v="21"/>
    <s v="PCOM - Precommissioning"/>
    <s v="I"/>
    <x v="0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4960"/>
    <s v="PS5-60-BI-0006D-CC05"/>
    <m/>
    <m/>
    <m/>
    <m/>
    <x v="21"/>
    <s v="PCOM - Precommissioning"/>
    <s v="I"/>
    <x v="0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4961"/>
    <s v="PS5-60-BI-0006D-CC06"/>
    <m/>
    <m/>
    <m/>
    <m/>
    <x v="21"/>
    <s v="PCOM - Precommissioning"/>
    <s v="I"/>
    <x v="0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4980"/>
    <s v="PS5-60-BI-0008A-CC01"/>
    <m/>
    <m/>
    <m/>
    <m/>
    <x v="21"/>
    <s v="PCOM - Precommissioning"/>
    <s v="I"/>
    <x v="0"/>
    <x v="1"/>
    <s v="Cable FROM PS5-60-IE-0003A TO PS5-60-BI-0008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81"/>
    <s v="PS5-60-BI-0008A-CC02"/>
    <m/>
    <m/>
    <m/>
    <m/>
    <x v="21"/>
    <s v="PCOM - Precommissioning"/>
    <s v="I"/>
    <x v="0"/>
    <x v="1"/>
    <s v="Cable FROM PS5-60-IH-0001A TO PS5-60-BI-0008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82"/>
    <s v="PS5-60-BI-0008B-CC01"/>
    <m/>
    <m/>
    <m/>
    <m/>
    <x v="21"/>
    <s v="PCOM - Precommissioning"/>
    <s v="I"/>
    <x v="0"/>
    <x v="1"/>
    <s v="Cable FROM PS5-60-IE-0003A TO PS5-60-BI-0008B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83"/>
    <s v="PS5-60-BI-0008B-CC02"/>
    <m/>
    <m/>
    <m/>
    <m/>
    <x v="21"/>
    <s v="PCOM - Precommissioning"/>
    <s v="I"/>
    <x v="0"/>
    <x v="1"/>
    <s v="Cable FROM PS5-60-IH-0001A TO PS5-60-BI-0008B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4984"/>
    <s v="PS5-60-BI-0009A-CC01"/>
    <m/>
    <m/>
    <m/>
    <m/>
    <x v="21"/>
    <s v="PCOM - Precommissioning"/>
    <s v="I"/>
    <x v="0"/>
    <x v="1"/>
    <s v="Cable FROM PS5-60-IE-0003B TO PS5-60-BI-0009A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85"/>
    <s v="PS5-60-BI-0009A-CC02"/>
    <m/>
    <m/>
    <m/>
    <m/>
    <x v="21"/>
    <s v="PCOM - Precommissioning"/>
    <s v="I"/>
    <x v="0"/>
    <x v="1"/>
    <s v="Cable FROM PS5-60-IH-0001B TO PS5-60-BI-0009A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86"/>
    <s v="PS5-60-BI-0009B-CC01"/>
    <m/>
    <m/>
    <m/>
    <m/>
    <x v="21"/>
    <s v="PCOM - Precommissioning"/>
    <s v="I"/>
    <x v="0"/>
    <x v="1"/>
    <s v="Cable FROM PS5-60-IE-0003B TO PS5-60-BI-000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87"/>
    <s v="PS5-60-BI-0009B-CC02"/>
    <m/>
    <m/>
    <m/>
    <m/>
    <x v="21"/>
    <s v="PCOM - Precommissioning"/>
    <s v="I"/>
    <x v="0"/>
    <x v="1"/>
    <s v="Cable FROM PS5-60-IH-0001B TO PS5-60-BI-000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4988"/>
    <s v="PS5-60-BI-0010A-CC01"/>
    <m/>
    <m/>
    <m/>
    <m/>
    <x v="21"/>
    <s v="PCOM - Precommissioning"/>
    <s v="I"/>
    <x v="0"/>
    <x v="1"/>
    <s v="Cable FROM PS5-60-IE-0003C TO PS5-60-BI-0010A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89"/>
    <s v="PS5-60-BI-0010A-CC02"/>
    <m/>
    <m/>
    <m/>
    <m/>
    <x v="21"/>
    <s v="PCOM - Precommissioning"/>
    <s v="I"/>
    <x v="0"/>
    <x v="1"/>
    <s v="Cable FROM PS5-60-IH-0001C TO PS5-60-BI-0010A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90"/>
    <s v="PS5-60-BI-0010B-CC01"/>
    <m/>
    <m/>
    <m/>
    <m/>
    <x v="21"/>
    <s v="PCOM - Precommissioning"/>
    <s v="I"/>
    <x v="0"/>
    <x v="1"/>
    <s v="Cable FROM PS5-60-IE-0003C TO PS5-60-BI-0010B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91"/>
    <s v="PS5-60-BI-0010B-CC02"/>
    <m/>
    <m/>
    <m/>
    <m/>
    <x v="21"/>
    <s v="PCOM - Precommissioning"/>
    <s v="I"/>
    <x v="0"/>
    <x v="1"/>
    <s v="Cable FROM PS5-60-IH-0001C TO PS5-60-BI-0010B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4992"/>
    <s v="PS5-60-BI-0011A-CC01"/>
    <m/>
    <m/>
    <m/>
    <m/>
    <x v="21"/>
    <s v="PCOM - Precommissioning"/>
    <s v="I"/>
    <x v="0"/>
    <x v="1"/>
    <s v="Cable FROM PS5-60-IE-0003D TO PS5-60-BI-0011A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93"/>
    <s v="PS5-60-BI-0011A-CC02"/>
    <m/>
    <m/>
    <m/>
    <m/>
    <x v="21"/>
    <s v="PCOM - Precommissioning"/>
    <s v="I"/>
    <x v="0"/>
    <x v="1"/>
    <s v="Cable FROM PS5-60-IH-0001D TO PS5-60-BI-0011A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94"/>
    <s v="PS5-60-BI-0011B-CC01"/>
    <m/>
    <m/>
    <m/>
    <m/>
    <x v="21"/>
    <s v="PCOM - Precommissioning"/>
    <s v="I"/>
    <x v="0"/>
    <x v="1"/>
    <s v="Cable FROM PS5-60-IE-0003D TO PS5-60-BI-0011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4995"/>
    <s v="PS5-60-BI-0011B-CC02"/>
    <m/>
    <m/>
    <m/>
    <m/>
    <x v="21"/>
    <s v="PCOM - Precommissioning"/>
    <s v="I"/>
    <x v="0"/>
    <x v="1"/>
    <s v="Cable FROM PS5-60-IH-0001D TO PS5-60-BI-0011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08"/>
    <s v="PS5-60-BI-0016A-CC01"/>
    <m/>
    <m/>
    <m/>
    <m/>
    <x v="21"/>
    <s v="PCOM - Precommissioning"/>
    <s v="I"/>
    <x v="0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09"/>
    <s v="PS5-60-BI-0016A-CC02"/>
    <m/>
    <m/>
    <m/>
    <m/>
    <x v="21"/>
    <s v="PCOM - Precommissioning"/>
    <s v="I"/>
    <x v="0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10"/>
    <s v="PS5-60-BI-0016A-CC03"/>
    <m/>
    <m/>
    <m/>
    <m/>
    <x v="21"/>
    <s v="PCOM - Precommissioning"/>
    <s v="I"/>
    <x v="0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11"/>
    <s v="PS5-60-BI-0016A-CCO4"/>
    <m/>
    <m/>
    <m/>
    <m/>
    <x v="21"/>
    <s v="PCOM - Precommissioning"/>
    <s v="I"/>
    <x v="0"/>
    <x v="1"/>
    <s v="Cable FROM PS5-60-IE-0001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12"/>
    <s v="PS5-60-BI-0016B-CC01"/>
    <m/>
    <m/>
    <m/>
    <m/>
    <x v="21"/>
    <s v="PCOM - Precommissioning"/>
    <s v="I"/>
    <x v="0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13"/>
    <s v="PS5-60-BI-0016B-CC02"/>
    <m/>
    <m/>
    <m/>
    <m/>
    <x v="21"/>
    <s v="PCOM - Precommissioning"/>
    <s v="I"/>
    <x v="0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14"/>
    <s v="PS5-60-BI-0016B-CC03"/>
    <m/>
    <m/>
    <m/>
    <m/>
    <x v="21"/>
    <s v="PCOM - Precommissioning"/>
    <s v="I"/>
    <x v="0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15"/>
    <s v="PS5-60-BI-0016B-CCO4"/>
    <m/>
    <m/>
    <m/>
    <m/>
    <x v="21"/>
    <s v="PCOM - Precommissioning"/>
    <s v="I"/>
    <x v="0"/>
    <x v="1"/>
    <s v="Cable FROM PS5-60-IE-0001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16"/>
    <s v="PS5-60-BI-0016C-CC01"/>
    <m/>
    <m/>
    <m/>
    <m/>
    <x v="21"/>
    <s v="PCOM - Precommissioning"/>
    <s v="I"/>
    <x v="0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17"/>
    <s v="PS5-60-BI-0016C-CC02"/>
    <m/>
    <m/>
    <m/>
    <m/>
    <x v="21"/>
    <s v="PCOM - Precommissioning"/>
    <s v="I"/>
    <x v="0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18"/>
    <s v="PS5-60-BI-0016C-CC03"/>
    <m/>
    <m/>
    <m/>
    <m/>
    <x v="21"/>
    <s v="PCOM - Precommissioning"/>
    <s v="I"/>
    <x v="0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19"/>
    <s v="PS5-60-BI-0016C-CCO4"/>
    <m/>
    <m/>
    <m/>
    <m/>
    <x v="21"/>
    <s v="PCOM - Precommissioning"/>
    <s v="I"/>
    <x v="0"/>
    <x v="1"/>
    <s v="Cable FROM PS5-60-IE-0001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20"/>
    <s v="PS5-60-BI-0016D-CC01"/>
    <m/>
    <m/>
    <m/>
    <m/>
    <x v="21"/>
    <s v="PCOM - Precommissioning"/>
    <s v="I"/>
    <x v="0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21"/>
    <s v="PS5-60-BI-0016D-CC02"/>
    <m/>
    <m/>
    <m/>
    <m/>
    <x v="21"/>
    <s v="PCOM - Precommissioning"/>
    <s v="I"/>
    <x v="0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22"/>
    <s v="PS5-60-BI-0016D-CC03"/>
    <m/>
    <m/>
    <m/>
    <m/>
    <x v="21"/>
    <s v="PCOM - Precommissioning"/>
    <s v="I"/>
    <x v="0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23"/>
    <s v="PS5-60-BI-0016D-CCO4"/>
    <m/>
    <m/>
    <m/>
    <m/>
    <x v="21"/>
    <s v="PCOM - Precommissioning"/>
    <s v="I"/>
    <x v="0"/>
    <x v="1"/>
    <s v="Cable FROM PS5-60-IE-0001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36"/>
    <s v="PS5-60-BI-0017A-CC02"/>
    <m/>
    <m/>
    <m/>
    <m/>
    <x v="21"/>
    <s v="PCOM - Precommissioning"/>
    <s v="I"/>
    <x v="0"/>
    <x v="1"/>
    <s v="Cable FROM PS5-60-IN-0002A TO PS5-60-BI-0017A"/>
    <s v="EACOP"/>
    <s v="CPP AGI"/>
    <m/>
    <m/>
    <s v="4"/>
    <m/>
    <m/>
    <s v="0"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069"/>
    <m/>
    <m/>
  </r>
  <r>
    <s v="T-00069-5037"/>
    <s v="PS5-60-BI-0017B-CC02"/>
    <m/>
    <m/>
    <m/>
    <m/>
    <x v="21"/>
    <s v="PCOM - Precommissioning"/>
    <s v="I"/>
    <x v="0"/>
    <x v="1"/>
    <s v="Cable FROM PS5-60-IN-0002B TO PS5-60-BI-0017B"/>
    <s v="EACOP"/>
    <s v="CPP AGI"/>
    <m/>
    <m/>
    <s v="4"/>
    <m/>
    <m/>
    <s v="0"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069"/>
    <m/>
    <m/>
  </r>
  <r>
    <s v="T-00069-5038"/>
    <s v="PS5-60-BI-0017C-CC02"/>
    <m/>
    <m/>
    <m/>
    <m/>
    <x v="21"/>
    <s v="PCOM - Precommissioning"/>
    <s v="I"/>
    <x v="0"/>
    <x v="1"/>
    <s v="Cable FROM PS5-60-IN-0002C TO PS5-60-BI-0017C"/>
    <s v="EACOP"/>
    <s v="CPP AGI"/>
    <m/>
    <m/>
    <s v="4"/>
    <m/>
    <m/>
    <s v="0"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069"/>
    <m/>
    <m/>
  </r>
  <r>
    <s v="T-00069-5039"/>
    <s v="PS5-60-BI-0017D-CC02"/>
    <m/>
    <m/>
    <m/>
    <m/>
    <x v="21"/>
    <s v="PCOM - Precommissioning"/>
    <s v="I"/>
    <x v="0"/>
    <x v="1"/>
    <s v="Cable FROM PS5-60-IN-0002D TO PS5-60-BI-0017D"/>
    <s v="EACOP"/>
    <s v="CPP AGI"/>
    <m/>
    <m/>
    <s v="4"/>
    <m/>
    <m/>
    <s v="0"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069"/>
    <m/>
    <m/>
  </r>
  <r>
    <s v="T-00069-5043"/>
    <s v="PS5-60-BI-0019A-CC01"/>
    <m/>
    <m/>
    <m/>
    <m/>
    <x v="21"/>
    <s v="PCOM - Precommissioning"/>
    <s v="I"/>
    <x v="0"/>
    <x v="1"/>
    <s v="Cable FROM PS5-60-IE-0003A TO PS5-60-BI-0019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44"/>
    <s v="PS5-60-BI-0019A-CC02"/>
    <m/>
    <m/>
    <m/>
    <m/>
    <x v="21"/>
    <s v="PCOM - Precommissioning"/>
    <s v="I"/>
    <x v="0"/>
    <x v="1"/>
    <s v="Cable FROM PS5-60-IE-0003A TO PS5-60-BI-0019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045"/>
    <s v="PS5-60-BI-0019B-CC01"/>
    <m/>
    <m/>
    <m/>
    <m/>
    <x v="21"/>
    <s v="PCOM - Precommissioning"/>
    <s v="I"/>
    <x v="0"/>
    <x v="1"/>
    <s v="Cable FROM PS5-60-IE-0003B TO PS5-60-BI-001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46"/>
    <s v="PS5-60-BI-0019B-CC02"/>
    <m/>
    <m/>
    <m/>
    <m/>
    <x v="21"/>
    <s v="PCOM - Precommissioning"/>
    <s v="I"/>
    <x v="0"/>
    <x v="1"/>
    <s v="Cable FROM PS5-60-IE-0003B TO PS5-60-BI-001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47"/>
    <s v="PS5-60-BI-0019C-CC01"/>
    <m/>
    <m/>
    <m/>
    <m/>
    <x v="21"/>
    <s v="PCOM - Precommissioning"/>
    <s v="I"/>
    <x v="0"/>
    <x v="1"/>
    <s v="Cable FROM PS5-60-IE-0003C TO PS5-60-BI-0019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48"/>
    <s v="PS5-60-BI-0019C-CC02"/>
    <m/>
    <m/>
    <m/>
    <m/>
    <x v="21"/>
    <s v="PCOM - Precommissioning"/>
    <s v="I"/>
    <x v="0"/>
    <x v="1"/>
    <s v="Cable FROM PS5-60-IE-0003C TO PS5-60-BI-0019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49"/>
    <s v="PS5-60-BI-0019D-CC01"/>
    <m/>
    <m/>
    <m/>
    <m/>
    <x v="21"/>
    <s v="PCOM - Precommissioning"/>
    <s v="I"/>
    <x v="0"/>
    <x v="1"/>
    <s v="Cable FROM PS5-60-IE-0003D TO PS5-60-BI-0019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50"/>
    <s v="PS5-60-BI-0019D-CC02"/>
    <m/>
    <m/>
    <m/>
    <m/>
    <x v="21"/>
    <s v="PCOM - Precommissioning"/>
    <s v="I"/>
    <x v="0"/>
    <x v="1"/>
    <s v="Cable FROM PS5-60-IE-0003D TO PS5-60-BI-0019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57"/>
    <s v="PS5-60-IE-0002B-CC05"/>
    <m/>
    <m/>
    <m/>
    <m/>
    <x v="21"/>
    <s v="PCOM - Precommissioning"/>
    <s v="I"/>
    <x v="0"/>
    <x v="1"/>
    <s v="Cable FROM PS5-60-IE-0002A TO PS5-60-IE-0002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058"/>
    <s v="PS5-60-IE-0002C-CC05"/>
    <m/>
    <m/>
    <m/>
    <m/>
    <x v="21"/>
    <s v="PCOM - Precommissioning"/>
    <s v="I"/>
    <x v="0"/>
    <x v="1"/>
    <s v="Cable FROM PS5-60-IE-0002B TO PS5-60-IE-0002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059"/>
    <s v="PS5-60-IE-0002D-CC05"/>
    <m/>
    <m/>
    <m/>
    <m/>
    <x v="21"/>
    <s v="PCOM - Precommissioning"/>
    <s v="I"/>
    <x v="0"/>
    <x v="1"/>
    <s v="Cable FROM PS5-60-IE-0002C TO PS5-60-IE-0002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063"/>
    <s v="PS5-60-IE-0003A-CC01"/>
    <m/>
    <m/>
    <m/>
    <m/>
    <x v="21"/>
    <s v="PCOM - Precommissioning"/>
    <s v="I"/>
    <x v="0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4"/>
    <s v="PS5-60-IE-0003A-CC02"/>
    <m/>
    <m/>
    <m/>
    <m/>
    <x v="21"/>
    <s v="PCOM - Precommissioning"/>
    <s v="I"/>
    <x v="0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5"/>
    <s v="PS5-60-IE-0003A-CC03"/>
    <m/>
    <m/>
    <m/>
    <m/>
    <x v="21"/>
    <s v="PCOM - Precommissioning"/>
    <s v="I"/>
    <x v="0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6"/>
    <s v="PS5-60-IE-0003A-CC04"/>
    <m/>
    <m/>
    <m/>
    <m/>
    <x v="21"/>
    <s v="PCOM - Precommissioning"/>
    <s v="I"/>
    <x v="0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7"/>
    <s v="PS5-60-IE-0003A-CC05"/>
    <m/>
    <m/>
    <m/>
    <m/>
    <x v="21"/>
    <s v="PCOM - Precommissioning"/>
    <s v="I"/>
    <x v="0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8"/>
    <s v="PS5-60-IE-0003A-CC06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69"/>
    <s v="PS5-60-IE-0003A-CC07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0"/>
    <s v="PS5-60-IE-0003A-CC08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1"/>
    <s v="PS5-60-IE-0003A-CC09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2"/>
    <s v="PS5-60-IE-0003A-CC10"/>
    <m/>
    <m/>
    <m/>
    <m/>
    <x v="21"/>
    <s v="PCOM - Precommissioning"/>
    <s v="I"/>
    <x v="0"/>
    <x v="1"/>
    <s v="Cable FROM PS5-60-IE-0004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3"/>
    <s v="PS5-60-IE-0003A-CC11"/>
    <m/>
    <m/>
    <m/>
    <m/>
    <x v="21"/>
    <s v="PCOM - Precommissioning"/>
    <s v="I"/>
    <x v="0"/>
    <x v="1"/>
    <s v="Cable FROM PS5-60-IE-0004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4"/>
    <s v="PS5-60-IE-0003A-CC15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5"/>
    <s v="PS5-60-IE-0003A-CC16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76"/>
    <s v="PS5-60-IE-0003A-CC17"/>
    <m/>
    <m/>
    <m/>
    <m/>
    <x v="21"/>
    <s v="PCOM - Precommissioning"/>
    <s v="I"/>
    <x v="0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81"/>
    <s v="PS5-60-IE-0003A-CC25"/>
    <m/>
    <m/>
    <m/>
    <m/>
    <x v="21"/>
    <s v="PCOM - Precommissioning"/>
    <s v="I"/>
    <x v="0"/>
    <x v="1"/>
    <s v="Cable FROM PS5-60-TX-41100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82"/>
    <s v="PS5-60-IE-0003A-CC26"/>
    <m/>
    <m/>
    <m/>
    <m/>
    <x v="21"/>
    <s v="PCOM - Precommissioning"/>
    <s v="I"/>
    <x v="0"/>
    <x v="1"/>
    <s v="Cable FROM PS5-60-TX-41100B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069"/>
    <m/>
    <m/>
  </r>
  <r>
    <s v="T-00069-5083"/>
    <s v="PS5-60-IE-0003B-CC01"/>
    <m/>
    <m/>
    <m/>
    <m/>
    <x v="21"/>
    <s v="PCOM - Precommissioning"/>
    <s v="I"/>
    <x v="0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4"/>
    <s v="PS5-60-IE-0003B-CC02"/>
    <m/>
    <m/>
    <m/>
    <m/>
    <x v="21"/>
    <s v="PCOM - Precommissioning"/>
    <s v="I"/>
    <x v="0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5"/>
    <s v="PS5-60-IE-0003B-CC03"/>
    <m/>
    <m/>
    <m/>
    <m/>
    <x v="21"/>
    <s v="PCOM - Precommissioning"/>
    <s v="I"/>
    <x v="0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6"/>
    <s v="PS5-60-IE-0003B-CC04"/>
    <m/>
    <m/>
    <m/>
    <m/>
    <x v="21"/>
    <s v="PCOM - Precommissioning"/>
    <s v="I"/>
    <x v="0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7"/>
    <s v="PS5-60-IE-0003B-CC05"/>
    <m/>
    <m/>
    <m/>
    <m/>
    <x v="21"/>
    <s v="PCOM - Precommissioning"/>
    <s v="I"/>
    <x v="0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8"/>
    <s v="PS5-60-IE-0003B-CC06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89"/>
    <s v="PS5-60-IE-0003B-CC07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0"/>
    <s v="PS5-60-IE-0003B-CC08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1"/>
    <s v="PS5-60-IE-0003B-CC09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2"/>
    <s v="PS5-60-IE-0003B-CC10"/>
    <m/>
    <m/>
    <m/>
    <m/>
    <x v="21"/>
    <s v="PCOM - Precommissioning"/>
    <s v="I"/>
    <x v="0"/>
    <x v="1"/>
    <s v="Cable FROM PS5-60-IE-0004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3"/>
    <s v="PS5-60-IE-0003B-CC11"/>
    <m/>
    <m/>
    <m/>
    <m/>
    <x v="21"/>
    <s v="PCOM - Precommissioning"/>
    <s v="I"/>
    <x v="0"/>
    <x v="1"/>
    <s v="Cable FROM PS5-60-IE-0004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4"/>
    <s v="PS5-60-IE-0003B-CC15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5"/>
    <s v="PS5-60-IE-0003B-CC16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096"/>
    <s v="PS5-60-IE-0003B-CC17"/>
    <m/>
    <m/>
    <m/>
    <m/>
    <x v="21"/>
    <s v="PCOM - Precommissioning"/>
    <s v="I"/>
    <x v="0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101"/>
    <s v="PS5-60-IE-0003B-CC25"/>
    <m/>
    <m/>
    <m/>
    <m/>
    <x v="21"/>
    <s v="PCOM - Precommissioning"/>
    <s v="I"/>
    <x v="0"/>
    <x v="1"/>
    <s v="Cable FROM PS5-60-TX-41200A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102"/>
    <s v="PS5-60-IE-0003B-CC26"/>
    <m/>
    <m/>
    <m/>
    <m/>
    <x v="21"/>
    <s v="PCOM - Precommissioning"/>
    <s v="I"/>
    <x v="0"/>
    <x v="1"/>
    <s v="Cable FROM PS5-60-TX-41200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069"/>
    <m/>
    <m/>
  </r>
  <r>
    <s v="T-00069-5103"/>
    <s v="PS5-60-IE-0003C-CC01"/>
    <m/>
    <m/>
    <m/>
    <m/>
    <x v="21"/>
    <s v="PCOM - Precommissioning"/>
    <s v="I"/>
    <x v="0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4"/>
    <s v="PS5-60-IE-0003C-CC02"/>
    <m/>
    <m/>
    <m/>
    <m/>
    <x v="21"/>
    <s v="PCOM - Precommissioning"/>
    <s v="I"/>
    <x v="0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5"/>
    <s v="PS5-60-IE-0003C-CC03"/>
    <m/>
    <m/>
    <m/>
    <m/>
    <x v="21"/>
    <s v="PCOM - Precommissioning"/>
    <s v="I"/>
    <x v="0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6"/>
    <s v="PS5-60-IE-0003C-CC04"/>
    <m/>
    <m/>
    <m/>
    <m/>
    <x v="21"/>
    <s v="PCOM - Precommissioning"/>
    <s v="I"/>
    <x v="0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7"/>
    <s v="PS5-60-IE-0003C-CC05"/>
    <m/>
    <m/>
    <m/>
    <m/>
    <x v="21"/>
    <s v="PCOM - Precommissioning"/>
    <s v="I"/>
    <x v="0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8"/>
    <s v="PS5-60-IE-0003C-CC06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09"/>
    <s v="PS5-60-IE-0003C-CC07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0"/>
    <s v="PS5-60-IE-0003C-CC08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1"/>
    <s v="PS5-60-IE-0003C-CC09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2"/>
    <s v="PS5-60-IE-0003C-CC10"/>
    <m/>
    <m/>
    <m/>
    <m/>
    <x v="21"/>
    <s v="PCOM - Precommissioning"/>
    <s v="I"/>
    <x v="0"/>
    <x v="1"/>
    <s v="Cable FROM PS5-60-IE-0004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3"/>
    <s v="PS5-60-IE-0003C-CC11"/>
    <m/>
    <m/>
    <m/>
    <m/>
    <x v="21"/>
    <s v="PCOM - Precommissioning"/>
    <s v="I"/>
    <x v="0"/>
    <x v="1"/>
    <s v="Cable FROM PS5-60-IE-0004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4"/>
    <s v="PS5-60-IE-0003C-CC15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5"/>
    <s v="PS5-60-IE-0003C-CC16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16"/>
    <s v="PS5-60-IE-0003C-CC17"/>
    <m/>
    <m/>
    <m/>
    <m/>
    <x v="21"/>
    <s v="PCOM - Precommissioning"/>
    <s v="I"/>
    <x v="0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21"/>
    <s v="PS5-60-IE-0003C-CC25"/>
    <m/>
    <m/>
    <m/>
    <m/>
    <x v="21"/>
    <s v="PCOM - Precommissioning"/>
    <s v="I"/>
    <x v="0"/>
    <x v="1"/>
    <s v="Cable FROM PS5-60-TX-41300A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22"/>
    <s v="PS5-60-IE-0003C-CC26"/>
    <m/>
    <m/>
    <m/>
    <m/>
    <x v="21"/>
    <s v="PCOM - Precommissioning"/>
    <s v="I"/>
    <x v="0"/>
    <x v="1"/>
    <s v="Cable FROM PS5-60-TX-41300B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069"/>
    <m/>
    <m/>
  </r>
  <r>
    <s v="T-00069-5123"/>
    <s v="PS5-60-IE-0003D-CC01"/>
    <m/>
    <m/>
    <m/>
    <m/>
    <x v="21"/>
    <s v="PCOM - Precommissioning"/>
    <s v="I"/>
    <x v="0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4"/>
    <s v="PS5-60-IE-0003D-CC02"/>
    <m/>
    <m/>
    <m/>
    <m/>
    <x v="21"/>
    <s v="PCOM - Precommissioning"/>
    <s v="I"/>
    <x v="0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5"/>
    <s v="PS5-60-IE-0003D-CC03"/>
    <m/>
    <m/>
    <m/>
    <m/>
    <x v="21"/>
    <s v="PCOM - Precommissioning"/>
    <s v="I"/>
    <x v="0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6"/>
    <s v="PS5-60-IE-0003D-CC04"/>
    <m/>
    <m/>
    <m/>
    <m/>
    <x v="21"/>
    <s v="PCOM - Precommissioning"/>
    <s v="I"/>
    <x v="0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7"/>
    <s v="PS5-60-IE-0003D-CC05"/>
    <m/>
    <m/>
    <m/>
    <m/>
    <x v="21"/>
    <s v="PCOM - Precommissioning"/>
    <s v="I"/>
    <x v="0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8"/>
    <s v="PS5-60-IE-0003D-CC06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29"/>
    <s v="PS5-60-IE-0003D-CC07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0"/>
    <s v="PS5-60-IE-0003D-CC08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1"/>
    <s v="PS5-60-IE-0003D-CC09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2"/>
    <s v="PS5-60-IE-0003D-CC10"/>
    <m/>
    <m/>
    <m/>
    <m/>
    <x v="21"/>
    <s v="PCOM - Precommissioning"/>
    <s v="I"/>
    <x v="0"/>
    <x v="1"/>
    <s v="Cable FROM PS5-60-IE-0004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3"/>
    <s v="PS5-60-IE-0003D-CC11"/>
    <m/>
    <m/>
    <m/>
    <m/>
    <x v="21"/>
    <s v="PCOM - Precommissioning"/>
    <s v="I"/>
    <x v="0"/>
    <x v="1"/>
    <s v="Cable FROM PS5-60-IE-0004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4"/>
    <s v="PS5-60-IE-0003D-CC15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5"/>
    <s v="PS5-60-IE-0003D-CC16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36"/>
    <s v="PS5-60-IE-0003D-CC17"/>
    <m/>
    <m/>
    <m/>
    <m/>
    <x v="21"/>
    <s v="PCOM - Precommissioning"/>
    <s v="I"/>
    <x v="0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41"/>
    <s v="PS5-60-IE-0003D-CC25"/>
    <m/>
    <m/>
    <m/>
    <m/>
    <x v="21"/>
    <s v="PCOM - Precommissioning"/>
    <s v="I"/>
    <x v="0"/>
    <x v="1"/>
    <s v="Cable FROM PS5-60-TX-41400A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142"/>
    <s v="PS5-60-IE-0003D-CC26"/>
    <m/>
    <m/>
    <m/>
    <m/>
    <x v="21"/>
    <s v="PCOM - Precommissioning"/>
    <s v="I"/>
    <x v="0"/>
    <x v="1"/>
    <s v="Cable FROM PS5-60-TX-41400B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069"/>
    <m/>
    <m/>
  </r>
  <r>
    <s v="T-00069-5203"/>
    <s v="PS5-60-IE-0004-CC01"/>
    <m/>
    <m/>
    <m/>
    <m/>
    <x v="21"/>
    <s v="PCOM - Precommissioning"/>
    <s v="I"/>
    <x v="0"/>
    <x v="1"/>
    <s v="Cable FROM PS5-60-IE-0003A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4"/>
    <s v="PS5-60-IE-0004-CC02"/>
    <m/>
    <m/>
    <m/>
    <m/>
    <x v="21"/>
    <s v="PCOM - Precommissioning"/>
    <s v="I"/>
    <x v="0"/>
    <x v="1"/>
    <s v="Cable FROM PS5-60-IE-0003B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5"/>
    <s v="PS5-60-IE-0004-CC03"/>
    <m/>
    <m/>
    <m/>
    <m/>
    <x v="21"/>
    <s v="PCOM - Precommissioning"/>
    <s v="I"/>
    <x v="0"/>
    <x v="1"/>
    <s v="Cable FROM PS5-60-IE-0003C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6"/>
    <s v="PS5-60-IE-0004-CC04"/>
    <m/>
    <m/>
    <m/>
    <m/>
    <x v="21"/>
    <s v="PCOM - Precommissioning"/>
    <s v="I"/>
    <x v="0"/>
    <x v="1"/>
    <s v="Cable FROM PS5-60-IE-0003D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7"/>
    <s v="PS5-60-IE-0004-CC05"/>
    <m/>
    <m/>
    <m/>
    <m/>
    <x v="21"/>
    <s v="PCOM - Precommissioning"/>
    <s v="I"/>
    <x v="0"/>
    <x v="1"/>
    <s v="Cable FROM PS5-60-IE-0003E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8"/>
    <s v="PS5-60-IE-0004-CC06"/>
    <m/>
    <m/>
    <m/>
    <m/>
    <x v="21"/>
    <s v="PCOM - Precommissioning"/>
    <s v="I"/>
    <x v="0"/>
    <x v="1"/>
    <s v="Cable FROM PS5-60-IE-0003F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09"/>
    <s v="PS5-60-IE-0004-CC07"/>
    <m/>
    <m/>
    <m/>
    <m/>
    <x v="21"/>
    <s v="PCOM - Precommissioning"/>
    <s v="I"/>
    <x v="0"/>
    <x v="1"/>
    <s v="Cable FROM PS5-60-IE-0003G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213"/>
    <s v="PS5-60-IN-0001A-CC01"/>
    <m/>
    <m/>
    <m/>
    <m/>
    <x v="21"/>
    <s v="PCOM - Precommissioning"/>
    <s v="I"/>
    <x v="0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069"/>
    <m/>
    <m/>
  </r>
  <r>
    <s v="T-00069-5214"/>
    <s v="PS5-60-IN-0001A-CC02"/>
    <m/>
    <m/>
    <m/>
    <m/>
    <x v="21"/>
    <s v="PCOM - Precommissioning"/>
    <s v="I"/>
    <x v="0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069"/>
    <m/>
    <m/>
  </r>
  <r>
    <s v="T-00069-5215"/>
    <s v="PS5-60-IN-0001A-CC03"/>
    <m/>
    <m/>
    <m/>
    <m/>
    <x v="21"/>
    <s v="PCOM - Precommissioning"/>
    <s v="I"/>
    <x v="0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069"/>
    <m/>
    <m/>
  </r>
  <r>
    <s v="T-00069-5216"/>
    <s v="PS5-60-IN-0001A-CC04"/>
    <m/>
    <m/>
    <m/>
    <m/>
    <x v="21"/>
    <s v="PCOM - Precommissioning"/>
    <s v="I"/>
    <x v="0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069"/>
    <m/>
    <m/>
  </r>
  <r>
    <s v="T-00069-5217"/>
    <s v="PS5-60-IN-0001B-CC01"/>
    <m/>
    <m/>
    <m/>
    <m/>
    <x v="21"/>
    <s v="PCOM - Precommissioning"/>
    <s v="I"/>
    <x v="0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069"/>
    <m/>
    <m/>
  </r>
  <r>
    <s v="T-00069-5218"/>
    <s v="PS5-60-IN-0001B-CC02"/>
    <m/>
    <m/>
    <m/>
    <m/>
    <x v="21"/>
    <s v="PCOM - Precommissioning"/>
    <s v="I"/>
    <x v="0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069"/>
    <m/>
    <m/>
  </r>
  <r>
    <s v="T-00069-5219"/>
    <s v="PS5-60-IN-0001B-CC03"/>
    <m/>
    <m/>
    <m/>
    <m/>
    <x v="21"/>
    <s v="PCOM - Precommissioning"/>
    <s v="I"/>
    <x v="0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069"/>
    <m/>
    <m/>
  </r>
  <r>
    <s v="T-00069-5220"/>
    <s v="PS5-60-IN-0001B-CC04"/>
    <m/>
    <m/>
    <m/>
    <m/>
    <x v="21"/>
    <s v="PCOM - Precommissioning"/>
    <s v="I"/>
    <x v="0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069"/>
    <m/>
    <m/>
  </r>
  <r>
    <s v="T-00069-5221"/>
    <s v="PS5-60-IN-0001C-CC01"/>
    <m/>
    <m/>
    <m/>
    <m/>
    <x v="21"/>
    <s v="PCOM - Precommissioning"/>
    <s v="I"/>
    <x v="0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069"/>
    <m/>
    <m/>
  </r>
  <r>
    <s v="T-00069-5222"/>
    <s v="PS5-60-IN-0001C-CC02"/>
    <m/>
    <m/>
    <m/>
    <m/>
    <x v="21"/>
    <s v="PCOM - Precommissioning"/>
    <s v="I"/>
    <x v="0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069"/>
    <m/>
    <m/>
  </r>
  <r>
    <s v="T-00069-5223"/>
    <s v="PS5-60-IN-0001C-CC03"/>
    <m/>
    <m/>
    <m/>
    <m/>
    <x v="21"/>
    <s v="PCOM - Precommissioning"/>
    <s v="I"/>
    <x v="0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069"/>
    <m/>
    <m/>
  </r>
  <r>
    <s v="T-00069-5224"/>
    <s v="PS5-60-IN-0001C-CC04"/>
    <m/>
    <m/>
    <m/>
    <m/>
    <x v="21"/>
    <s v="PCOM - Precommissioning"/>
    <s v="I"/>
    <x v="0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069"/>
    <m/>
    <m/>
  </r>
  <r>
    <s v="T-00069-5225"/>
    <s v="PS5-60-IN-0001D-CC01"/>
    <m/>
    <m/>
    <m/>
    <m/>
    <x v="21"/>
    <s v="PCOM - Precommissioning"/>
    <s v="I"/>
    <x v="0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069"/>
    <m/>
    <m/>
  </r>
  <r>
    <s v="T-00069-5226"/>
    <s v="PS5-60-IN-0001D-CC02"/>
    <m/>
    <m/>
    <m/>
    <m/>
    <x v="21"/>
    <s v="PCOM - Precommissioning"/>
    <s v="I"/>
    <x v="0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069"/>
    <m/>
    <m/>
  </r>
  <r>
    <s v="T-00069-5227"/>
    <s v="PS5-60-IN-0001D-CC03"/>
    <m/>
    <m/>
    <m/>
    <m/>
    <x v="21"/>
    <s v="PCOM - Precommissioning"/>
    <s v="I"/>
    <x v="0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069"/>
    <m/>
    <m/>
  </r>
  <r>
    <s v="T-00069-5228"/>
    <s v="PS5-60-IN-0001D-CC04"/>
    <m/>
    <m/>
    <m/>
    <m/>
    <x v="21"/>
    <s v="PCOM - Precommissioning"/>
    <s v="I"/>
    <x v="0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069"/>
    <m/>
    <m/>
  </r>
  <r>
    <s v="T-00069-5241"/>
    <s v="PS5-60-IN-0002A-CC01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2"/>
    <s v="PS5-60-IN-0002A-CC02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3"/>
    <s v="PS5-60-IN-0002A-CC03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4"/>
    <s v="PS5-60-IN-0002A-CC04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5"/>
    <s v="PS5-60-IN-0002A-CC05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6"/>
    <s v="PS5-60-IN-0002A-CC06"/>
    <m/>
    <m/>
    <m/>
    <m/>
    <x v="21"/>
    <s v="PCOM - Precommissioning"/>
    <s v="I"/>
    <x v="0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069"/>
    <m/>
    <m/>
  </r>
  <r>
    <s v="T-00069-5247"/>
    <s v="PS5-60-IN-0002B-CC01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48"/>
    <s v="PS5-60-IN-0002B-CC02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49"/>
    <s v="PS5-60-IN-0002B-CC03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50"/>
    <s v="PS5-60-IN-0002B-CC04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51"/>
    <s v="PS5-60-IN-0002B-CC05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52"/>
    <s v="PS5-60-IN-0002B-CC06"/>
    <m/>
    <m/>
    <m/>
    <m/>
    <x v="21"/>
    <s v="PCOM - Precommissioning"/>
    <s v="I"/>
    <x v="0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069"/>
    <m/>
    <m/>
  </r>
  <r>
    <s v="T-00069-5253"/>
    <s v="PS5-60-IN-0002C-CC01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4"/>
    <s v="PS5-60-IN-0002C-CC02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5"/>
    <s v="PS5-60-IN-0002C-CC03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6"/>
    <s v="PS5-60-IN-0002C-CC04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7"/>
    <s v="PS5-60-IN-0002C-CC05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8"/>
    <s v="PS5-60-IN-0002C-CC06"/>
    <m/>
    <m/>
    <m/>
    <m/>
    <x v="21"/>
    <s v="PCOM - Precommissioning"/>
    <s v="I"/>
    <x v="0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069"/>
    <m/>
    <m/>
  </r>
  <r>
    <s v="T-00069-5259"/>
    <s v="PS5-60-IN-0002D-CC01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60"/>
    <s v="PS5-60-IN-0002D-CC02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61"/>
    <s v="PS5-60-IN-0002D-CC03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62"/>
    <s v="PS5-60-IN-0002D-CC04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63"/>
    <s v="PS5-60-IN-0002D-CC05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64"/>
    <s v="PS5-60-IN-0002D-CC06"/>
    <m/>
    <m/>
    <m/>
    <m/>
    <x v="21"/>
    <s v="PCOM - Precommissioning"/>
    <s v="I"/>
    <x v="0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069"/>
    <m/>
    <m/>
  </r>
  <r>
    <s v="T-00069-5283"/>
    <s v="PS5-60-IN-0004A-CC11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284"/>
    <s v="PS5-60-LA-0002A-CC01"/>
    <m/>
    <m/>
    <m/>
    <m/>
    <x v="21"/>
    <s v="PCOM - Precommissioning"/>
    <s v="I"/>
    <x v="0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85"/>
    <s v="PS5-60-LA-0002A-CC02"/>
    <m/>
    <m/>
    <m/>
    <m/>
    <x v="21"/>
    <s v="PCOM - Precommissioning"/>
    <s v="I"/>
    <x v="0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86"/>
    <s v="PS5-60-LA-0002A-CC03"/>
    <m/>
    <m/>
    <m/>
    <m/>
    <x v="21"/>
    <s v="PCOM - Precommissioning"/>
    <s v="I"/>
    <x v="0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87"/>
    <s v="PS5-60-LA-0002A-CC04"/>
    <m/>
    <m/>
    <m/>
    <m/>
    <x v="21"/>
    <s v="PCOM - Precommissioning"/>
    <s v="I"/>
    <x v="0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88"/>
    <s v="PS5-60-LA-0002A-CC05"/>
    <m/>
    <m/>
    <m/>
    <m/>
    <x v="21"/>
    <s v="PCOM - Precommissioning"/>
    <s v="I"/>
    <x v="0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89"/>
    <s v="PS5-60-LA-0002A-CC06"/>
    <m/>
    <m/>
    <m/>
    <m/>
    <x v="21"/>
    <s v="PCOM - Precommissioning"/>
    <s v="I"/>
    <x v="0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90"/>
    <s v="PS5-60-LA-0002A-CC07"/>
    <m/>
    <m/>
    <m/>
    <m/>
    <x v="21"/>
    <s v="PCOM - Precommissioning"/>
    <s v="I"/>
    <x v="0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91"/>
    <s v="PS5-60-LA-0002A-CC08"/>
    <m/>
    <m/>
    <m/>
    <m/>
    <x v="21"/>
    <s v="PCOM - Precommissioning"/>
    <s v="I"/>
    <x v="0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92"/>
    <s v="PS5-60-LA-0002A-CC09"/>
    <m/>
    <m/>
    <m/>
    <m/>
    <x v="21"/>
    <s v="PCOM - Precommissioning"/>
    <s v="I"/>
    <x v="0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293"/>
    <s v="PS5-60-LA-0002B-CC01"/>
    <m/>
    <m/>
    <m/>
    <m/>
    <x v="21"/>
    <s v="PCOM - Precommissioning"/>
    <s v="I"/>
    <x v="0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294"/>
    <s v="PS5-60-LA-0002B-CC02"/>
    <m/>
    <m/>
    <m/>
    <m/>
    <x v="21"/>
    <s v="PCOM - Precommissioning"/>
    <s v="I"/>
    <x v="0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295"/>
    <s v="PS5-60-LA-0002B-CC03"/>
    <m/>
    <m/>
    <m/>
    <m/>
    <x v="21"/>
    <s v="PCOM - Precommissioning"/>
    <s v="I"/>
    <x v="0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296"/>
    <s v="PS5-60-LA-0002B-CC04"/>
    <m/>
    <m/>
    <m/>
    <m/>
    <x v="21"/>
    <s v="PCOM - Precommissioning"/>
    <s v="I"/>
    <x v="0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297"/>
    <s v="PS5-60-LA-0002B-CC05"/>
    <m/>
    <m/>
    <m/>
    <m/>
    <x v="21"/>
    <s v="PCOM - Precommissioning"/>
    <s v="I"/>
    <x v="0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298"/>
    <s v="PS5-60-LA-0002B-CC06"/>
    <m/>
    <m/>
    <m/>
    <m/>
    <x v="21"/>
    <s v="PCOM - Precommissioning"/>
    <s v="I"/>
    <x v="0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305"/>
    <s v="PS5-60-LA-0003-CC01"/>
    <m/>
    <m/>
    <m/>
    <m/>
    <x v="21"/>
    <s v="PCOM - Precommissioning"/>
    <s v="I"/>
    <x v="0"/>
    <x v="1"/>
    <s v="Cable FROM PS5-60-IE-0004 TO PS5-60-LA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069"/>
    <m/>
    <m/>
  </r>
  <r>
    <s v="T-00069-5316"/>
    <s v="PS5-60-SEA-0001-CC01"/>
    <m/>
    <m/>
    <m/>
    <m/>
    <x v="21"/>
    <s v="PCOM - Precommissioning"/>
    <s v="I"/>
    <x v="0"/>
    <x v="1"/>
    <s v="Cable FROM PS5-60-IE-0003A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17"/>
    <s v="PS5-60-SEA-0001-CC02"/>
    <m/>
    <m/>
    <m/>
    <m/>
    <x v="21"/>
    <s v="PCOM - Precommissioning"/>
    <s v="I"/>
    <x v="0"/>
    <x v="1"/>
    <s v="Cable FROM PS5-60-IE-0003B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18"/>
    <s v="PS5-60-SEA-0001-CC03"/>
    <m/>
    <m/>
    <m/>
    <m/>
    <x v="21"/>
    <s v="PCOM - Precommissioning"/>
    <s v="I"/>
    <x v="0"/>
    <x v="1"/>
    <s v="Cable FROM PS5-60-IE-0003C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19"/>
    <s v="PS5-60-SEA-0001-CC04"/>
    <m/>
    <m/>
    <m/>
    <m/>
    <x v="21"/>
    <s v="PCOM - Precommissioning"/>
    <s v="I"/>
    <x v="0"/>
    <x v="1"/>
    <s v="Cable FROM PS5-60-IE-0003D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0"/>
    <s v="PS5-60-SEA-0001-CC05"/>
    <m/>
    <m/>
    <m/>
    <m/>
    <x v="21"/>
    <s v="PCOM - Precommissioning"/>
    <s v="I"/>
    <x v="0"/>
    <x v="1"/>
    <s v="Cable FROM PS5-60-IE-0003E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1"/>
    <s v="PS5-60-SEA-0001-CC06"/>
    <m/>
    <m/>
    <m/>
    <m/>
    <x v="21"/>
    <s v="PCOM - Precommissioning"/>
    <s v="I"/>
    <x v="0"/>
    <x v="1"/>
    <s v="Cable FROM PS5-60-IE-0003F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2"/>
    <s v="PS5-60-SEA-0001-CC07"/>
    <m/>
    <m/>
    <m/>
    <m/>
    <x v="21"/>
    <s v="PCOM - Precommissioning"/>
    <s v="I"/>
    <x v="0"/>
    <x v="1"/>
    <s v="Cable FROM PS5-60-IE-0003G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3"/>
    <s v="PS5-60-SEA-0001-CC10"/>
    <m/>
    <m/>
    <m/>
    <m/>
    <x v="21"/>
    <s v="PCOM - Precommissioning"/>
    <s v="I"/>
    <x v="0"/>
    <x v="1"/>
    <s v="Cable FROM PS5-60-IE-0004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4"/>
    <s v="PS5-60-SEA-0001-CC11"/>
    <m/>
    <m/>
    <m/>
    <m/>
    <x v="21"/>
    <s v="PCOM - Precommissioning"/>
    <s v="I"/>
    <x v="0"/>
    <x v="1"/>
    <s v="Cable FROM PS5-60-IE-0003A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5"/>
    <s v="PS5-60-SEA-0001-CC12"/>
    <m/>
    <m/>
    <m/>
    <m/>
    <x v="21"/>
    <s v="PCOM - Precommissioning"/>
    <s v="I"/>
    <x v="0"/>
    <x v="1"/>
    <s v="Cable FROM PS5-60-IE-0003B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6"/>
    <s v="PS5-60-SEA-0001-CC13"/>
    <m/>
    <m/>
    <m/>
    <m/>
    <x v="21"/>
    <s v="PCOM - Precommissioning"/>
    <s v="I"/>
    <x v="0"/>
    <x v="1"/>
    <s v="Cable FROM PS5-60-IE-0003C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7"/>
    <s v="PS5-60-SEA-0001-CC14"/>
    <m/>
    <m/>
    <m/>
    <m/>
    <x v="21"/>
    <s v="PCOM - Precommissioning"/>
    <s v="I"/>
    <x v="0"/>
    <x v="1"/>
    <s v="Cable FROM PS5-60-IE-0003D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8"/>
    <s v="PS5-60-SEA-0001-CC15"/>
    <m/>
    <m/>
    <m/>
    <m/>
    <x v="21"/>
    <s v="PCOM - Precommissioning"/>
    <s v="I"/>
    <x v="0"/>
    <x v="1"/>
    <s v="Cable FROM PS5-60-IE-0003E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29"/>
    <s v="PS5-60-SEA-0001-CC16"/>
    <m/>
    <m/>
    <m/>
    <m/>
    <x v="21"/>
    <s v="PCOM - Precommissioning"/>
    <s v="I"/>
    <x v="0"/>
    <x v="1"/>
    <s v="Cable FROM PS5-60-IE-0003F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30"/>
    <s v="PS5-60-SEA-0001-CC17"/>
    <m/>
    <m/>
    <m/>
    <m/>
    <x v="21"/>
    <s v="PCOM - Precommissioning"/>
    <s v="I"/>
    <x v="0"/>
    <x v="1"/>
    <s v="Cable FROM PS5-60-IE-0003G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69-5339"/>
    <s v="PS5-60-VS-9101A-CC01"/>
    <m/>
    <m/>
    <m/>
    <m/>
    <x v="21"/>
    <s v="PCOM - Precommissioning"/>
    <s v="I"/>
    <x v="0"/>
    <x v="1"/>
    <s v="Cable FROM PS5-60-IE-0003A TO PS5-60-VS-9101A"/>
    <s v="EACOP"/>
    <s v="CPP AGI"/>
    <m/>
    <m/>
    <s v="4"/>
    <m/>
    <m/>
    <s v="0"/>
    <s v="PS5 - TZA - PS5 - Tanzania"/>
    <s v="PS5-60-42 - Oil Mist Separator Skid PS5-60-VS-9100A"/>
    <m/>
    <s v="PS5-60-42"/>
    <x v="0"/>
    <x v="0"/>
    <s v="Multi/Single-Core Instrument Control Cable"/>
    <s v="I"/>
    <x v="0"/>
    <s v="PS5 - Milestone B"/>
    <s v="TM-00069"/>
    <m/>
    <m/>
  </r>
  <r>
    <s v="T-00069-5340"/>
    <s v="PS5-60-VS-9101B-CC01"/>
    <m/>
    <m/>
    <m/>
    <m/>
    <x v="21"/>
    <s v="PCOM - Precommissioning"/>
    <s v="I"/>
    <x v="0"/>
    <x v="1"/>
    <s v="Cable FROM PS5-60-IE-0003B TO PS5-60-VS-9101B"/>
    <s v="EACOP"/>
    <s v="CPP AGI"/>
    <m/>
    <m/>
    <s v="4"/>
    <m/>
    <m/>
    <s v="0"/>
    <s v="PS5 - TZA - PS5 - Tanzania"/>
    <s v="PS5-60-43 - Oil Mist Separator Skid PS5-60-VS-9100B"/>
    <m/>
    <s v="PS5-60-43"/>
    <x v="0"/>
    <x v="0"/>
    <s v="Multi/Single-Core Instrument Control Cable"/>
    <s v="I"/>
    <x v="0"/>
    <s v="PS5 - Milestone B"/>
    <s v="TM-00069"/>
    <m/>
    <m/>
  </r>
  <r>
    <s v="T-00069-5341"/>
    <s v="PS5-60-VS-9101C-CC01"/>
    <m/>
    <m/>
    <m/>
    <m/>
    <x v="21"/>
    <s v="PCOM - Precommissioning"/>
    <s v="I"/>
    <x v="0"/>
    <x v="1"/>
    <s v="Cable FROM PS5-60-IE-0003C TO PS5-60-VS-9101C"/>
    <s v="EACOP"/>
    <s v="CPP AGI"/>
    <m/>
    <m/>
    <s v="4"/>
    <m/>
    <m/>
    <s v="0"/>
    <s v="PS5 - TZA - PS5 - Tanzania"/>
    <s v="PS5-60-44 - Oil Mist Separator Skid PS5-60-VS-9100C"/>
    <m/>
    <s v="PS5-60-44"/>
    <x v="1"/>
    <x v="0"/>
    <s v="Multi/Single-Core Instrument Control Cable"/>
    <s v="I"/>
    <x v="0"/>
    <s v="PS5 - Milestone D"/>
    <s v="TM-00069"/>
    <m/>
    <m/>
  </r>
  <r>
    <s v="T-00069-5342"/>
    <s v="PS5-60-VS-9101D-CC01"/>
    <m/>
    <m/>
    <m/>
    <m/>
    <x v="21"/>
    <s v="PCOM - Precommissioning"/>
    <s v="I"/>
    <x v="0"/>
    <x v="1"/>
    <s v="Cable FROM PS5-60-IE-0003D TO PS5-60-VS-9101D"/>
    <s v="EACOP"/>
    <s v="CPP AGI"/>
    <m/>
    <m/>
    <s v="4"/>
    <m/>
    <m/>
    <s v="0"/>
    <s v="PS5 - TZA - PS5 - Tanzania"/>
    <s v="PS5-60-45 - Oil Mist Separator Skid PS5-60-VS-9100D"/>
    <m/>
    <s v="PS5-60-45"/>
    <x v="1"/>
    <x v="0"/>
    <s v="Multi/Single-Core Instrument Control Cable"/>
    <s v="I"/>
    <x v="0"/>
    <s v="PS5 - Milestone D"/>
    <s v="TM-00069"/>
    <m/>
    <m/>
  </r>
  <r>
    <s v="T-00069-5346"/>
    <s v="PS5-61-BI-0001-CC01"/>
    <m/>
    <m/>
    <m/>
    <m/>
    <x v="21"/>
    <s v="PCOM - Precommissioning"/>
    <s v="I"/>
    <x v="0"/>
    <x v="1"/>
    <s v="Cable FROM PS5-60-I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347"/>
    <s v="PS5-61-BI-0001-CC02"/>
    <m/>
    <m/>
    <m/>
    <m/>
    <x v="21"/>
    <s v="PCOM - Precommissioning"/>
    <s v="I"/>
    <x v="0"/>
    <x v="1"/>
    <s v="Cable FROM PS5-60-I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348"/>
    <s v="PS5-61-BI-0001-CC03"/>
    <m/>
    <m/>
    <m/>
    <m/>
    <x v="21"/>
    <s v="PCOM - Precommissioning"/>
    <s v="I"/>
    <x v="0"/>
    <x v="1"/>
    <s v="Cable FROM PS5-61-T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069"/>
    <m/>
    <m/>
  </r>
  <r>
    <s v="T-00069-5349"/>
    <s v="PS5-61-BI-0002-CC01"/>
    <m/>
    <m/>
    <m/>
    <m/>
    <x v="21"/>
    <s v="PCOM - Precommissioning"/>
    <s v="I"/>
    <x v="0"/>
    <x v="1"/>
    <s v="Cable FROM PS5-60-I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350"/>
    <s v="PS5-61-BI-0002-CC02"/>
    <m/>
    <m/>
    <m/>
    <m/>
    <x v="21"/>
    <s v="PCOM - Precommissioning"/>
    <s v="I"/>
    <x v="0"/>
    <x v="1"/>
    <s v="Cable FROM PS5-60-I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351"/>
    <s v="PS5-61-BI-0002-CC03"/>
    <m/>
    <m/>
    <m/>
    <m/>
    <x v="21"/>
    <s v="PCOM - Precommissioning"/>
    <s v="I"/>
    <x v="0"/>
    <x v="1"/>
    <s v="Cable FROM PS5-61-T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069"/>
    <m/>
    <m/>
  </r>
  <r>
    <s v="T-00069-5352"/>
    <s v="PS5-61-BI-0003-CC01"/>
    <m/>
    <m/>
    <m/>
    <m/>
    <x v="21"/>
    <s v="PCOM - Precommissioning"/>
    <s v="I"/>
    <x v="0"/>
    <x v="1"/>
    <s v="Cable FROM PS5-60-I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353"/>
    <s v="PS5-61-BI-0003-CC02"/>
    <m/>
    <m/>
    <m/>
    <m/>
    <x v="21"/>
    <s v="PCOM - Precommissioning"/>
    <s v="I"/>
    <x v="0"/>
    <x v="1"/>
    <s v="Cable FROM PS5-60-I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354"/>
    <s v="PS5-61-BI-0003-CC03"/>
    <m/>
    <m/>
    <m/>
    <m/>
    <x v="21"/>
    <s v="PCOM - Precommissioning"/>
    <s v="I"/>
    <x v="0"/>
    <x v="1"/>
    <s v="Cable FROM PS5-61-T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069"/>
    <m/>
    <m/>
  </r>
  <r>
    <s v="T-00069-5355"/>
    <s v="PS5-61-BI-0004-CC01"/>
    <m/>
    <m/>
    <m/>
    <m/>
    <x v="21"/>
    <s v="PCOM - Precommissioning"/>
    <s v="I"/>
    <x v="0"/>
    <x v="1"/>
    <s v="Cable FROM PS5-60-I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356"/>
    <s v="PS5-61-BI-0004-CC02"/>
    <m/>
    <m/>
    <m/>
    <m/>
    <x v="21"/>
    <s v="PCOM - Precommissioning"/>
    <s v="I"/>
    <x v="0"/>
    <x v="1"/>
    <s v="Cable FROM PS5-60-I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357"/>
    <s v="PS5-61-BI-0004-CC03"/>
    <m/>
    <m/>
    <m/>
    <m/>
    <x v="21"/>
    <s v="PCOM - Precommissioning"/>
    <s v="I"/>
    <x v="0"/>
    <x v="1"/>
    <s v="Cable FROM PS5-61-T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069"/>
    <m/>
    <m/>
  </r>
  <r>
    <s v="T-00069-5376"/>
    <s v="PS5-71-BAV-0058-CC01"/>
    <m/>
    <m/>
    <m/>
    <m/>
    <x v="21"/>
    <s v="PCOM - Precommissioning"/>
    <s v="I"/>
    <x v="0"/>
    <x v="1"/>
    <s v="Cable FROM PS5-71-BI-2113 TO PS5-71-BAV-0058"/>
    <s v="EACOP"/>
    <s v="CPP AGI"/>
    <m/>
    <m/>
    <s v="4"/>
    <m/>
    <m/>
    <s v="TZ-MID-68-WPR2-161503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s v="TZ-MID-68-WPR2-161503"/>
  </r>
  <r>
    <s v="T-00069-5377"/>
    <s v="PS5-71-BAV-0059-CC01"/>
    <m/>
    <m/>
    <m/>
    <m/>
    <x v="21"/>
    <s v="PCOM - Precommissioning"/>
    <s v="I"/>
    <x v="0"/>
    <x v="1"/>
    <s v="Cable FROM PS5-71-BI-2113 TO PS5-71-BAV-0059"/>
    <s v="EACOP"/>
    <s v="CPP AGI"/>
    <m/>
    <m/>
    <s v="4"/>
    <m/>
    <m/>
    <s v="TZ-MID-68-WPR2-161503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TZ-MID-68-WPR2-161503"/>
  </r>
  <r>
    <s v="T-00069-5378"/>
    <s v="PS5-71-BI-0001A-CC01"/>
    <m/>
    <m/>
    <m/>
    <m/>
    <x v="21"/>
    <s v="PCOM - Precommissioning"/>
    <s v="I"/>
    <x v="0"/>
    <x v="1"/>
    <s v="Cable FROM PS5-71-IN-0004A TO PS5-71-BI-000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79"/>
    <s v="PS5-71-BI-0001B-CC01"/>
    <m/>
    <m/>
    <m/>
    <m/>
    <x v="21"/>
    <s v="PCOM - Precommissioning"/>
    <s v="I"/>
    <x v="0"/>
    <x v="1"/>
    <s v="Cable FROM PS5-71-IN-0004A TO PS5-71-BI-000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81"/>
    <s v="PS5-71-BI-0002-CC01"/>
    <m/>
    <m/>
    <m/>
    <m/>
    <x v="21"/>
    <s v="PCOM - Precommissioning"/>
    <s v="I"/>
    <x v="0"/>
    <x v="1"/>
    <s v="Cable FROM PS5-71-IN-0001 TO PS5-71-BI-0002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82"/>
    <s v="PS5-71-BI-0003-CC01"/>
    <m/>
    <m/>
    <m/>
    <m/>
    <x v="21"/>
    <s v="PCOM - Precommissioning"/>
    <s v="I"/>
    <x v="0"/>
    <x v="1"/>
    <s v="Cable FROM PS5-60-IE-0004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m/>
  </r>
  <r>
    <s v="T-00069-5383"/>
    <s v="PS5-71-BI-0003-CC02"/>
    <m/>
    <m/>
    <m/>
    <m/>
    <x v="21"/>
    <s v="PCOM - Precommissioning"/>
    <s v="I"/>
    <x v="0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m/>
  </r>
  <r>
    <s v="T-00069-5384"/>
    <s v="PS5-71-BI-0003-CC03"/>
    <m/>
    <m/>
    <m/>
    <m/>
    <x v="21"/>
    <s v="PCOM - Precommissioning"/>
    <s v="I"/>
    <x v="0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m/>
  </r>
  <r>
    <s v="T-00069-5385"/>
    <s v="PS5-71-BI-0003-CC04"/>
    <m/>
    <m/>
    <m/>
    <m/>
    <x v="21"/>
    <s v="PCOM - Precommissioning"/>
    <s v="I"/>
    <x v="0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m/>
  </r>
  <r>
    <s v="T-00069-5386"/>
    <s v="PS5-71-BI-0004-CC01"/>
    <m/>
    <m/>
    <m/>
    <m/>
    <x v="21"/>
    <s v="PCOM - Precommissioning"/>
    <s v="I"/>
    <x v="0"/>
    <x v="1"/>
    <s v="Cable FROM PS5-71-IN-0002 TO PS5-71-BI-0004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m/>
  </r>
  <r>
    <s v="T-00069-5387"/>
    <s v="PS5-71-BI-0005-CC01"/>
    <m/>
    <m/>
    <m/>
    <m/>
    <x v="21"/>
    <s v="PCOM - Precommissioning"/>
    <s v="I"/>
    <x v="0"/>
    <x v="1"/>
    <s v="Cable FROM PS5-71-IN-0003 TO PS5-71-BI-0005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388"/>
    <s v="PS5-71-BI-0005-CC02"/>
    <m/>
    <m/>
    <m/>
    <m/>
    <x v="21"/>
    <s v="PCOM - Precommissioning"/>
    <s v="I"/>
    <x v="0"/>
    <x v="1"/>
    <s v="Cable FROM PS5-60-IE-0004 TO PS5-71-BI-0005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389"/>
    <s v="PS5-71-BI-0006-CC01"/>
    <m/>
    <m/>
    <m/>
    <m/>
    <x v="21"/>
    <s v="PCOM - Precommissioning"/>
    <s v="I"/>
    <x v="0"/>
    <x v="1"/>
    <s v="Cable FROM PS5-71-IN-0003 TO PS5-71-BI-0006"/>
    <s v="EACOP"/>
    <s v="CPP AGI"/>
    <m/>
    <m/>
    <s v="4"/>
    <m/>
    <m/>
    <s v="0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m/>
  </r>
  <r>
    <s v="T-00069-5390"/>
    <s v="PS5-71-BI-0008A-CC01"/>
    <m/>
    <m/>
    <m/>
    <m/>
    <x v="21"/>
    <s v="PCOM - Precommissioning"/>
    <s v="I"/>
    <x v="0"/>
    <x v="1"/>
    <s v="Cable FROM PS5-71-IN-0004A TO PS5-71-BI-0008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91"/>
    <s v="PS5-71-BI-0008A-CC02"/>
    <m/>
    <m/>
    <m/>
    <m/>
    <x v="21"/>
    <s v="PCOM - Precommissioning"/>
    <s v="I"/>
    <x v="0"/>
    <x v="1"/>
    <s v="Cable FROM PS5-71-IN-0004A TO PS5-71-BI-0008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92"/>
    <s v="PS5-71-BI-0008B-CC01"/>
    <m/>
    <m/>
    <m/>
    <m/>
    <x v="21"/>
    <s v="PCOM - Precommissioning"/>
    <s v="I"/>
    <x v="0"/>
    <x v="1"/>
    <s v="Cable FROM PS5-71-IN-0004A TO PS5-71-BI-0008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93"/>
    <s v="PS5-71-BI-0008B-CC02"/>
    <m/>
    <m/>
    <m/>
    <m/>
    <x v="21"/>
    <s v="PCOM - Precommissioning"/>
    <s v="I"/>
    <x v="0"/>
    <x v="1"/>
    <s v="Cable FROM PS5-71-IN-0004A TO PS5-71-BI-0008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394"/>
    <s v="PS5-71-BI-0009-CC01"/>
    <m/>
    <m/>
    <m/>
    <m/>
    <x v="21"/>
    <s v="PCOM - Precommissioning"/>
    <s v="I"/>
    <x v="0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95"/>
    <s v="PS5-71-BI-0009-CC02"/>
    <m/>
    <m/>
    <m/>
    <m/>
    <x v="21"/>
    <s v="PCOM - Precommissioning"/>
    <s v="I"/>
    <x v="0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96"/>
    <s v="PS5-71-BI-0009-CC03"/>
    <m/>
    <m/>
    <m/>
    <m/>
    <x v="21"/>
    <s v="PCOM - Precommissioning"/>
    <s v="I"/>
    <x v="0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97"/>
    <s v="PS5-71-BI-0009-CC04"/>
    <m/>
    <m/>
    <m/>
    <m/>
    <x v="21"/>
    <s v="PCOM - Precommissioning"/>
    <s v="I"/>
    <x v="0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98"/>
    <s v="PS5-71-BI-0010-CC01"/>
    <m/>
    <m/>
    <m/>
    <m/>
    <x v="21"/>
    <s v="PCOM - Precommissioning"/>
    <s v="I"/>
    <x v="0"/>
    <x v="1"/>
    <s v="Cable FROM PS5-71-IN-0001 TO PS5-71-BI-0010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m/>
  </r>
  <r>
    <s v="T-00069-5399"/>
    <s v="PS5-71-BI-0011A-CC01"/>
    <m/>
    <m/>
    <m/>
    <m/>
    <x v="21"/>
    <s v="PCOM - Precommissioning"/>
    <s v="I"/>
    <x v="0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0"/>
    <s v="PS5-71-BI-0011A-CC02"/>
    <m/>
    <m/>
    <m/>
    <m/>
    <x v="21"/>
    <s v="PCOM - Precommissioning"/>
    <s v="I"/>
    <x v="0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1"/>
    <s v="PS5-71-BI-0011A-CC03"/>
    <m/>
    <m/>
    <m/>
    <m/>
    <x v="21"/>
    <s v="PCOM - Precommissioning"/>
    <s v="I"/>
    <x v="0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2"/>
    <s v="PS5-71-BI-0011A-CC04"/>
    <m/>
    <m/>
    <m/>
    <m/>
    <x v="21"/>
    <s v="PCOM - Precommissioning"/>
    <s v="I"/>
    <x v="0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3"/>
    <s v="PS5-71-BI-0011A-CC05"/>
    <m/>
    <m/>
    <m/>
    <m/>
    <x v="21"/>
    <s v="PCOM - Precommissioning"/>
    <s v="I"/>
    <x v="0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4"/>
    <s v="PS5-71-BI-0011B-CC01"/>
    <m/>
    <m/>
    <m/>
    <m/>
    <x v="21"/>
    <s v="PCOM - Precommissioning"/>
    <s v="I"/>
    <x v="0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5"/>
    <s v="PS5-71-BI-0011B-CC02"/>
    <m/>
    <m/>
    <m/>
    <m/>
    <x v="21"/>
    <s v="PCOM - Precommissioning"/>
    <s v="I"/>
    <x v="0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6"/>
    <s v="PS5-71-BI-0011B-CC03"/>
    <m/>
    <m/>
    <m/>
    <m/>
    <x v="21"/>
    <s v="PCOM - Precommissioning"/>
    <s v="I"/>
    <x v="0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7"/>
    <s v="PS5-71-BI-0011B-CC04"/>
    <m/>
    <m/>
    <m/>
    <m/>
    <x v="21"/>
    <s v="PCOM - Precommissioning"/>
    <s v="I"/>
    <x v="0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08"/>
    <s v="PS5-71-BI-0011B-CC05"/>
    <m/>
    <m/>
    <m/>
    <m/>
    <x v="21"/>
    <s v="PCOM - Precommissioning"/>
    <s v="I"/>
    <x v="0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069"/>
    <m/>
    <m/>
  </r>
  <r>
    <s v="T-00069-5442"/>
    <s v="PS5-71-FCV-0019-CC01"/>
    <m/>
    <m/>
    <m/>
    <m/>
    <x v="21"/>
    <s v="PCOM - Precommissioning"/>
    <s v="I"/>
    <x v="0"/>
    <x v="1"/>
    <s v="Cable FROM PS5-71-FCV-0019-HPU TO PS5-71-FCV-0019"/>
    <s v="EACOP"/>
    <s v="CPP AGI"/>
    <m/>
    <m/>
    <s v="4"/>
    <m/>
    <m/>
    <s v="0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m/>
  </r>
  <r>
    <s v="T-00069-5449"/>
    <s v="PS5-71-FIT-0019-CJ01"/>
    <m/>
    <m/>
    <m/>
    <m/>
    <x v="21"/>
    <s v="PCOM - Precommissioning"/>
    <s v="I"/>
    <x v="0"/>
    <x v="1"/>
    <s v="Cable FROM PS5-71-BI-1110 TO PS5-71-FIT-0019"/>
    <s v="EACOP"/>
    <s v="CPP AGI"/>
    <m/>
    <m/>
    <s v="4"/>
    <m/>
    <m/>
    <s v="TZ-MID-68-WPR2-161503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s v="TZ-MID-68-WPR2-161503"/>
  </r>
  <r>
    <s v="T-00069-5452"/>
    <s v="PS5-71-FXS-0019-CJ01"/>
    <m/>
    <m/>
    <m/>
    <m/>
    <x v="21"/>
    <s v="PCOM - Precommissioning"/>
    <s v="I"/>
    <x v="0"/>
    <x v="1"/>
    <s v="Cable FROM PS5-71-BI-2114 TO PS5-71-FCV-0019"/>
    <s v="EACOP"/>
    <s v="CPP AGI"/>
    <m/>
    <m/>
    <s v="4"/>
    <m/>
    <m/>
    <s v="TZ-MID-68-WPR2-161503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s v="TZ-MID-68-WPR2-161503"/>
  </r>
  <r>
    <s v="T-00069-5455"/>
    <s v="PS5-71-FY-0019-CJ01"/>
    <m/>
    <m/>
    <m/>
    <m/>
    <x v="21"/>
    <s v="PCOM - Precommissioning"/>
    <s v="I"/>
    <x v="0"/>
    <x v="1"/>
    <s v="Cable FROM PS5-71-BI-1113 TO PS5-71-FCV-0019"/>
    <s v="EACOP"/>
    <s v="CPP AGI"/>
    <m/>
    <m/>
    <s v="4"/>
    <m/>
    <m/>
    <s v="TZ-MID-68-WPR2-161503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s v="TZ-MID-68-WPR2-161503"/>
  </r>
  <r>
    <s v="T-00069-5474"/>
    <s v="PS5-71-IN-0003-CC01"/>
    <m/>
    <m/>
    <m/>
    <m/>
    <x v="21"/>
    <s v="PCOM - Precommissioning"/>
    <s v="I"/>
    <x v="0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475"/>
    <s v="PS5-71-IN-0003-CC02"/>
    <m/>
    <m/>
    <m/>
    <m/>
    <x v="21"/>
    <s v="PCOM - Precommissioning"/>
    <s v="I"/>
    <x v="0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476"/>
    <s v="PS5-71-IN-0003-CC03"/>
    <m/>
    <m/>
    <m/>
    <m/>
    <x v="21"/>
    <s v="PCOM - Precommissioning"/>
    <s v="I"/>
    <x v="0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477"/>
    <s v="PS5-71-IN-0003-CC04"/>
    <m/>
    <m/>
    <m/>
    <m/>
    <x v="21"/>
    <s v="PCOM - Precommissioning"/>
    <s v="I"/>
    <x v="0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069"/>
    <m/>
    <m/>
  </r>
  <r>
    <s v="T-00069-5481"/>
    <s v="PS5-71-IN-0004A-CC01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2"/>
    <s v="PS5-71-IN-0004A-CC02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3"/>
    <s v="PS5-71-IN-0004A-CC03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4"/>
    <s v="PS5-71-IN-0004A-CC04"/>
    <m/>
    <m/>
    <m/>
    <m/>
    <x v="21"/>
    <s v="PCOM - Precommissioning"/>
    <s v="I"/>
    <x v="0"/>
    <x v="1"/>
    <s v="Cable FROM PS5-71-BI-0011A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5"/>
    <s v="PS5-71-IN-0004A-CC05"/>
    <m/>
    <m/>
    <m/>
    <m/>
    <x v="21"/>
    <s v="PCOM - Precommissioning"/>
    <s v="I"/>
    <x v="0"/>
    <x v="1"/>
    <s v="Cable FROM PS5-71-BI-0011A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6"/>
    <s v="PS5-71-IN-0004A-CC06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87"/>
    <s v="PS5-71-IN-0004A-CC07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0"/>
    <s v="PS5-71-IN-0004A-CC11"/>
    <m/>
    <m/>
    <m/>
    <m/>
    <x v="21"/>
    <s v="PCOM - Precommissioning"/>
    <s v="I"/>
    <x v="0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2"/>
    <s v="PS5-71-IN-0004A-CC13"/>
    <m/>
    <m/>
    <m/>
    <m/>
    <x v="21"/>
    <s v="PCOM - Precommissioning"/>
    <s v="I"/>
    <x v="0"/>
    <x v="1"/>
    <s v="Cable FROM PS5-71-IN-0004B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3"/>
    <s v="PS5-71-IN-0004B-CC01"/>
    <m/>
    <m/>
    <m/>
    <m/>
    <x v="21"/>
    <s v="PCOM - Precommissioning"/>
    <s v="I"/>
    <x v="0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4"/>
    <s v="PS5-71-IN-0004B-CC02"/>
    <m/>
    <m/>
    <m/>
    <m/>
    <x v="21"/>
    <s v="PCOM - Precommissioning"/>
    <s v="I"/>
    <x v="0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5"/>
    <s v="PS5-71-IN-0004B-CC03"/>
    <m/>
    <m/>
    <m/>
    <m/>
    <x v="21"/>
    <s v="PCOM - Precommissioning"/>
    <s v="I"/>
    <x v="0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6"/>
    <s v="PS5-71-IN-0004B-CC04"/>
    <m/>
    <m/>
    <m/>
    <m/>
    <x v="21"/>
    <s v="PCOM - Precommissioning"/>
    <s v="I"/>
    <x v="0"/>
    <x v="1"/>
    <s v="Cable FROM PS5-71-BI-0011B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7"/>
    <s v="PS5-71-IN-0004B-CC05"/>
    <m/>
    <m/>
    <m/>
    <m/>
    <x v="21"/>
    <s v="PCOM - Precommissioning"/>
    <s v="I"/>
    <x v="0"/>
    <x v="1"/>
    <s v="Cable FROM PS5-71-BI-0011B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8"/>
    <s v="PS5-71-IN-0004B-CC06"/>
    <m/>
    <m/>
    <m/>
    <m/>
    <x v="21"/>
    <s v="PCOM - Precommissioning"/>
    <s v="I"/>
    <x v="0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499"/>
    <s v="PS5-71-IN-0004B-CC07"/>
    <m/>
    <m/>
    <m/>
    <m/>
    <x v="21"/>
    <s v="PCOM - Precommissioning"/>
    <s v="I"/>
    <x v="0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502"/>
    <s v="PS5-71-IN-0004B-CC11"/>
    <m/>
    <m/>
    <m/>
    <m/>
    <x v="21"/>
    <s v="PCOM - Precommissioning"/>
    <s v="I"/>
    <x v="0"/>
    <x v="1"/>
    <s v="Cable FROM PS5-71-IN-0001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069"/>
    <m/>
    <m/>
  </r>
  <r>
    <s v="T-00069-5506"/>
    <s v="PS5-71-LIT-1201-CJ01"/>
    <m/>
    <m/>
    <m/>
    <m/>
    <x v="21"/>
    <s v="PCOM - Precommissioning"/>
    <s v="I"/>
    <x v="0"/>
    <x v="1"/>
    <s v="Cable FROM PS5-71-BI-1113 TO PS5-71-LIT-12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07"/>
    <s v="PS5-71-LIT-1202-CJ01"/>
    <m/>
    <m/>
    <m/>
    <m/>
    <x v="21"/>
    <s v="PCOM - Precommissioning"/>
    <s v="I"/>
    <x v="0"/>
    <x v="1"/>
    <s v="Cable FROM PS5-28-BI-1307 TO PS5-71-LIT-1202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16"/>
    <s v="PS5-71-MOV-0001-CC01"/>
    <m/>
    <m/>
    <m/>
    <m/>
    <x v="21"/>
    <s v="PCOM - Precommissioning"/>
    <s v="I"/>
    <x v="0"/>
    <x v="1"/>
    <s v="Cable FROM PS5-71-BI-2120 TO PS5-71-MOV-0001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17"/>
    <s v="PS5-71-MOV-0001-CC02"/>
    <m/>
    <m/>
    <m/>
    <m/>
    <x v="21"/>
    <s v="PCOM - Precommissioning"/>
    <s v="I"/>
    <x v="0"/>
    <x v="1"/>
    <s v="Cable FROM PS5-71-BI-2124 TO PS5-71-MOV-0001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18"/>
    <s v="PS5-71-MOV-0002-CC01"/>
    <m/>
    <m/>
    <m/>
    <m/>
    <x v="21"/>
    <s v="PCOM - Precommissioning"/>
    <s v="I"/>
    <x v="0"/>
    <x v="1"/>
    <s v="Cable FROM PS5-71-BI-2120 TO PS5-71-MOV-0002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19"/>
    <s v="PS5-71-MOV-0002-CC02"/>
    <m/>
    <m/>
    <m/>
    <m/>
    <x v="21"/>
    <s v="PCOM - Precommissioning"/>
    <s v="I"/>
    <x v="0"/>
    <x v="1"/>
    <s v="Cable FROM PS5-71-BI-2124 TO PS5-71-MOV-0002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20"/>
    <s v="PS5-71-MOV-0003-CC01"/>
    <m/>
    <m/>
    <m/>
    <m/>
    <x v="21"/>
    <s v="PCOM - Precommissioning"/>
    <s v="I"/>
    <x v="0"/>
    <x v="1"/>
    <s v="Cable FROM PS5-71-BI-2121 TO PS5-71-MOV-0003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21"/>
    <s v="PS5-71-MOV-0003-CC02"/>
    <m/>
    <m/>
    <m/>
    <m/>
    <x v="21"/>
    <s v="PCOM - Precommissioning"/>
    <s v="I"/>
    <x v="0"/>
    <x v="1"/>
    <s v="Cable FROM PS5-71-BI-2125 TO PS5-71-MOV-0003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22"/>
    <s v="PS5-71-MOV-0004-CC01"/>
    <m/>
    <m/>
    <m/>
    <m/>
    <x v="21"/>
    <s v="PCOM - Precommissioning"/>
    <s v="I"/>
    <x v="0"/>
    <x v="1"/>
    <s v="Cable FROM PS5-71-BI-2121 TO PS5-71-MOV-0004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23"/>
    <s v="PS5-71-MOV-0004-CC02"/>
    <m/>
    <m/>
    <m/>
    <m/>
    <x v="21"/>
    <s v="PCOM - Precommissioning"/>
    <s v="I"/>
    <x v="0"/>
    <x v="1"/>
    <s v="Cable FROM PS5-71-BI-2125 TO PS5-71-MOV-0004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24"/>
    <s v="PS5-71-MOV-0007-CC01"/>
    <m/>
    <m/>
    <m/>
    <m/>
    <x v="21"/>
    <s v="PCOM - Precommissioning"/>
    <s v="I"/>
    <x v="0"/>
    <x v="1"/>
    <s v="Cable FROM PS5-71-BI-2118 TO PS5-71-MOV-0007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25"/>
    <s v="PS5-71-MOV-0007-CC02"/>
    <m/>
    <m/>
    <m/>
    <m/>
    <x v="21"/>
    <s v="PCOM - Precommissioning"/>
    <s v="I"/>
    <x v="0"/>
    <x v="1"/>
    <s v="Cable FROM PS5-71-BI-2122 TO PS5-71-MOV-0007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26"/>
    <s v="PS5-71-MOV-0008-CC01"/>
    <m/>
    <m/>
    <m/>
    <m/>
    <x v="21"/>
    <s v="PCOM - Precommissioning"/>
    <s v="I"/>
    <x v="0"/>
    <x v="1"/>
    <s v="Cable FROM PS5-71-BI-2118 TO PS5-71-MOV-0008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27"/>
    <s v="PS5-71-MOV-0008-CC02"/>
    <m/>
    <m/>
    <m/>
    <m/>
    <x v="21"/>
    <s v="PCOM - Precommissioning"/>
    <s v="I"/>
    <x v="0"/>
    <x v="1"/>
    <s v="Cable FROM PS5-71-BI-2122 TO PS5-71-MOV-0008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28"/>
    <s v="PS5-71-MOV-0009-CC01"/>
    <m/>
    <m/>
    <m/>
    <m/>
    <x v="21"/>
    <s v="PCOM - Precommissioning"/>
    <s v="I"/>
    <x v="0"/>
    <x v="1"/>
    <s v="Cable FROM PS5-71-BI-2119 TO PS5-71-MOV-0009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29"/>
    <s v="PS5-71-MOV-0009-CC02"/>
    <m/>
    <m/>
    <m/>
    <m/>
    <x v="21"/>
    <s v="PCOM - Precommissioning"/>
    <s v="I"/>
    <x v="0"/>
    <x v="1"/>
    <s v="Cable FROM PS5-71-BI-2123 TO PS5-71-MOV-0009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069"/>
    <m/>
    <s v="TZ-MID-68-WPR2-161503"/>
  </r>
  <r>
    <s v="T-00069-5530"/>
    <s v="PS5-71-MOV-0010-CC01"/>
    <m/>
    <m/>
    <m/>
    <m/>
    <x v="21"/>
    <s v="PCOM - Precommissioning"/>
    <s v="I"/>
    <x v="0"/>
    <x v="1"/>
    <s v="Cable FROM PS5-71-BI-2119 TO PS5-71-MOV-0010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31"/>
    <s v="PS5-71-MOV-0010-CC02"/>
    <m/>
    <m/>
    <m/>
    <m/>
    <x v="21"/>
    <s v="PCOM - Precommissioning"/>
    <s v="I"/>
    <x v="0"/>
    <x v="1"/>
    <s v="Cable FROM PS5-71-BI-2123 TO PS5-71-MOV-0010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069"/>
    <m/>
    <s v="TZ-MID-68-WPR2-161503"/>
  </r>
  <r>
    <s v="T-00069-5535"/>
    <s v="PS5-71-PIT-0001-CJ01"/>
    <m/>
    <m/>
    <m/>
    <m/>
    <x v="21"/>
    <s v="PCOM - Precommissioning"/>
    <s v="I"/>
    <x v="0"/>
    <x v="1"/>
    <s v="Cable FROM PS5-28-BI-1307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38"/>
    <s v="PS5-71-PIT-0019A-CJ01"/>
    <m/>
    <m/>
    <m/>
    <m/>
    <x v="21"/>
    <s v="PCOM - Precommissioning"/>
    <s v="I"/>
    <x v="0"/>
    <x v="1"/>
    <s v="Cable FROM PS5-71-BI-1113 TO PS5-71-FCV-0019"/>
    <s v="EACOP"/>
    <s v="CPP AGI"/>
    <m/>
    <m/>
    <s v="4"/>
    <m/>
    <m/>
    <s v="TZ-MID-68-WPR2-161503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069"/>
    <m/>
    <s v="TZ-MID-68-WPR2-161503"/>
  </r>
  <r>
    <s v="T-00069-5545"/>
    <s v="PS5-71-PIT-0091-CJ01"/>
    <m/>
    <m/>
    <m/>
    <m/>
    <x v="21"/>
    <s v="PCOM - Precommissioning"/>
    <s v="I"/>
    <x v="0"/>
    <x v="1"/>
    <s v="Cable FROM PS5-71-BI-1113 TO PS5-71-XV-0091"/>
    <s v="EACOP"/>
    <s v="CPP AGI"/>
    <m/>
    <m/>
    <s v="4"/>
    <m/>
    <m/>
    <s v="TZ-MID-68-WPR2-161503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TZ-MID-68-WPR2-161503"/>
  </r>
  <r>
    <s v="T-00069-5546"/>
    <s v="PS5-71-PIT-0092-CJ01"/>
    <m/>
    <m/>
    <m/>
    <m/>
    <x v="21"/>
    <s v="PCOM - Precommissioning"/>
    <s v="I"/>
    <x v="0"/>
    <x v="1"/>
    <s v="Cable FROM PS5-71-BI-1113 TO PS5-71-XV-0092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58"/>
    <s v="PS5-71-SDV-0001-CC01"/>
    <m/>
    <m/>
    <m/>
    <m/>
    <x v="21"/>
    <s v="PCOM - Precommissioning"/>
    <s v="I"/>
    <x v="0"/>
    <x v="1"/>
    <s v="Cable FROM PS5-25-BI-2315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59"/>
    <s v="PS5-71-SDV-0001-CC02"/>
    <m/>
    <m/>
    <m/>
    <m/>
    <x v="21"/>
    <s v="PCOM - Precommissioning"/>
    <s v="I"/>
    <x v="0"/>
    <x v="1"/>
    <s v="Cable FROM PS5-71-SDV-0001-HPU TO PS5-71-SDV-0001"/>
    <s v="EACOP"/>
    <s v="CPP AGI"/>
    <m/>
    <m/>
    <s v="4"/>
    <m/>
    <m/>
    <s v="UT-MID-60-NBV3-160008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UT-MID-60-NBV3-160008"/>
  </r>
  <r>
    <s v="T-00069-5566"/>
    <s v="PS5-71-SXS-0001-CJ01"/>
    <m/>
    <m/>
    <m/>
    <m/>
    <x v="21"/>
    <s v="PCOM - Precommissioning"/>
    <s v="I"/>
    <x v="0"/>
    <x v="1"/>
    <s v="Cable FROM PS5-25-BI-2312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70"/>
    <s v="PS5-71-SY-0001-CJ01"/>
    <m/>
    <m/>
    <m/>
    <m/>
    <x v="21"/>
    <s v="PCOM - Precommissioning"/>
    <s v="I"/>
    <x v="0"/>
    <x v="1"/>
    <s v="Cable FROM PS5-25-BI-2316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92"/>
    <s v="PS5-71-XV-0091-CC01"/>
    <m/>
    <m/>
    <m/>
    <m/>
    <x v="21"/>
    <s v="PCOM - Precommissioning"/>
    <s v="I"/>
    <x v="0"/>
    <x v="1"/>
    <s v="Cable FROM PS5-71-BI-2113 TO PS5-71-XV-0091"/>
    <s v="EACOP"/>
    <s v="CPP AGI"/>
    <m/>
    <m/>
    <s v="4"/>
    <m/>
    <m/>
    <s v="TZ-MID-68-WPR2-161503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TZ-MID-68-WPR2-161503"/>
  </r>
  <r>
    <s v="T-00069-5593"/>
    <s v="PS5-71-XV-0091-CC02"/>
    <m/>
    <m/>
    <m/>
    <m/>
    <x v="21"/>
    <s v="PCOM - Precommissioning"/>
    <s v="I"/>
    <x v="0"/>
    <x v="1"/>
    <s v="Cable FROM PS5-71-XV-0091-HPU TO PS5-71-XV-0091"/>
    <s v="EACOP"/>
    <s v="CPP AGI"/>
    <m/>
    <m/>
    <s v="4"/>
    <m/>
    <m/>
    <s v="UT-MID-60-NBV3-160008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UT-MID-60-NBV3-160008"/>
  </r>
  <r>
    <s v="T-00069-5594"/>
    <s v="PS5-71-XV-0092-CC01"/>
    <m/>
    <m/>
    <m/>
    <m/>
    <x v="21"/>
    <s v="PCOM - Precommissioning"/>
    <s v="I"/>
    <x v="0"/>
    <x v="1"/>
    <s v="Cable FROM PS5-71-BI-2113 TO PS5-71-XV-0092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595"/>
    <s v="PS5-71-XV-0092-CC02"/>
    <m/>
    <m/>
    <m/>
    <m/>
    <x v="21"/>
    <s v="PCOM - Precommissioning"/>
    <s v="I"/>
    <x v="0"/>
    <x v="1"/>
    <s v="Cable FROM PS5-71-XV-0092-HPU TO PS5-71-XV-0092"/>
    <s v="EACOP"/>
    <s v="CPP AGI"/>
    <m/>
    <m/>
    <s v="4"/>
    <m/>
    <m/>
    <s v="UT-MID-60-NBV3-160008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UT-MID-60-NBV3-160008"/>
  </r>
  <r>
    <s v="T-00069-5598"/>
    <s v="PS5-71-XXS-0091-CJ01"/>
    <m/>
    <m/>
    <m/>
    <m/>
    <x v="21"/>
    <s v="PCOM - Precommissioning"/>
    <s v="I"/>
    <x v="0"/>
    <x v="1"/>
    <s v="Cable FROM PS5-71-BI-2114 TO PS5-71-XV-0091"/>
    <s v="EACOP"/>
    <s v="CPP AGI"/>
    <m/>
    <m/>
    <s v="4"/>
    <m/>
    <m/>
    <s v="TZ-MID-68-WPR2-161503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TZ-MID-68-WPR2-161503"/>
  </r>
  <r>
    <s v="T-00069-5599"/>
    <s v="PS5-71-XXS-0092-CJ01"/>
    <m/>
    <m/>
    <m/>
    <m/>
    <x v="21"/>
    <s v="PCOM - Precommissioning"/>
    <s v="I"/>
    <x v="0"/>
    <x v="1"/>
    <s v="Cable FROM PS5-71-BI-2114 TO PS5-71-XV-0092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5602"/>
    <s v="PS5-71-XY-0091-CJ01"/>
    <m/>
    <m/>
    <m/>
    <m/>
    <x v="21"/>
    <s v="PCOM - Precommissioning"/>
    <s v="I"/>
    <x v="0"/>
    <x v="1"/>
    <s v="Cable FROM PS5-71-BI-2115 TO PS5-71-XV-0091"/>
    <s v="EACOP"/>
    <s v="CPP AGI"/>
    <m/>
    <m/>
    <s v="4"/>
    <m/>
    <m/>
    <s v="TZ-MID-68-WPR2-161503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069"/>
    <m/>
    <s v="TZ-MID-68-WPR2-161503"/>
  </r>
  <r>
    <s v="T-00069-5603"/>
    <s v="PS5-71-XY-0092-CJ01"/>
    <m/>
    <m/>
    <m/>
    <m/>
    <x v="21"/>
    <s v="PCOM - Precommissioning"/>
    <s v="I"/>
    <x v="0"/>
    <x v="1"/>
    <s v="Cable FROM PS5-71-BI-2115 TO PS5-71-XV-0092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069"/>
    <m/>
    <s v="TZ-MID-68-WPR2-161503"/>
  </r>
  <r>
    <s v="T-00069-9408"/>
    <s v="PS5-03-RMAC-1409-CJ01"/>
    <m/>
    <m/>
    <m/>
    <m/>
    <x v="21"/>
    <s v="PCOM - Precommissioning"/>
    <s v="I"/>
    <x v="0"/>
    <x v="1"/>
    <s v="Cable FROM PS5-03-SEA-0003 TO PS5-03-RMAC-1409"/>
    <s v="EACOP"/>
    <s v="CPP AGI"/>
    <m/>
    <m/>
    <s v="4"/>
    <m/>
    <m/>
    <m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069"/>
    <m/>
    <m/>
  </r>
  <r>
    <s v="T-00071-0027"/>
    <s v="PS5-60-IE-0004-CX03"/>
    <m/>
    <m/>
    <m/>
    <m/>
    <x v="22"/>
    <s v="PCOM - Precommissioning"/>
    <s v="I"/>
    <x v="0"/>
    <x v="1"/>
    <s v="Cable FROM PS5-04-PNC-0001 TO PS5-60-IE-0004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071"/>
    <m/>
    <s v="TZ-MID-68-SSF1-161401"/>
  </r>
  <r>
    <s v="T-00071-0028"/>
    <s v="PS5-60-IE-0004-CX04"/>
    <m/>
    <m/>
    <m/>
    <m/>
    <x v="22"/>
    <s v="PCOM - Precommissioning"/>
    <s v="I"/>
    <x v="0"/>
    <x v="1"/>
    <s v="Cable FROM PS5-04-PNC-0001 TO PS5-60-IE-0004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071"/>
    <m/>
    <s v="TZ-MID-68-SSF1-161401"/>
  </r>
  <r>
    <s v="T-00071-0029"/>
    <s v="PS5-60-LA-0003-CX01"/>
    <m/>
    <m/>
    <m/>
    <m/>
    <x v="22"/>
    <s v="PCOM - Precommissioning"/>
    <s v="I"/>
    <x v="0"/>
    <x v="1"/>
    <s v="Cable FROM PS5-04-PNC-0001 TO PS5-60-LA-0003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071"/>
    <m/>
    <s v="TZ-MID-68-SSF1-161401"/>
  </r>
  <r>
    <s v="T-00071-0090"/>
    <s v="PS5-60-LA-0003-CX02"/>
    <m/>
    <m/>
    <m/>
    <m/>
    <x v="22"/>
    <s v="PCOM - Precommissioning"/>
    <s v="I"/>
    <x v="0"/>
    <x v="1"/>
    <s v="Cable FROM PS5-04-PNC-0001 TO PS5-60-LA-0003"/>
    <s v="EACOP"/>
    <s v="CPP AGI"/>
    <m/>
    <m/>
    <s v="1"/>
    <m/>
    <s v="1"/>
    <m/>
    <s v="PS5 - TZA - PS5 - Tanzania"/>
    <s v="PS5-60-22 - Power Gen Master UCP"/>
    <m/>
    <s v="PS5-60-22"/>
    <x v="0"/>
    <x v="0"/>
    <s v="Optical Fibre Cable"/>
    <s v="I"/>
    <x v="0"/>
    <s v="PS5 - Milestone B"/>
    <s v="TM-00071"/>
    <m/>
    <m/>
  </r>
  <r>
    <s v="T-00072-0169"/>
    <s v="PS5-60-TW-0007C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072"/>
    <m/>
    <s v="TZ-MID-68-WPR2-135106"/>
  </r>
  <r>
    <s v="T-00072-0173"/>
    <s v="PS5-60-TW-0007B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072"/>
    <m/>
    <s v="TZ-MID-68-WPR2-135103"/>
  </r>
  <r>
    <s v="T-00072-0174"/>
    <s v="PS5-60-TW-0006C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072"/>
    <m/>
    <s v="TZ-MID-68-WPR2-135106"/>
  </r>
  <r>
    <s v="T-00072-0175"/>
    <s v="PS5-60-TW-0008A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072"/>
    <m/>
    <s v="TZ-MID-68-WPR2-135100"/>
  </r>
  <r>
    <s v="T-00072-0176"/>
    <s v="PS5-60-TW-0007D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072"/>
    <m/>
    <s v="TZ-MID-68-WPR2-135109"/>
  </r>
  <r>
    <s v="T-00072-0177"/>
    <s v="PS5-60-TW-0008C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072"/>
    <m/>
    <s v="TZ-MID-68-WPR2-135106"/>
  </r>
  <r>
    <s v="T-00072-0182"/>
    <s v="PS5-60-TW-0007A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072"/>
    <m/>
    <s v="TZ-MID-68-WPR2-135100"/>
  </r>
  <r>
    <s v="T-00072-0183"/>
    <s v="PS5-60-TW-0006D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072"/>
    <m/>
    <s v="TZ-MID-68-WPR2-135109"/>
  </r>
  <r>
    <s v="T-00072-0184"/>
    <s v="PS5-60-TW-0008B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072"/>
    <m/>
    <s v="TZ-MID-68-WPR2-135103"/>
  </r>
  <r>
    <s v="T-00072-0186"/>
    <s v="PS5-60-TW-0008D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072"/>
    <m/>
    <s v="TZ-MID-68-WPR2-135109"/>
  </r>
  <r>
    <s v="T-00072-0194"/>
    <s v="PS5-60-TW-0006B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072"/>
    <m/>
    <s v="TZ-MID-68-WPR2-135103"/>
  </r>
  <r>
    <s v="T-00072-0198"/>
    <s v="PS5-60-TW-0006A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072"/>
    <m/>
    <s v="TZ-MID-68-WPR2-135100"/>
  </r>
  <r>
    <s v="T-00072-0207"/>
    <s v="PS5-60-TW-0005A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072"/>
    <m/>
    <s v="TZ-MID-68-WPR2-135100"/>
  </r>
  <r>
    <s v="T-00072-0208"/>
    <s v="PS5-60-TW-0005B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072"/>
    <m/>
    <s v="TZ-MID-68-WPR2-135103"/>
  </r>
  <r>
    <s v="T-00072-0209"/>
    <s v="PS5-60-TW-0005C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072"/>
    <m/>
    <s v="TZ-MID-68-WPR2-135106"/>
  </r>
  <r>
    <s v="T-00072-0210"/>
    <s v="PS5-60-TW-0005D"/>
    <m/>
    <m/>
    <m/>
    <m/>
    <x v="23"/>
    <s v="PCOM - Precommissioning"/>
    <s v="I"/>
    <x v="0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072"/>
    <m/>
    <s v="TZ-MID-68-WPR2-135109"/>
  </r>
  <r>
    <s v="T-00075-0200"/>
    <s v="PS5-60-TG-0005C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Local Gauge/Indicator"/>
    <s v="I"/>
    <x v="0"/>
    <s v="PS5 - Milestone D"/>
    <s v="TM-00075"/>
    <m/>
    <s v="TZ-MID-68-WPR2-135106"/>
  </r>
  <r>
    <s v="T-00075-0205"/>
    <s v="PS5-60-TG-0008D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Local Gauge/Indicator"/>
    <s v="I"/>
    <x v="0"/>
    <s v="PS5 - Milestone D"/>
    <s v="TM-00075"/>
    <m/>
    <s v="TZ-MID-68-WPR2-135109"/>
  </r>
  <r>
    <s v="T-00075-0209"/>
    <s v="PS5-71-PG-0050B"/>
    <m/>
    <m/>
    <m/>
    <m/>
    <x v="24"/>
    <s v="PCOM - Precommissioning"/>
    <s v="I"/>
    <x v="0"/>
    <x v="1"/>
    <s v="Pressure Gauge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Local Gauge/Indicator"/>
    <s v="I"/>
    <x v="0"/>
    <s v="PS5 - Milestone B"/>
    <s v="TM-00075"/>
    <m/>
    <s v="TZ-MID-68-WPR2-135008"/>
  </r>
  <r>
    <s v="T-00075-0210"/>
    <s v="PS5-71-PG-0050A"/>
    <m/>
    <m/>
    <m/>
    <m/>
    <x v="24"/>
    <s v="PCOM - Precommissioning"/>
    <s v="I"/>
    <x v="0"/>
    <x v="1"/>
    <s v="Pressure Gauge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Local Gauge/Indicator"/>
    <s v="I"/>
    <x v="0"/>
    <s v="PS5 - Milestone B"/>
    <s v="TM-00075"/>
    <m/>
    <s v="TZ-MID-68-WPR2-135008"/>
  </r>
  <r>
    <s v="T-00075-0211"/>
    <s v="PS5-60-TG-0005A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Local Gauge/Indicator"/>
    <s v="I"/>
    <x v="0"/>
    <s v="PS5 - Milestone B"/>
    <s v="TM-00075"/>
    <m/>
    <s v="TZ-MID-68-WPR2-135100"/>
  </r>
  <r>
    <s v="T-00075-0218"/>
    <s v="PS5-60-TG-0008A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Local Gauge/Indicator"/>
    <s v="I"/>
    <x v="0"/>
    <s v="PS5 - Milestone B"/>
    <s v="TM-00075"/>
    <m/>
    <s v="TZ-MID-68-WPR2-135100"/>
  </r>
  <r>
    <s v="T-00075-0224"/>
    <s v="PS5-60-TG-0008C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Local Gauge/Indicator"/>
    <s v="I"/>
    <x v="0"/>
    <s v="PS5 - Milestone D"/>
    <s v="TM-00075"/>
    <m/>
    <s v="TZ-MID-68-WPR2-135106"/>
  </r>
  <r>
    <s v="T-00075-0229"/>
    <s v="PS5-60-TG-0007D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Local Gauge/Indicator"/>
    <s v="I"/>
    <x v="0"/>
    <s v="PS5 - Milestone D"/>
    <s v="TM-00075"/>
    <m/>
    <s v="TZ-MID-68-WPR2-135109"/>
  </r>
  <r>
    <s v="T-00075-0239"/>
    <s v="PS5-60-TG-0007A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Local Gauge/Indicator"/>
    <s v="I"/>
    <x v="0"/>
    <s v="PS5 - Milestone B"/>
    <s v="TM-00075"/>
    <m/>
    <s v="TZ-MID-68-WPR2-135100"/>
  </r>
  <r>
    <s v="T-00075-0241"/>
    <s v="PS5-71-PDG-0049A"/>
    <m/>
    <m/>
    <m/>
    <m/>
    <x v="24"/>
    <s v="PCOM - Precommissioning"/>
    <s v="I"/>
    <x v="0"/>
    <x v="1"/>
    <s v="Diff Press Gauge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Local Gauge/Indicator"/>
    <s v="I"/>
    <x v="0"/>
    <s v="PS5 - Milestone B"/>
    <s v="TM-00075"/>
    <m/>
    <s v="TZ-MID-68-WPR2-135008"/>
  </r>
  <r>
    <s v="T-00075-0244"/>
    <s v="PS5-60-TG-0007C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Local Gauge/Indicator"/>
    <s v="I"/>
    <x v="0"/>
    <s v="PS5 - Milestone D"/>
    <s v="TM-00075"/>
    <m/>
    <s v="TZ-MID-68-WPR2-135106"/>
  </r>
  <r>
    <s v="T-00075-0251"/>
    <s v="PS5-60-TG-0006D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Local Gauge/Indicator"/>
    <s v="I"/>
    <x v="0"/>
    <s v="PS5 - Milestone D"/>
    <s v="TM-00075"/>
    <m/>
    <s v="TZ-MID-68-WPR2-135109"/>
  </r>
  <r>
    <s v="T-00075-0255"/>
    <s v="PS5-71-PDG-0049B"/>
    <m/>
    <m/>
    <m/>
    <m/>
    <x v="24"/>
    <s v="PCOM - Precommissioning"/>
    <s v="I"/>
    <x v="0"/>
    <x v="1"/>
    <s v="Diff Press Gauge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Local Gauge/Indicator"/>
    <s v="I"/>
    <x v="0"/>
    <s v="PS5 - Milestone B"/>
    <s v="TM-00075"/>
    <m/>
    <s v="TZ-MID-68-WPR2-135008"/>
  </r>
  <r>
    <s v="T-00075-0264"/>
    <s v="PS5-60-TG-0005D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Local Gauge/Indicator"/>
    <s v="I"/>
    <x v="0"/>
    <s v="PS5 - Milestone D"/>
    <s v="TM-00075"/>
    <m/>
    <s v="TZ-MID-68-WPR2-135109"/>
  </r>
  <r>
    <s v="T-00075-0265"/>
    <s v="PS5-60-TG-0006A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Local Gauge/Indicator"/>
    <s v="I"/>
    <x v="0"/>
    <s v="PS5 - Milestone B"/>
    <s v="TM-00075"/>
    <m/>
    <s v="TZ-MID-68-WPR2-135100"/>
  </r>
  <r>
    <s v="T-00075-0266"/>
    <s v="PS5-60-TG-0006C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Local Gauge/Indicator"/>
    <s v="I"/>
    <x v="0"/>
    <s v="PS5 - Milestone D"/>
    <s v="TM-00075"/>
    <m/>
    <s v="TZ-MID-68-WPR2-135106"/>
  </r>
  <r>
    <s v="T-00075-0270"/>
    <s v="PS5-60-TG-0006B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Local Gauge/Indicator"/>
    <s v="I"/>
    <x v="0"/>
    <s v="PS5 - Milestone B"/>
    <s v="TM-00075"/>
    <m/>
    <s v="TZ-MID-68-WPR2-135103"/>
  </r>
  <r>
    <s v="T-00075-0271"/>
    <s v="PS5-60-TG-0005B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Local Gauge/Indicator"/>
    <s v="I"/>
    <x v="0"/>
    <s v="PS5 - Milestone B"/>
    <s v="TM-00075"/>
    <m/>
    <s v="TZ-MID-68-WPR2-135103"/>
  </r>
  <r>
    <s v="T-00075-0272"/>
    <s v="PS5-60-TG-0007B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Local Gauge/Indicator"/>
    <s v="I"/>
    <x v="0"/>
    <s v="PS5 - Milestone B"/>
    <s v="TM-00075"/>
    <m/>
    <s v="TZ-MID-68-WPR2-135103"/>
  </r>
  <r>
    <s v="T-00075-0273"/>
    <s v="PS5-60-TG-0008B"/>
    <m/>
    <m/>
    <m/>
    <m/>
    <x v="24"/>
    <s v="PCOM - Precommissioning"/>
    <s v="I"/>
    <x v="0"/>
    <x v="1"/>
    <s v="Temperature Gauge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Local Gauge/Indicator"/>
    <s v="I"/>
    <x v="0"/>
    <s v="PS5 - Milestone B"/>
    <s v="TM-00075"/>
    <m/>
    <s v="TZ-MID-68-WPR2-135103"/>
  </r>
  <r>
    <s v="T-00077-0238"/>
    <s v="PS5-71-XV-0091"/>
    <m/>
    <m/>
    <m/>
    <m/>
    <x v="25"/>
    <s v="PCOM - Precommissioning"/>
    <s v="I"/>
    <x v="0"/>
    <x v="1"/>
    <s v="On / Off Valve"/>
    <s v="EACOP"/>
    <s v="CPP AGI"/>
    <m/>
    <m/>
    <s v="1"/>
    <m/>
    <m/>
    <s v="TZ-MID-68-WPR2-135205"/>
    <s v="PS5 - TZA - PS5 - Tanzania"/>
    <s v="PS5-71-18 - Diesel Separator Module"/>
    <m/>
    <s v="PS5-71-18"/>
    <x v="1"/>
    <x v="0"/>
    <s v="Actuated on/off Valve-Pneumatic/Hydraulic Type"/>
    <s v="I"/>
    <x v="0"/>
    <s v="PS5 - Milestone F"/>
    <s v="TM-00077"/>
    <m/>
    <s v="TZ-MID-68-WPR2-135205"/>
  </r>
  <r>
    <s v="T-00077-0254"/>
    <s v="PS5-71-XV-0092"/>
    <m/>
    <m/>
    <m/>
    <m/>
    <x v="25"/>
    <s v="PCOM - Precommissioning"/>
    <s v="I"/>
    <x v="0"/>
    <x v="1"/>
    <s v="On / Off Valve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Actuated on/off Valve-Pneumatic/Hydraulic Type"/>
    <s v="I"/>
    <x v="0"/>
    <s v="PS5 - Milestone B"/>
    <s v="TM-00077"/>
    <m/>
    <s v="TZ-MID-68-WPR2-135205"/>
  </r>
  <r>
    <s v="T-00077-0256"/>
    <s v="PS5-71-SDV-0001"/>
    <m/>
    <m/>
    <m/>
    <m/>
    <x v="25"/>
    <s v="PCOM - Precommissioning"/>
    <s v="I"/>
    <x v="0"/>
    <x v="1"/>
    <s v="Shutdown Valve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Actuated on/off Valve-Pneumatic/Hydraulic Type"/>
    <s v="I"/>
    <x v="0"/>
    <s v="PS5 - Milestone B"/>
    <s v="TM-00077"/>
    <m/>
    <s v="TZ-MID-68-WPR2-135205"/>
  </r>
  <r>
    <s v="T-00078-0140"/>
    <s v="PS5-71-MOV-0007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38"/>
    <s v="PS5 - TZA - PS5 - Tanzania"/>
    <s v="PS5-71-08 - CFO Pre-Pressure Modules"/>
    <m/>
    <s v="PS5-71-08"/>
    <x v="1"/>
    <x v="0"/>
    <s v="Actuated on/off Valve"/>
    <s v="I"/>
    <x v="0"/>
    <s v="PS5 - Milestone H"/>
    <s v="TM-00078"/>
    <m/>
    <s v="TZ-MID-68-WPR2-135138"/>
  </r>
  <r>
    <s v="T-00078-0143"/>
    <s v="PS5-71-MOV-0010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38"/>
    <s v="PS5 - TZA - PS5 - Tanzania"/>
    <s v="PS5-71-22 - Diesel Fuel Pre Pressure Module"/>
    <m/>
    <s v="PS5-71-22"/>
    <x v="0"/>
    <x v="0"/>
    <s v="Actuated on/off Valve"/>
    <s v="I"/>
    <x v="0"/>
    <s v="PS5 - Milestone B"/>
    <s v="TM-00078"/>
    <m/>
    <s v="TZ-MID-68-WPR2-135138"/>
  </r>
  <r>
    <s v="T-00078-0144"/>
    <s v="PS5-71-MOV-0003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23"/>
    <s v="PS5 - TZA - PS5 - Tanzania"/>
    <s v="PS5-71-08 - CFO Pre-Pressure Modules"/>
    <m/>
    <s v="PS5-71-08"/>
    <x v="1"/>
    <x v="0"/>
    <s v="Actuated on/off Valve"/>
    <s v="I"/>
    <x v="0"/>
    <s v="PS5 - Milestone H"/>
    <s v="TM-00078"/>
    <m/>
    <s v="TZ-MID-68-WPR2-135123"/>
  </r>
  <r>
    <s v="T-00078-0147"/>
    <s v="PS5-71-MOV-0004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23"/>
    <s v="PS5 - TZA - PS5 - Tanzania"/>
    <s v="PS5-71-22 - Diesel Fuel Pre Pressure Module"/>
    <m/>
    <s v="PS5-71-22"/>
    <x v="0"/>
    <x v="0"/>
    <s v="Actuated on/off Valve"/>
    <s v="I"/>
    <x v="0"/>
    <s v="PS5 - Milestone B"/>
    <s v="TM-00078"/>
    <m/>
    <s v="TZ-MID-68-WPR2-135123"/>
  </r>
  <r>
    <s v="T-00078-0149"/>
    <s v="PS5-71-MOV-0001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23"/>
    <s v="PS5 - TZA - PS5 - Tanzania"/>
    <s v="PS5-71-08 - CFO Pre-Pressure Modules"/>
    <m/>
    <s v="PS5-71-08"/>
    <x v="1"/>
    <x v="0"/>
    <s v="Actuated on/off Valve"/>
    <s v="I"/>
    <x v="0"/>
    <s v="PS5 - Milestone H"/>
    <s v="TM-00078"/>
    <m/>
    <s v="TZ-MID-68-WPR2-135123"/>
  </r>
  <r>
    <s v="T-00078-0151"/>
    <s v="PS5-71-MOV-0002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23"/>
    <s v="PS5 - TZA - PS5 - Tanzania"/>
    <s v="PS5-71-22 - Diesel Fuel Pre Pressure Module"/>
    <m/>
    <s v="PS5-71-22"/>
    <x v="0"/>
    <x v="0"/>
    <s v="Actuated on/off Valve"/>
    <s v="I"/>
    <x v="0"/>
    <s v="PS5 - Milestone B"/>
    <s v="TM-00078"/>
    <m/>
    <s v="TZ-MID-68-WPR2-135123"/>
  </r>
  <r>
    <s v="T-00078-0152"/>
    <s v="PS5-71-MOV-0008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38"/>
    <s v="PS5 - TZA - PS5 - Tanzania"/>
    <s v="PS5-71-22 - Diesel Fuel Pre Pressure Module"/>
    <m/>
    <s v="PS5-71-22"/>
    <x v="0"/>
    <x v="0"/>
    <s v="Actuated on/off Valve"/>
    <s v="I"/>
    <x v="0"/>
    <s v="PS5 - Milestone B"/>
    <s v="TM-00078"/>
    <m/>
    <s v="TZ-MID-68-WPR2-135138"/>
  </r>
  <r>
    <s v="T-00078-0153"/>
    <s v="PS5-71-MOV-0009"/>
    <m/>
    <m/>
    <m/>
    <m/>
    <x v="26"/>
    <s v="PCOM - Precommissioning"/>
    <s v="I"/>
    <x v="0"/>
    <x v="1"/>
    <s v="Motor Operated Valve"/>
    <s v="EACOP"/>
    <s v="CPP AGI"/>
    <m/>
    <m/>
    <s v="1"/>
    <m/>
    <m/>
    <s v="TZ-MID-68-WPR2-135138"/>
    <s v="PS5 - TZA - PS5 - Tanzania"/>
    <s v="PS5-71-08 - CFO Pre-Pressure Modules"/>
    <m/>
    <s v="PS5-71-08"/>
    <x v="1"/>
    <x v="0"/>
    <s v="Actuated on/off Valve"/>
    <s v="I"/>
    <x v="0"/>
    <s v="PS5 - Milestone H"/>
    <s v="TM-00078"/>
    <m/>
    <s v="TZ-MID-68-WPR2-135138"/>
  </r>
  <r>
    <s v="T-00079-0069"/>
    <s v="PS5-71-FCV-0019"/>
    <m/>
    <m/>
    <m/>
    <m/>
    <x v="27"/>
    <s v="PCOM - Precommissioning"/>
    <s v="I"/>
    <x v="0"/>
    <x v="1"/>
    <s v="Flow Control Valve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Control Valve-Pneumatic/Hydraulic Type"/>
    <s v="I"/>
    <x v="0"/>
    <s v="PS5 - Milestone B"/>
    <s v="TM-00079"/>
    <m/>
    <s v="TZ-MID-68-WPR2-135008"/>
  </r>
  <r>
    <s v="T-00082-0460"/>
    <s v="PS5-01-BI-1117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7:55:15"/>
    <s v="PS5-91-01"/>
    <x v="0"/>
    <x v="0"/>
    <s v="Junction and Marshalling Box"/>
    <s v="I"/>
    <x v="1"/>
    <s v="PS5 - Milestone A"/>
    <s v="TM-00082"/>
    <s v="Gawad, Mohamed"/>
    <m/>
  </r>
  <r>
    <s v="T-00082-0461"/>
    <s v="PS5-01-BI-1118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7:55:51"/>
    <s v="PS5-91-01"/>
    <x v="0"/>
    <x v="0"/>
    <s v="Junction and Marshalling Box"/>
    <s v="I"/>
    <x v="1"/>
    <s v="PS5 - Milestone A"/>
    <s v="TM-00082"/>
    <s v="Gawad, Mohamed"/>
    <m/>
  </r>
  <r>
    <s v="T-00082-0463"/>
    <s v="PS5-01-BI-151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7:57:04"/>
    <s v="PS5-91-01"/>
    <x v="0"/>
    <x v="0"/>
    <s v="Junction and Marshalling Box"/>
    <s v="I"/>
    <x v="1"/>
    <s v="PS5 - Milestone A"/>
    <s v="TM-00082"/>
    <s v="Gawad, Mohamed"/>
    <m/>
  </r>
  <r>
    <s v="T-00082-0466"/>
    <s v="PS5-01-BI-2110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7:57:36"/>
    <s v="PS5-91-01"/>
    <x v="0"/>
    <x v="0"/>
    <s v="Junction and Marshalling Box"/>
    <s v="I"/>
    <x v="1"/>
    <s v="PS5 - Milestone A"/>
    <s v="TM-00082"/>
    <s v="Gawad, Mohamed"/>
    <m/>
  </r>
  <r>
    <s v="T-00082-0484"/>
    <s v="PS5-03-BI-250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9T04:58:46"/>
    <s v="PS5-91-01"/>
    <x v="0"/>
    <x v="0"/>
    <s v="Junction and Marshalling Box"/>
    <s v="I"/>
    <x v="1"/>
    <s v="PS5 - Milestone A"/>
    <s v="TM-00082"/>
    <s v="Gawad, Mohamed"/>
    <m/>
  </r>
  <r>
    <s v="T-00082-0487"/>
    <s v="PS5-03-BI-2506"/>
    <m/>
    <m/>
    <m/>
    <m/>
    <x v="28"/>
    <s v="PCOM - Precommissioning"/>
    <s v="I"/>
    <x v="0"/>
    <x v="1"/>
    <s v="Junction Box"/>
    <s v="EACOP"/>
    <s v="CPP AGI"/>
    <m/>
    <m/>
    <s v="1"/>
    <m/>
    <s v="1"/>
    <s v="0"/>
    <s v="PS5 - TZA - PS5 - Tanzania"/>
    <s v="PS5-91-01 - Multicore cables &amp; JB"/>
    <d v="2026-06-19T05:02:32"/>
    <s v="PS5-91-01"/>
    <x v="0"/>
    <x v="0"/>
    <s v="Junction and Marshalling Box"/>
    <s v="I"/>
    <x v="1"/>
    <s v="PS5 - Milestone A"/>
    <s v="TM-00082"/>
    <s v="Gawad, Mohamed"/>
    <m/>
  </r>
  <r>
    <s v="T-00082-0490"/>
    <s v="PS5-03-BI-2509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0:29"/>
    <s v="PS5-91-01"/>
    <x v="0"/>
    <x v="0"/>
    <s v="Junction and Marshalling Box"/>
    <s v="I"/>
    <x v="1"/>
    <s v="PS5 - Milestone A"/>
    <s v="TM-00082"/>
    <s v="Gawad, Mohamed"/>
    <m/>
  </r>
  <r>
    <s v="T-00082-0494"/>
    <s v="PS5-03-BI-251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9T05:04:09"/>
    <s v="PS5-91-01"/>
    <x v="0"/>
    <x v="0"/>
    <s v="Junction and Marshalling Box"/>
    <s v="I"/>
    <x v="1"/>
    <s v="PS5 - Milestone A"/>
    <s v="TM-00082"/>
    <s v="Gawad, Mohamed"/>
    <m/>
  </r>
  <r>
    <s v="T-00082-0495"/>
    <s v="PS5-03-BI-251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1:01"/>
    <s v="PS5-91-01"/>
    <x v="0"/>
    <x v="0"/>
    <s v="Junction and Marshalling Box"/>
    <s v="I"/>
    <x v="1"/>
    <s v="PS5 - Milestone A"/>
    <s v="TM-00082"/>
    <s v="Gawad, Mohamed"/>
    <m/>
  </r>
  <r>
    <s v="T-00082-0500"/>
    <s v="PS5-25-BI-11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1:26"/>
    <s v="PS5-91-01"/>
    <x v="0"/>
    <x v="0"/>
    <s v="Junction and Marshalling Box"/>
    <s v="I"/>
    <x v="1"/>
    <s v="PS5 - Milestone A"/>
    <s v="TM-00082"/>
    <s v="Gawad, Mohamed"/>
    <m/>
  </r>
  <r>
    <s v="T-00082-0501"/>
    <s v="PS5-25-BI-1102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1:54"/>
    <s v="PS5-91-01"/>
    <x v="0"/>
    <x v="0"/>
    <s v="Junction and Marshalling Box"/>
    <s v="I"/>
    <x v="1"/>
    <s v="PS5 - Milestone A"/>
    <s v="TM-00082"/>
    <s v="Gawad, Mohamed"/>
    <m/>
  </r>
  <r>
    <s v="T-00082-0502"/>
    <s v="PS5-25-BI-110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38:16"/>
    <s v="PS5-91-01"/>
    <x v="0"/>
    <x v="0"/>
    <s v="Junction and Marshalling Box"/>
    <s v="I"/>
    <x v="1"/>
    <s v="PS5 - Milestone A"/>
    <s v="TM-00082"/>
    <s v="Gawad, Mohamed"/>
    <m/>
  </r>
  <r>
    <s v="T-00082-0503"/>
    <s v="PS5-25-BI-110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5:41"/>
    <s v="PS5-91-01"/>
    <x v="0"/>
    <x v="0"/>
    <s v="Junction and Marshalling Box"/>
    <s v="I"/>
    <x v="1"/>
    <s v="PS5 - Milestone A"/>
    <s v="TM-00082"/>
    <s v="Gawad, Mohamed"/>
    <m/>
  </r>
  <r>
    <s v="T-00082-0504"/>
    <s v="PS5-25-BI-111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0:35"/>
    <s v="PS5-91-01"/>
    <x v="0"/>
    <x v="0"/>
    <s v="Junction and Marshalling Box"/>
    <s v="I"/>
    <x v="1"/>
    <s v="PS5 - Milestone A"/>
    <s v="TM-00082"/>
    <s v="Gawad, Mohamed"/>
    <m/>
  </r>
  <r>
    <s v="T-00082-0508"/>
    <s v="PS5-25-BI-12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1:11"/>
    <s v="PS5-91-01"/>
    <x v="0"/>
    <x v="0"/>
    <s v="Junction and Marshalling Box"/>
    <s v="I"/>
    <x v="1"/>
    <s v="PS5 - Milestone A"/>
    <s v="TM-00082"/>
    <s v="Gawad, Mohamed"/>
    <m/>
  </r>
  <r>
    <s v="T-00082-0512"/>
    <s v="PS5-25-BI-13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1:52"/>
    <s v="PS5-91-01"/>
    <x v="0"/>
    <x v="0"/>
    <s v="Junction and Marshalling Box"/>
    <s v="I"/>
    <x v="1"/>
    <s v="PS5 - Milestone A"/>
    <s v="TM-00082"/>
    <s v="Gawad, Mohamed"/>
    <m/>
  </r>
  <r>
    <s v="T-00082-0513"/>
    <s v="PS5-25-BI-1302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6:22"/>
    <s v="PS5-91-01"/>
    <x v="0"/>
    <x v="0"/>
    <s v="Junction and Marshalling Box"/>
    <s v="I"/>
    <x v="1"/>
    <s v="PS5 - Milestone A"/>
    <s v="TM-00082"/>
    <s v="Gawad, Mohamed"/>
    <m/>
  </r>
  <r>
    <s v="T-00082-0514"/>
    <s v="PS5-25-BI-1310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7:24"/>
    <s v="PS5-91-01"/>
    <x v="0"/>
    <x v="0"/>
    <s v="Junction and Marshalling Box"/>
    <s v="I"/>
    <x v="1"/>
    <s v="PS5 - Milestone A"/>
    <s v="TM-00082"/>
    <s v="Gawad, Mohamed"/>
    <m/>
  </r>
  <r>
    <s v="T-00082-0517"/>
    <s v="PS5-25-BI-210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3:16"/>
    <s v="PS5-91-01"/>
    <x v="0"/>
    <x v="0"/>
    <s v="Junction and Marshalling Box"/>
    <s v="I"/>
    <x v="1"/>
    <s v="PS5 - Milestone A"/>
    <s v="TM-00082"/>
    <s v="Gawad, Mohamed"/>
    <m/>
  </r>
  <r>
    <s v="T-00082-0518"/>
    <s v="PS5-25-BI-210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7-10T13:04:45"/>
    <s v="PS5-91-01"/>
    <x v="0"/>
    <x v="0"/>
    <s v="Junction and Marshalling Box"/>
    <s v="I"/>
    <x v="1"/>
    <s v="PS5 - Milestone A"/>
    <s v="TM-00082"/>
    <s v="Gawad, Mohamed"/>
    <m/>
  </r>
  <r>
    <s v="T-00082-0519"/>
    <s v="PS5-25-BI-210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2:26"/>
    <s v="PS5-91-01"/>
    <x v="0"/>
    <x v="0"/>
    <s v="Junction and Marshalling Box"/>
    <s v="I"/>
    <x v="1"/>
    <s v="PS5 - Milestone A"/>
    <s v="TM-00082"/>
    <s v="Gawad, Mohamed"/>
    <m/>
  </r>
  <r>
    <s v="T-00082-0520"/>
    <s v="PS5-25-BI-210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7:59"/>
    <s v="PS5-91-01"/>
    <x v="0"/>
    <x v="0"/>
    <s v="Junction and Marshalling Box"/>
    <s v="I"/>
    <x v="1"/>
    <s v="PS5 - Milestone A"/>
    <s v="TM-00082"/>
    <s v="Gawad, Mohamed"/>
    <m/>
  </r>
  <r>
    <s v="T-00082-0521"/>
    <s v="PS5-25-BI-2108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8:36"/>
    <s v="PS5-91-01"/>
    <x v="0"/>
    <x v="0"/>
    <s v="Junction and Marshalling Box"/>
    <s v="I"/>
    <x v="1"/>
    <s v="PS5 - Milestone A"/>
    <s v="TM-00082"/>
    <s v="Gawad, Mohamed"/>
    <m/>
  </r>
  <r>
    <s v="T-00082-0522"/>
    <s v="PS5-25-BI-2109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9:27"/>
    <s v="PS5-91-01"/>
    <x v="0"/>
    <x v="0"/>
    <s v="Junction and Marshalling Box"/>
    <s v="I"/>
    <x v="1"/>
    <s v="PS5 - Milestone A"/>
    <s v="TM-00082"/>
    <s v="Gawad, Mohamed"/>
    <m/>
  </r>
  <r>
    <s v="T-00082-0523"/>
    <s v="PS5-25-BI-22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5-30T12:03:12"/>
    <s v="PS5-91-01"/>
    <x v="0"/>
    <x v="0"/>
    <s v="Junction and Marshalling Box"/>
    <s v="I"/>
    <x v="1"/>
    <s v="PS5 - Milestone A"/>
    <s v="TM-00082"/>
    <s v="Gawad, Mohamed"/>
    <m/>
  </r>
  <r>
    <s v="T-00082-0524"/>
    <s v="PS5-25-BI-220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5-30T12:02:30"/>
    <s v="PS5-91-01"/>
    <x v="0"/>
    <x v="0"/>
    <s v="Junction and Marshalling Box"/>
    <s v="I"/>
    <x v="1"/>
    <s v="PS5 - Milestone A"/>
    <s v="TM-00082"/>
    <s v="Gawad, Mohamed"/>
    <m/>
  </r>
  <r>
    <s v="T-00082-0526"/>
    <s v="PS5-25-BI-23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3:08"/>
    <s v="PS5-91-01"/>
    <x v="0"/>
    <x v="0"/>
    <s v="Junction and Marshalling Box"/>
    <s v="I"/>
    <x v="1"/>
    <s v="PS5 - Milestone A"/>
    <s v="TM-00082"/>
    <s v="Gawad, Mohamed"/>
    <m/>
  </r>
  <r>
    <s v="T-00082-0527"/>
    <s v="PS5-25-BI-2302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3:42"/>
    <s v="PS5-91-01"/>
    <x v="0"/>
    <x v="0"/>
    <s v="Junction and Marshalling Box"/>
    <s v="I"/>
    <x v="1"/>
    <s v="PS5 - Milestone A"/>
    <s v="TM-00082"/>
    <s v="Gawad, Mohamed"/>
    <m/>
  </r>
  <r>
    <s v="T-00082-0528"/>
    <s v="PS5-25-BI-230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20:25"/>
    <s v="PS5-91-01"/>
    <x v="0"/>
    <x v="0"/>
    <s v="Junction and Marshalling Box"/>
    <s v="I"/>
    <x v="1"/>
    <s v="PS5 - Milestone A"/>
    <s v="TM-00082"/>
    <s v="Gawad, Mohamed"/>
    <m/>
  </r>
  <r>
    <s v="T-00082-0529"/>
    <s v="PS5-25-BI-2308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21:09"/>
    <s v="PS5-91-01"/>
    <x v="0"/>
    <x v="0"/>
    <s v="Junction and Marshalling Box"/>
    <s v="I"/>
    <x v="1"/>
    <s v="PS5 - Milestone A"/>
    <s v="TM-00082"/>
    <s v="Gawad, Mohamed"/>
    <m/>
  </r>
  <r>
    <s v="T-00082-0530"/>
    <s v="PS5-25-BI-2309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4:13"/>
    <s v="PS5-91-01"/>
    <x v="0"/>
    <x v="0"/>
    <s v="Junction and Marshalling Box"/>
    <s v="I"/>
    <x v="1"/>
    <s v="PS5 - Milestone A"/>
    <s v="TM-00082"/>
    <s v="Gawad, Mohamed"/>
    <m/>
  </r>
  <r>
    <s v="T-00082-0531"/>
    <s v="PS5-25-BI-2312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21:18"/>
    <s v="PS5-91-01"/>
    <x v="0"/>
    <x v="0"/>
    <s v="Junction and Marshalling Box"/>
    <s v="I"/>
    <x v="1"/>
    <s v="PS5 - Milestone A"/>
    <s v="TM-00082"/>
    <s v="Anwar, Zeeshan"/>
    <m/>
  </r>
  <r>
    <s v="T-00082-0532"/>
    <s v="PS5-25-BI-231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20:06"/>
    <s v="PS5-91-01"/>
    <x v="0"/>
    <x v="0"/>
    <s v="Junction and Marshalling Box"/>
    <s v="I"/>
    <x v="1"/>
    <s v="PS5 - Milestone A"/>
    <s v="TM-00082"/>
    <s v="Anwar, Zeeshan"/>
    <m/>
  </r>
  <r>
    <s v="T-00082-0533"/>
    <s v="PS5-25-BI-231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8:57"/>
    <s v="PS5-91-01"/>
    <x v="0"/>
    <x v="0"/>
    <s v="Junction and Marshalling Box"/>
    <s v="I"/>
    <x v="1"/>
    <s v="PS5 - Milestone A"/>
    <s v="TM-00082"/>
    <s v="Anwar, Zeeshan"/>
    <m/>
  </r>
  <r>
    <s v="T-00082-0534"/>
    <s v="PS5-28-BI-110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9T04:59:19"/>
    <s v="PS5-91-01"/>
    <x v="0"/>
    <x v="0"/>
    <s v="Junction and Marshalling Box"/>
    <s v="I"/>
    <x v="1"/>
    <s v="PS5 - Milestone A"/>
    <s v="TM-00082"/>
    <s v="Gawad, Mohamed"/>
    <m/>
  </r>
  <r>
    <s v="T-00082-0537"/>
    <s v="PS5-28-BI-130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4:45"/>
    <s v="PS5-91-01"/>
    <x v="0"/>
    <x v="0"/>
    <s v="Junction and Marshalling Box"/>
    <s v="I"/>
    <x v="1"/>
    <s v="PS5 - Milestone A"/>
    <s v="TM-00082"/>
    <s v="Gawad, Mohamed"/>
    <m/>
  </r>
  <r>
    <s v="T-00082-0538"/>
    <s v="PS5-28-BI-1307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5:12"/>
    <s v="PS5-91-01"/>
    <x v="0"/>
    <x v="0"/>
    <s v="Junction and Marshalling Box"/>
    <s v="I"/>
    <x v="1"/>
    <s v="PS5 - Milestone A"/>
    <s v="TM-00082"/>
    <s v="Gawad, Mohamed"/>
    <m/>
  </r>
  <r>
    <s v="T-00082-0540"/>
    <s v="PS5-50-BI-1107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6:38"/>
    <s v="PS5-91-01"/>
    <x v="0"/>
    <x v="0"/>
    <s v="Junction and Marshalling Box"/>
    <s v="I"/>
    <x v="1"/>
    <s v="PS5 - Milestone A"/>
    <s v="TM-00082"/>
    <s v="Gawad, Mohamed"/>
    <m/>
  </r>
  <r>
    <s v="T-00082-0541"/>
    <s v="PS5-53-BI-1108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7-10T13:06:57"/>
    <s v="PS5-91-01"/>
    <x v="0"/>
    <x v="0"/>
    <s v="Junction and Marshalling Box"/>
    <s v="I"/>
    <x v="1"/>
    <s v="PS5 - Milestone A"/>
    <s v="TM-00082"/>
    <s v="Gawad, Mohamed"/>
    <m/>
  </r>
  <r>
    <s v="T-00082-0543"/>
    <s v="PS5-71-BI-1109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5-30T12:05:18"/>
    <s v="PS5-91-01"/>
    <x v="0"/>
    <x v="0"/>
    <s v="Junction and Marshalling Box"/>
    <s v="I"/>
    <x v="1"/>
    <s v="PS5 - Milestone A"/>
    <s v="TM-00082"/>
    <s v="Gawad, Mohamed"/>
    <m/>
  </r>
  <r>
    <s v="T-00082-0544"/>
    <s v="PS5-71-BI-1110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4:54"/>
    <s v="PS5-91-01"/>
    <x v="0"/>
    <x v="0"/>
    <s v="Junction and Marshalling Box"/>
    <s v="I"/>
    <x v="1"/>
    <s v="PS5 - Milestone A"/>
    <s v="TM-00082"/>
    <s v="Gawad, Mohamed"/>
    <m/>
  </r>
  <r>
    <s v="T-00082-0545"/>
    <s v="PS5-71-BI-111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8:21"/>
    <s v="PS5-91-01"/>
    <x v="0"/>
    <x v="0"/>
    <s v="Junction and Marshalling Box"/>
    <s v="I"/>
    <x v="1"/>
    <s v="PS5 - Milestone A"/>
    <s v="TM-00082"/>
    <s v="Anwar, Zeeshan"/>
    <m/>
  </r>
  <r>
    <s v="T-00082-0547"/>
    <s v="PS5-71-BI-111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7:01"/>
    <s v="PS5-91-01"/>
    <x v="0"/>
    <x v="0"/>
    <s v="Junction and Marshalling Box"/>
    <s v="I"/>
    <x v="1"/>
    <s v="PS5 - Milestone A"/>
    <s v="TM-00082"/>
    <s v="Anwar, Zeeshan"/>
    <m/>
  </r>
  <r>
    <s v="T-00082-0548"/>
    <s v="PS5-71-BI-111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6:08"/>
    <s v="PS5-91-01"/>
    <x v="0"/>
    <x v="0"/>
    <s v="Junction and Marshalling Box"/>
    <s v="I"/>
    <x v="1"/>
    <s v="PS5 - Milestone A"/>
    <s v="TM-00082"/>
    <s v="Anwar, Zeeshan"/>
    <m/>
  </r>
  <r>
    <s v="T-00082-0549"/>
    <s v="PS5-71-BI-1117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5:40"/>
    <s v="PS5-91-01"/>
    <x v="0"/>
    <x v="0"/>
    <s v="Junction and Marshalling Box"/>
    <s v="I"/>
    <x v="1"/>
    <s v="PS5 - Milestone A"/>
    <s v="TM-00082"/>
    <s v="Gawad, Mohamed"/>
    <m/>
  </r>
  <r>
    <s v="T-00082-0550"/>
    <s v="PS5-71-BI-130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5-30T12:04:26"/>
    <s v="PS5-91-01"/>
    <x v="0"/>
    <x v="0"/>
    <s v="Junction and Marshalling Box"/>
    <s v="I"/>
    <x v="1"/>
    <s v="PS5 - Milestone A"/>
    <s v="TM-00082"/>
    <s v="Gawad, Mohamed"/>
    <m/>
  </r>
  <r>
    <s v="T-00082-0551"/>
    <s v="PS5-71-BI-130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4:52"/>
    <s v="PS5-91-01"/>
    <x v="0"/>
    <x v="0"/>
    <s v="Junction and Marshalling Box"/>
    <s v="I"/>
    <x v="1"/>
    <s v="PS5 - Milestone A"/>
    <s v="TM-00082"/>
    <s v="Anwar, Zeeshan"/>
    <m/>
  </r>
  <r>
    <s v="T-00082-0553"/>
    <s v="PS5-71-BI-210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6:19"/>
    <s v="PS5-91-01"/>
    <x v="0"/>
    <x v="0"/>
    <s v="Junction and Marshalling Box"/>
    <s v="I"/>
    <x v="1"/>
    <s v="PS5 - Milestone A"/>
    <s v="TM-00082"/>
    <s v="Gawad, Mohamed"/>
    <m/>
  </r>
  <r>
    <s v="T-00082-0554"/>
    <s v="PS5-71-BI-2107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8:03"/>
    <s v="PS5-91-01"/>
    <x v="0"/>
    <x v="0"/>
    <s v="Junction and Marshalling Box"/>
    <s v="I"/>
    <x v="1"/>
    <s v="PS5 - Milestone A"/>
    <s v="TM-00082"/>
    <s v="Gawad, Mohamed"/>
    <m/>
  </r>
  <r>
    <s v="T-00082-0555"/>
    <s v="PS5-71-BI-211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2:52"/>
    <s v="PS5-91-01"/>
    <x v="0"/>
    <x v="0"/>
    <s v="Junction and Marshalling Box"/>
    <s v="I"/>
    <x v="1"/>
    <s v="PS5 - Milestone A"/>
    <s v="TM-00082"/>
    <s v="Anwar, Zeeshan"/>
    <m/>
  </r>
  <r>
    <s v="T-00082-0556"/>
    <s v="PS5-71-BI-211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2:26"/>
    <s v="PS5-91-01"/>
    <x v="0"/>
    <x v="0"/>
    <s v="Junction and Marshalling Box"/>
    <s v="I"/>
    <x v="1"/>
    <s v="PS5 - Milestone A"/>
    <s v="TM-00082"/>
    <s v="Anwar, Zeeshan"/>
    <m/>
  </r>
  <r>
    <s v="T-00082-0557"/>
    <s v="PS5-71-BI-211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1:47"/>
    <s v="PS5-91-01"/>
    <x v="0"/>
    <x v="0"/>
    <s v="Junction and Marshalling Box"/>
    <s v="I"/>
    <x v="1"/>
    <s v="PS5 - Milestone A"/>
    <s v="TM-00082"/>
    <s v="Anwar, Zeeshan"/>
    <m/>
  </r>
  <r>
    <s v="T-00082-0558"/>
    <s v="PS5-71-BI-211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7:06"/>
    <s v="PS5-91-01"/>
    <x v="0"/>
    <x v="0"/>
    <s v="Junction and Marshalling Box"/>
    <s v="I"/>
    <x v="1"/>
    <s v="PS5 - Milestone A"/>
    <s v="TM-00082"/>
    <s v="Gawad, Mohamed"/>
    <m/>
  </r>
  <r>
    <s v="T-00082-0559"/>
    <s v="PS5-71-BI-2118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10:21"/>
    <s v="PS5-91-01"/>
    <x v="0"/>
    <x v="0"/>
    <s v="Junction and Marshalling Box"/>
    <s v="I"/>
    <x v="1"/>
    <s v="PS5 - Milestone A"/>
    <s v="TM-00082"/>
    <s v="Anwar, Zeeshan"/>
    <m/>
  </r>
  <r>
    <s v="T-00082-0560"/>
    <s v="PS5-71-BI-2119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7:34"/>
    <s v="PS5-91-01"/>
    <x v="0"/>
    <x v="0"/>
    <s v="Junction and Marshalling Box"/>
    <s v="I"/>
    <x v="1"/>
    <s v="PS5 - Milestone A"/>
    <s v="TM-00082"/>
    <s v="Gawad, Mohamed"/>
    <m/>
  </r>
  <r>
    <s v="T-00082-0561"/>
    <s v="PS5-71-BI-2120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8:07"/>
    <s v="PS5-91-01"/>
    <x v="0"/>
    <x v="0"/>
    <s v="Junction and Marshalling Box"/>
    <s v="I"/>
    <x v="1"/>
    <s v="PS5 - Milestone A"/>
    <s v="TM-00082"/>
    <s v="Gawad, Mohamed"/>
    <m/>
  </r>
  <r>
    <s v="T-00082-0562"/>
    <s v="PS5-71-BI-2121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9T05:04:40"/>
    <s v="PS5-91-01"/>
    <x v="0"/>
    <x v="0"/>
    <s v="Junction and Marshalling Box"/>
    <s v="I"/>
    <x v="1"/>
    <s v="PS5 - Milestone A"/>
    <s v="TM-00082"/>
    <s v="Gawad, Mohamed"/>
    <m/>
  </r>
  <r>
    <s v="T-00082-0563"/>
    <s v="PS5-71-BI-2122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09:20"/>
    <s v="PS5-91-01"/>
    <x v="0"/>
    <x v="0"/>
    <s v="Junction and Marshalling Box"/>
    <s v="I"/>
    <x v="1"/>
    <s v="PS5 - Milestone A"/>
    <s v="TM-00082"/>
    <s v="Anwar, Zeeshan"/>
    <m/>
  </r>
  <r>
    <s v="T-00082-0564"/>
    <s v="PS5-71-BI-2123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8:40"/>
    <s v="PS5-91-01"/>
    <x v="0"/>
    <x v="0"/>
    <s v="Junction and Marshalling Box"/>
    <s v="I"/>
    <x v="1"/>
    <s v="PS5 - Milestone A"/>
    <s v="TM-00082"/>
    <s v="Gawad, Mohamed"/>
    <m/>
  </r>
  <r>
    <s v="T-00082-0565"/>
    <s v="PS5-71-BI-212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9:10"/>
    <s v="PS5-91-01"/>
    <x v="0"/>
    <x v="0"/>
    <s v="Junction and Marshalling Box"/>
    <s v="I"/>
    <x v="1"/>
    <s v="PS5 - Milestone A"/>
    <s v="TM-00082"/>
    <s v="Gawad, Mohamed"/>
    <m/>
  </r>
  <r>
    <s v="T-00082-0566"/>
    <s v="PS5-71-BI-2125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9T05:05:13"/>
    <s v="PS5-91-01"/>
    <x v="0"/>
    <x v="0"/>
    <s v="Junction and Marshalling Box"/>
    <s v="I"/>
    <x v="1"/>
    <s v="PS5 - Milestone A"/>
    <s v="TM-00082"/>
    <s v="Gawad, Mohamed"/>
    <m/>
  </r>
  <r>
    <s v="T-00082-0567"/>
    <s v="PS5-71-BI-2306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1T13:22:50"/>
    <s v="PS5-91-01"/>
    <x v="0"/>
    <x v="0"/>
    <s v="Junction and Marshalling Box"/>
    <s v="I"/>
    <x v="1"/>
    <s v="PS5 - Milestone A"/>
    <s v="TM-00082"/>
    <s v="Anwar, Zeeshan"/>
    <m/>
  </r>
  <r>
    <s v="T-00082-0569"/>
    <s v="PS5-71-BI-2310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12T08:09:46"/>
    <s v="PS5-91-01"/>
    <x v="0"/>
    <x v="0"/>
    <s v="Junction and Marshalling Box"/>
    <s v="I"/>
    <x v="1"/>
    <s v="PS5 - Milestone A"/>
    <s v="TM-00082"/>
    <s v="Gawad, Mohamed"/>
    <m/>
  </r>
  <r>
    <s v="T-00082-0571"/>
    <s v="PS5-71-BI-2314"/>
    <m/>
    <m/>
    <m/>
    <m/>
    <x v="28"/>
    <s v="PCOM - Precommissioning"/>
    <s v="I"/>
    <x v="0"/>
    <x v="1"/>
    <s v="Junction Box"/>
    <s v="EACOP"/>
    <s v="CPP AGI"/>
    <m/>
    <m/>
    <s v="1"/>
    <m/>
    <m/>
    <s v="0"/>
    <s v="PS5 - TZA - PS5 - Tanzania"/>
    <s v="PS5-91-01 - Multicore cables &amp; JB"/>
    <d v="2026-06-04T17:48:40"/>
    <s v="PS5-91-01"/>
    <x v="0"/>
    <x v="0"/>
    <s v="Junction and Marshalling Box"/>
    <s v="I"/>
    <x v="1"/>
    <s v="PS5 - Milestone A"/>
    <s v="TM-00082"/>
    <s v="Gawad, Mohamed"/>
    <m/>
  </r>
  <r>
    <s v="T-00083-0865"/>
    <s v="PS5-03-RDOS-1401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65"/>
    <s v="PS5-03-RDOS-1401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66"/>
    <s v="PS5-03-RDOS-1402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66"/>
    <s v="PS5-03-RDOS-1402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67"/>
    <s v="PS5-03-RDOS-1403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67"/>
    <s v="PS5-03-RDOS-1403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68"/>
    <s v="PS5-03-RDOS-1404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68"/>
    <s v="PS5-03-RDOS-1404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69"/>
    <s v="PS5-03-RDOS-1405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69"/>
    <s v="PS5-03-RDOS-1405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70"/>
    <s v="PS5-03-RDOS-1406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70"/>
    <s v="PS5-03-RDOS-1406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71"/>
    <s v="PS5-03-RDOS-1407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71"/>
    <s v="PS5-03-RDOS-1407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3-0872"/>
    <s v="PS5-03-RDOS-1408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TZ-MID-68-WPR2-121106"/>
  </r>
  <r>
    <s v="T-00083-0872"/>
    <s v="PS5-03-RDOS-1408"/>
    <m/>
    <m/>
    <m/>
    <m/>
    <x v="29"/>
    <s v="PCOM - Precommissioning"/>
    <s v="I"/>
    <x v="0"/>
    <x v="1"/>
    <s v="SMOKE DETECTOR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Gas/Smoke Detector"/>
    <s v="I"/>
    <x v="0"/>
    <s v="PS5 - Milestone E"/>
    <s v="TM-00083"/>
    <m/>
    <s v="UT-MID-60-WPR2-160211"/>
  </r>
  <r>
    <s v="T-00087-0103"/>
    <s v="PS5-03-SEA-0003"/>
    <m/>
    <m/>
    <m/>
    <m/>
    <x v="30"/>
    <s v="PCOM - Precommissioning"/>
    <s v="I"/>
    <x v="0"/>
    <x v="1"/>
    <s v="FIRE ALARM CONTROL PANEL"/>
    <s v="EACOP"/>
    <s v="CPP AGI"/>
    <m/>
    <m/>
    <s v="1"/>
    <m/>
    <m/>
    <s v="TZ-MID-68-WPR2-121133"/>
    <s v="PS5 - TZA - PS5 - Tanzania"/>
    <s v="PS5-03-14 - FZ-14 - Power Generation Building - Switchgear Room"/>
    <m/>
    <s v="PS5-03-14"/>
    <x v="1"/>
    <x v="0"/>
    <s v="Indoor Cabinet/Panel"/>
    <s v="I"/>
    <x v="0"/>
    <s v="PS5 - Milestone E"/>
    <s v="TM-00087"/>
    <m/>
    <s v="TZ-MID-68-WPR2-121133"/>
  </r>
  <r>
    <s v="T-00087-0103"/>
    <s v="PS5-03-SEA-0003"/>
    <m/>
    <m/>
    <m/>
    <m/>
    <x v="30"/>
    <s v="PCOM - Precommissioning"/>
    <s v="I"/>
    <x v="0"/>
    <x v="1"/>
    <s v="FIRE ALARM CONTROL PANEL"/>
    <s v="EACOP"/>
    <s v="CPP AGI"/>
    <m/>
    <m/>
    <s v="1"/>
    <m/>
    <m/>
    <s v="TZ-MID-68-WPR2-121133"/>
    <s v="PS5 - TZA - PS5 - Tanzania"/>
    <s v="PS5-03-14 - FZ-14 - Power Generation Building - Switchgear Room"/>
    <m/>
    <s v="PS5-03-14"/>
    <x v="1"/>
    <x v="0"/>
    <s v="Indoor Cabinet/Panel"/>
    <s v="I"/>
    <x v="0"/>
    <s v="PS5 - Milestone E"/>
    <s v="TM-00087"/>
    <m/>
    <s v="UT-MID-60-WPR2-160211"/>
  </r>
  <r>
    <s v="T-00087-0105"/>
    <s v="PS5-60-SEA-0001"/>
    <m/>
    <m/>
    <m/>
    <m/>
    <x v="30"/>
    <s v="PCOM - Precommissioning"/>
    <s v="I"/>
    <x v="0"/>
    <x v="1"/>
    <s v="GAS DETECTION PANEL"/>
    <s v="EACOP"/>
    <s v="CPP AGI"/>
    <m/>
    <m/>
    <s v="1"/>
    <m/>
    <m/>
    <s v="TZ-MID-68-WPR2-121106"/>
    <s v="PS5 - TZA - PS5 - Tanzania"/>
    <s v="PS5-03-14 - FZ-14 - Power Generation Building - Switchgear Room"/>
    <m/>
    <s v="PS5-03-14"/>
    <x v="1"/>
    <x v="0"/>
    <s v="Indoor Cabinet/Panel"/>
    <s v="I"/>
    <x v="0"/>
    <s v="PS5 - Milestone E"/>
    <s v="TM-00087"/>
    <m/>
    <m/>
  </r>
  <r>
    <s v="T-00087-0500"/>
    <s v="PS5-60-LA-0002A"/>
    <m/>
    <m/>
    <m/>
    <m/>
    <x v="30"/>
    <s v="PCOM - Precommissioning"/>
    <s v="I"/>
    <x v="0"/>
    <x v="1"/>
    <s v="VTMS VIBRATION AND TEMPERATURE MONITORING SYSTEM"/>
    <s v="EACOP"/>
    <s v="CPP AGI"/>
    <m/>
    <m/>
    <s v="1"/>
    <m/>
    <m/>
    <m/>
    <s v="PS5 - TZA - PS5 - Tanzania"/>
    <s v="PS5-60-01 - Power Generation Package A"/>
    <m/>
    <s v="PS5-60-01"/>
    <x v="0"/>
    <x v="0"/>
    <s v="Indoor Cabinet/Panel"/>
    <s v="I"/>
    <x v="0"/>
    <s v="PS5 - Milestone B"/>
    <s v="TM-00087"/>
    <m/>
    <m/>
  </r>
  <r>
    <s v="T-00087-0501"/>
    <s v="PS5-60-LA-0002B"/>
    <m/>
    <m/>
    <m/>
    <m/>
    <x v="30"/>
    <s v="PCOM - Precommissioning"/>
    <s v="I"/>
    <x v="0"/>
    <x v="1"/>
    <s v="VTMS VIBRATION AND TEMPERATURE MONITORING SYSTEM"/>
    <s v="EACOP"/>
    <s v="CPP AGI"/>
    <m/>
    <m/>
    <s v="1"/>
    <m/>
    <m/>
    <m/>
    <s v="PS5 - TZA - PS5 - Tanzania"/>
    <s v="PS5-60-10 - Power Generation Package D"/>
    <d v="2026-07-11T07:02:44"/>
    <s v="PS5-60-10"/>
    <x v="1"/>
    <x v="0"/>
    <s v="Indoor Cabinet/Panel"/>
    <s v="I"/>
    <x v="1"/>
    <s v="PS5 - Milestone D"/>
    <s v="TM-00087"/>
    <s v="Gawad, Mohamed"/>
    <m/>
  </r>
  <r>
    <s v="T-00087-0528"/>
    <s v="PS5-60-LA-0003"/>
    <m/>
    <m/>
    <m/>
    <m/>
    <x v="30"/>
    <s v="PCOM - Precommissioning"/>
    <s v="I"/>
    <x v="0"/>
    <x v="1"/>
    <s v="Remote Access Panel"/>
    <s v="EACOP"/>
    <s v="CPP AGI"/>
    <m/>
    <m/>
    <s v="1"/>
    <m/>
    <s v="1"/>
    <m/>
    <s v="PS5 - TZA - PS5 - Tanzania"/>
    <s v="PS5-60-22 - Power Gen Master UCP"/>
    <m/>
    <s v="PS5-60-22"/>
    <x v="0"/>
    <x v="0"/>
    <s v="Indoor Cabinet/Panel"/>
    <s v="I"/>
    <x v="0"/>
    <s v="PS5 - Milestone B"/>
    <s v="TM-00087"/>
    <m/>
    <m/>
  </r>
  <r>
    <s v="T-00090-0179"/>
    <s v="PS5-60-UR-8100A"/>
    <m/>
    <m/>
    <m/>
    <m/>
    <x v="31"/>
    <s v="PCOM - Precommissioning"/>
    <s v="I"/>
    <x v="0"/>
    <x v="1"/>
    <s v="POWER GENERATION PACKAGE A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90"/>
    <m/>
    <s v="TZ-MID-68-WPR2-135100"/>
  </r>
  <r>
    <s v="T-00090-0180"/>
    <s v="PS5-60-UR-8100B"/>
    <m/>
    <m/>
    <m/>
    <m/>
    <x v="31"/>
    <s v="PCOM - Precommissioning"/>
    <s v="I"/>
    <x v="0"/>
    <x v="1"/>
    <s v="POWER GENERATION PACKAGE B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90"/>
    <m/>
    <s v="TZ-MID-68-WPR2-135103"/>
  </r>
  <r>
    <s v="T-00090-0181"/>
    <s v="PS5-60-UR-8100C"/>
    <m/>
    <m/>
    <m/>
    <m/>
    <x v="31"/>
    <s v="PCOM - Precommissioning"/>
    <s v="I"/>
    <x v="0"/>
    <x v="1"/>
    <s v="POWER GENERATION PACKAGE C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90"/>
    <m/>
    <s v="TZ-MID-68-WPR2-135106"/>
  </r>
  <r>
    <s v="T-00090-0182"/>
    <s v="PS5-60-UR-8100D"/>
    <m/>
    <m/>
    <m/>
    <m/>
    <x v="31"/>
    <s v="PCOM - Precommissioning"/>
    <s v="I"/>
    <x v="0"/>
    <x v="1"/>
    <s v="POWER GENERATION PACKAGE 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90"/>
    <m/>
    <s v="TZ-MID-68-WPR2-135109"/>
  </r>
  <r>
    <s v="T-00090-0188"/>
    <s v="PS5-60-UA-5100"/>
    <m/>
    <m/>
    <m/>
    <m/>
    <x v="31"/>
    <s v="PCOM - Precommissioning"/>
    <s v="I"/>
    <x v="0"/>
    <x v="1"/>
    <s v="COMPRESSOR AIR STARTING SKID"/>
    <s v="EACOP"/>
    <s v="CPP AGI"/>
    <m/>
    <m/>
    <s v="20"/>
    <m/>
    <m/>
    <s v="TZ-MID-68-WPR2-135128"/>
    <s v="PS5 - TZA - PS5 - Tanzania"/>
    <s v="PS5-60-27 - Compressed Air Starting Skid"/>
    <m/>
    <s v="PS5-60-27"/>
    <x v="0"/>
    <x v="0"/>
    <s v="Package"/>
    <s v="M"/>
    <x v="0"/>
    <s v="PS5 - Milestone B"/>
    <s v="TM-00090"/>
    <m/>
    <s v="TZ-MID-68-WPR2-135128"/>
  </r>
  <r>
    <s v="T-00090-0189"/>
    <s v="PS5-60-UO-81100A"/>
    <m/>
    <m/>
    <m/>
    <m/>
    <x v="31"/>
    <s v="PCOM - Precommissioning"/>
    <s v="I"/>
    <x v="0"/>
    <x v="1"/>
    <s v="LUBE OIL SEPARATOR MODULE"/>
    <s v="EACOP"/>
    <s v="CPP AGI"/>
    <m/>
    <m/>
    <s v="20"/>
    <m/>
    <m/>
    <s v="TZ-MID-68-WPR2-135124"/>
    <s v="PS5 - TZA - PS5 - Tanzania"/>
    <s v="PS5-60-49 - Lube Oil Separator Module PS5-60-UO-81100A"/>
    <m/>
    <s v="PS5-60-49"/>
    <x v="0"/>
    <x v="0"/>
    <s v="Package"/>
    <s v="M"/>
    <x v="0"/>
    <s v="PS5 - Milestone B"/>
    <s v="TM-00090"/>
    <m/>
    <s v="TZ-MID-68-WPR2-135124"/>
  </r>
  <r>
    <s v="T-00090-0190"/>
    <s v="PS5-60-UO-81100B"/>
    <m/>
    <m/>
    <m/>
    <m/>
    <x v="31"/>
    <s v="PCOM - Precommissioning"/>
    <s v="I"/>
    <x v="0"/>
    <x v="1"/>
    <s v="LUBE OIL SEPARATOR MODULE"/>
    <s v="EACOP"/>
    <s v="CPP AGI"/>
    <m/>
    <m/>
    <s v="20"/>
    <m/>
    <m/>
    <s v="TZ-MID-68-WPR2-135124"/>
    <s v="PS5 - TZA - PS5 - Tanzania"/>
    <s v="PS5-60-50 - Lube Oil Separator Module PS5-60-UO-81100B"/>
    <m/>
    <s v="PS5-60-50"/>
    <x v="0"/>
    <x v="0"/>
    <s v="Package"/>
    <s v="M"/>
    <x v="0"/>
    <s v="PS5 - Milestone B"/>
    <s v="TM-00090"/>
    <m/>
    <s v="TZ-MID-68-WPR2-135124"/>
  </r>
  <r>
    <s v="T-00090-0191"/>
    <s v="PS5-60-UO-81100C"/>
    <m/>
    <m/>
    <m/>
    <m/>
    <x v="31"/>
    <s v="PCOM - Precommissioning"/>
    <s v="I"/>
    <x v="0"/>
    <x v="1"/>
    <s v="LUBE OIL SEPARATOR MODULE"/>
    <s v="EACOP"/>
    <s v="CPP AGI"/>
    <m/>
    <m/>
    <s v="20"/>
    <m/>
    <m/>
    <s v="TZ-MID-68-WPR2-135124"/>
    <s v="PS5 - TZA - PS5 - Tanzania"/>
    <s v="PS5-60-51 - Lube Oil Separator Module PS5-60-UO-81100C"/>
    <m/>
    <s v="PS5-60-51"/>
    <x v="1"/>
    <x v="0"/>
    <s v="Package"/>
    <s v="M"/>
    <x v="0"/>
    <s v="PS5 - Milestone D"/>
    <s v="TM-00090"/>
    <m/>
    <s v="TZ-MID-68-WPR2-135124"/>
  </r>
  <r>
    <s v="T-00090-0192"/>
    <s v="PS5-60-UO-81100D"/>
    <m/>
    <m/>
    <m/>
    <m/>
    <x v="31"/>
    <s v="PCOM - Precommissioning"/>
    <s v="I"/>
    <x v="0"/>
    <x v="1"/>
    <s v="LUBE OIL SEPARATOR MODULE"/>
    <s v="EACOP"/>
    <s v="CPP AGI"/>
    <m/>
    <m/>
    <s v="20"/>
    <m/>
    <m/>
    <s v="TZ-MID-68-WPR2-135124"/>
    <s v="PS5 - TZA - PS5 - Tanzania"/>
    <s v="PS5-60-52 - Lube Oil Separator Module PS5-60-UO-81100D"/>
    <m/>
    <s v="PS5-60-52"/>
    <x v="1"/>
    <x v="0"/>
    <s v="Package"/>
    <s v="M"/>
    <x v="0"/>
    <s v="PS5 - Milestone D"/>
    <s v="TM-00090"/>
    <m/>
    <s v="TZ-MID-68-WPR2-135124"/>
  </r>
  <r>
    <s v="T-00090-0196"/>
    <s v="PS5-60-UZ-8200A"/>
    <m/>
    <m/>
    <m/>
    <m/>
    <x v="31"/>
    <s v="PCOM - Precommissioning"/>
    <s v="I"/>
    <x v="0"/>
    <x v="1"/>
    <s v="INJECTOR TIP COOLING MODULE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90"/>
    <m/>
    <s v="TZ-MID-68-WPR2-135129"/>
  </r>
  <r>
    <s v="T-00090-0197"/>
    <s v="PS5-60-UZ-8200B"/>
    <m/>
    <m/>
    <m/>
    <m/>
    <x v="31"/>
    <s v="PCOM - Precommissioning"/>
    <s v="I"/>
    <x v="0"/>
    <x v="1"/>
    <s v="INJECTOR TIP COOLING MODULE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90"/>
    <m/>
    <s v="TZ-MID-68-WPR2-135129"/>
  </r>
  <r>
    <s v="T-00090-0198"/>
    <s v="PS5-60-UZ-8200C"/>
    <m/>
    <m/>
    <m/>
    <m/>
    <x v="31"/>
    <s v="PCOM - Precommissioning"/>
    <s v="I"/>
    <x v="0"/>
    <x v="1"/>
    <s v="INJECTOR TIP COOLING MODULE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90"/>
    <m/>
    <s v="TZ-MID-68-WPR2-135129"/>
  </r>
  <r>
    <s v="T-00090-0199"/>
    <s v="PS5-60-UZ-8200D"/>
    <m/>
    <m/>
    <m/>
    <m/>
    <x v="31"/>
    <s v="PCOM - Precommissioning"/>
    <s v="I"/>
    <x v="0"/>
    <x v="1"/>
    <s v="INJECTOR TIP COOLING MODULE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90"/>
    <m/>
    <s v="TZ-MID-68-WPR2-135129"/>
  </r>
  <r>
    <s v="T-00090-0202"/>
    <s v="PS5-60-VS-9100A"/>
    <m/>
    <m/>
    <m/>
    <m/>
    <x v="31"/>
    <s v="PCOM - Precommissioning"/>
    <s v="I"/>
    <x v="0"/>
    <x v="1"/>
    <s v="OIL MIST SEPARATOR SKID"/>
    <s v="EACOP"/>
    <s v="CPP AGI"/>
    <m/>
    <m/>
    <s v="20"/>
    <m/>
    <m/>
    <s v="TZ-MID-68-WPR2-135130"/>
    <s v="PS5 - TZA - PS5 - Tanzania"/>
    <s v="PS5-60-42 - Oil Mist Separator Skid PS5-60-VS-9100A"/>
    <m/>
    <s v="PS5-60-42"/>
    <x v="0"/>
    <x v="0"/>
    <s v="Package"/>
    <s v="M"/>
    <x v="0"/>
    <s v="PS5 - Milestone B"/>
    <s v="TM-00090"/>
    <m/>
    <s v="TZ-MID-68-WPR2-135130"/>
  </r>
  <r>
    <s v="T-00090-0203"/>
    <s v="PS5-60-VS-9100B"/>
    <m/>
    <m/>
    <m/>
    <m/>
    <x v="31"/>
    <s v="PCOM - Precommissioning"/>
    <s v="I"/>
    <x v="0"/>
    <x v="1"/>
    <s v="OIL MIST SEPARATOR SKID"/>
    <s v="EACOP"/>
    <s v="CPP AGI"/>
    <m/>
    <m/>
    <s v="20"/>
    <m/>
    <m/>
    <s v="TZ-MID-68-WPR2-135130"/>
    <s v="PS5 - TZA - PS5 - Tanzania"/>
    <s v="PS5-60-43 - Oil Mist Separator Skid PS5-60-VS-9100B"/>
    <m/>
    <s v="PS5-60-43"/>
    <x v="0"/>
    <x v="0"/>
    <s v="Package"/>
    <s v="M"/>
    <x v="0"/>
    <s v="PS5 - Milestone B"/>
    <s v="TM-00090"/>
    <m/>
    <s v="TZ-MID-68-WPR2-135130"/>
  </r>
  <r>
    <s v="T-00090-0204"/>
    <s v="PS5-60-VS-9100C"/>
    <m/>
    <m/>
    <m/>
    <m/>
    <x v="31"/>
    <s v="PCOM - Precommissioning"/>
    <s v="I"/>
    <x v="0"/>
    <x v="1"/>
    <s v="OIL MIST SEPARATOR SKID"/>
    <s v="EACOP"/>
    <s v="CPP AGI"/>
    <m/>
    <m/>
    <s v="20"/>
    <m/>
    <m/>
    <s v="TZ-MID-68-WPR2-135130"/>
    <s v="PS5 - TZA - PS5 - Tanzania"/>
    <s v="PS5-60-44 - Oil Mist Separator Skid PS5-60-VS-9100C"/>
    <m/>
    <s v="PS5-60-44"/>
    <x v="1"/>
    <x v="0"/>
    <s v="Package"/>
    <s v="M"/>
    <x v="0"/>
    <s v="PS5 - Milestone D"/>
    <s v="TM-00090"/>
    <m/>
    <s v="TZ-MID-68-WPR2-135130"/>
  </r>
  <r>
    <s v="T-00090-0205"/>
    <s v="PS5-60-VS-9100D"/>
    <m/>
    <m/>
    <m/>
    <m/>
    <x v="31"/>
    <s v="PCOM - Precommissioning"/>
    <s v="I"/>
    <x v="0"/>
    <x v="1"/>
    <s v="OIL MIST SEPARATOR SKID"/>
    <s v="EACOP"/>
    <s v="CPP AGI"/>
    <m/>
    <m/>
    <s v="20"/>
    <m/>
    <m/>
    <s v="TZ-MID-68-WPR2-135130"/>
    <s v="PS5 - TZA - PS5 - Tanzania"/>
    <s v="PS5-60-45 - Oil Mist Separator Skid PS5-60-VS-9100D"/>
    <m/>
    <s v="PS5-60-45"/>
    <x v="1"/>
    <x v="0"/>
    <s v="Package"/>
    <s v="M"/>
    <x v="0"/>
    <s v="PS5 - Milestone D"/>
    <s v="TM-00090"/>
    <m/>
    <s v="TZ-MID-68-WPR2-135130"/>
  </r>
  <r>
    <s v="T-00090-0209"/>
    <s v="PS5-71-UZ-6500"/>
    <m/>
    <m/>
    <m/>
    <m/>
    <x v="31"/>
    <s v="PCOM - Precommissioning"/>
    <s v="I"/>
    <x v="0"/>
    <x v="1"/>
    <s v="DIESEL FUEL SEPARATOR MODULE"/>
    <s v="EACOP"/>
    <s v="CPP AGI"/>
    <m/>
    <m/>
    <s v="20"/>
    <m/>
    <m/>
    <s v="TZ-MID-68-WPR2-135009"/>
    <s v="PS5 - TZA - PS5 - Tanzania"/>
    <s v="PS5-71-18 - Diesel Separator Module"/>
    <m/>
    <s v="PS5-71-18"/>
    <x v="1"/>
    <x v="0"/>
    <s v="Package"/>
    <s v="M"/>
    <x v="0"/>
    <s v="PS5 - Milestone F"/>
    <s v="TM-00090"/>
    <m/>
    <s v="TZ-MID-68-WPR2-135009"/>
  </r>
  <r>
    <s v="T-00090-0210"/>
    <s v="PS5-71-UZ-6800A"/>
    <m/>
    <m/>
    <m/>
    <m/>
    <x v="31"/>
    <s v="PCOM - Precommissioning"/>
    <s v="I"/>
    <x v="0"/>
    <x v="1"/>
    <s v="CRUDE FUEL SEPARATOR MODULE A"/>
    <s v="EACOP"/>
    <s v="CPP AGI"/>
    <m/>
    <m/>
    <s v="20"/>
    <m/>
    <m/>
    <s v="TZ-MID-68-WPR2-135002"/>
    <s v="PS5 - TZA - PS5 - Tanzania"/>
    <s v="PS5-71-06 - Crude Fuel Separation Module"/>
    <m/>
    <s v="PS5-71-06"/>
    <x v="1"/>
    <x v="0"/>
    <s v="Package"/>
    <s v="M"/>
    <x v="0"/>
    <s v="PS5 - Milestone H"/>
    <s v="TM-00090"/>
    <m/>
    <s v="TZ-MID-68-WPR2-135002"/>
  </r>
  <r>
    <s v="T-00090-0211"/>
    <s v="PS5-71-UZ-6800B"/>
    <m/>
    <m/>
    <m/>
    <m/>
    <x v="31"/>
    <s v="PCOM - Precommissioning"/>
    <s v="I"/>
    <x v="0"/>
    <x v="1"/>
    <s v="CRUDE FUEL SEPARATOR MODULE B"/>
    <s v="EACOP"/>
    <s v="CPP AGI"/>
    <m/>
    <m/>
    <s v="20"/>
    <m/>
    <m/>
    <s v="TZ-MID-68-WPR2-135002"/>
    <s v="PS5 - TZA - PS5 - Tanzania"/>
    <s v="PS5-71-06 - Crude Fuel Separation Module"/>
    <m/>
    <s v="PS5-71-06"/>
    <x v="1"/>
    <x v="0"/>
    <s v="Package"/>
    <s v="M"/>
    <x v="0"/>
    <s v="PS5 - Milestone H"/>
    <s v="TM-00090"/>
    <m/>
    <s v="TZ-MID-68-WPR2-135002"/>
  </r>
  <r>
    <s v="T-00090-0215"/>
    <s v="PS5-60-EA-2100A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0 - Engine A Cooling system"/>
    <m/>
    <s v="PS5-60-70"/>
    <x v="0"/>
    <x v="0"/>
    <s v="Package"/>
    <s v="M"/>
    <x v="0"/>
    <s v="PS5 - Milestone B"/>
    <s v="TM-00090"/>
    <m/>
    <s v="TZ-MID-68-WPR2-135122"/>
  </r>
  <r>
    <s v="T-00090-0216"/>
    <s v="PS5-60-EA-2100B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0 - Engine A Cooling system"/>
    <m/>
    <s v="PS5-60-70"/>
    <x v="0"/>
    <x v="0"/>
    <s v="Package"/>
    <s v="M"/>
    <x v="0"/>
    <s v="PS5 - Milestone B"/>
    <s v="TM-00090"/>
    <m/>
    <s v="TZ-MID-68-WPR2-135122"/>
  </r>
  <r>
    <s v="T-00090-0217"/>
    <s v="PS5-60-EA-21100A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90"/>
    <m/>
    <s v="TZ-MID-68-WPR2-135100"/>
  </r>
  <r>
    <s v="T-00090-0218"/>
    <s v="PS5-60-EA-21100B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90"/>
    <m/>
    <s v="TZ-MID-68-WPR2-135103"/>
  </r>
  <r>
    <s v="T-00090-0219"/>
    <s v="PS5-60-EA-21100C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90"/>
    <m/>
    <s v="TZ-MID-68-WPR2-135106"/>
  </r>
  <r>
    <s v="T-00090-0220"/>
    <s v="PS5-60-EA-21100D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90"/>
    <m/>
    <s v="TZ-MID-68-WPR2-135109"/>
  </r>
  <r>
    <s v="T-00090-0224"/>
    <s v="PS5-60-EA-21200A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90"/>
    <m/>
    <s v="TZ-MID-68-WPR2-135100"/>
  </r>
  <r>
    <s v="T-00090-0225"/>
    <s v="PS5-60-EA-21200B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90"/>
    <m/>
    <s v="TZ-MID-68-WPR2-135103"/>
  </r>
  <r>
    <s v="T-00090-0226"/>
    <s v="PS5-60-EA-21200C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90"/>
    <m/>
    <s v="TZ-MID-68-WPR2-135106"/>
  </r>
  <r>
    <s v="T-00090-0227"/>
    <s v="PS5-60-EA-21200D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90"/>
    <m/>
    <s v="TZ-MID-68-WPR2-135109"/>
  </r>
  <r>
    <s v="T-00090-0231"/>
    <s v="PS5-60-EA-2200A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1 - Engine B Cooling system"/>
    <m/>
    <s v="PS5-60-71"/>
    <x v="0"/>
    <x v="0"/>
    <s v="Package"/>
    <s v="M"/>
    <x v="0"/>
    <s v="PS5 - Milestone B"/>
    <s v="TM-00090"/>
    <m/>
    <s v="TZ-MID-68-WPR2-135122"/>
  </r>
  <r>
    <s v="T-00090-0232"/>
    <s v="PS5-60-EA-2200B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1 - Engine B Cooling system"/>
    <m/>
    <s v="PS5-60-71"/>
    <x v="0"/>
    <x v="0"/>
    <s v="Package"/>
    <s v="M"/>
    <x v="0"/>
    <s v="PS5 - Milestone B"/>
    <s v="TM-00090"/>
    <m/>
    <s v="TZ-MID-68-WPR2-135122"/>
  </r>
  <r>
    <s v="T-00090-0233"/>
    <s v="PS5-60-EA-2300A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2 - Engine C Cooling system"/>
    <m/>
    <s v="PS5-60-72"/>
    <x v="1"/>
    <x v="0"/>
    <s v="Package"/>
    <s v="M"/>
    <x v="0"/>
    <s v="PS5 - Milestone D"/>
    <s v="TM-00090"/>
    <m/>
    <s v="TZ-MID-68-WPR2-135122"/>
  </r>
  <r>
    <s v="T-00090-0234"/>
    <s v="PS5-60-EA-2300B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2 - Engine C Cooling system"/>
    <m/>
    <s v="PS5-60-72"/>
    <x v="1"/>
    <x v="0"/>
    <s v="Package"/>
    <s v="M"/>
    <x v="0"/>
    <s v="PS5 - Milestone D"/>
    <s v="TM-00090"/>
    <m/>
    <s v="TZ-MID-68-WPR2-135122"/>
  </r>
  <r>
    <s v="T-00090-0235"/>
    <s v="PS5-60-EA-2400A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3 - Engine D Cooling system"/>
    <m/>
    <s v="PS5-60-73"/>
    <x v="1"/>
    <x v="0"/>
    <s v="Package"/>
    <s v="M"/>
    <x v="0"/>
    <s v="PS5 - Milestone D"/>
    <s v="TM-00090"/>
    <m/>
    <s v="TZ-MID-68-WPR2-135122"/>
  </r>
  <r>
    <s v="T-00090-0236"/>
    <s v="PS5-60-EA-2400B"/>
    <m/>
    <m/>
    <m/>
    <m/>
    <x v="31"/>
    <s v="PCOM - Precommissioning"/>
    <s v="I"/>
    <x v="0"/>
    <x v="1"/>
    <s v="POWER GENERATION ENGINE RADIATOR"/>
    <s v="EACOP"/>
    <s v="CPP AGI"/>
    <m/>
    <m/>
    <s v="20"/>
    <m/>
    <m/>
    <s v="TZ-MID-68-WPR2-135122"/>
    <s v="PS5 - TZA - PS5 - Tanzania"/>
    <s v="PS5-60-73 - Engine D Cooling system"/>
    <m/>
    <s v="PS5-60-73"/>
    <x v="1"/>
    <x v="0"/>
    <s v="Package"/>
    <s v="M"/>
    <x v="0"/>
    <s v="PS5 - Milestone D"/>
    <s v="TM-00090"/>
    <m/>
    <s v="TZ-MID-68-WPR2-135122"/>
  </r>
  <r>
    <s v="T-00090-0243"/>
    <s v="PS5-60-EA-2800A"/>
    <m/>
    <m/>
    <m/>
    <m/>
    <x v="31"/>
    <s v="PCOM - Precommissioning"/>
    <s v="I"/>
    <x v="0"/>
    <x v="1"/>
    <s v="RADIATOR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90"/>
    <m/>
    <s v="TZ-MID-68-WPR2-135129"/>
  </r>
  <r>
    <s v="T-00090-0244"/>
    <s v="PS5-60-EA-2800B"/>
    <m/>
    <m/>
    <m/>
    <m/>
    <x v="31"/>
    <s v="PCOM - Precommissioning"/>
    <s v="I"/>
    <x v="0"/>
    <x v="1"/>
    <s v="RADIATOR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90"/>
    <m/>
    <s v="TZ-MID-68-WPR2-135129"/>
  </r>
  <r>
    <s v="T-00090-0245"/>
    <s v="PS5-60-EA-2800C"/>
    <m/>
    <m/>
    <m/>
    <m/>
    <x v="31"/>
    <s v="PCOM - Precommissioning"/>
    <s v="I"/>
    <x v="0"/>
    <x v="1"/>
    <s v="RADIATOR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90"/>
    <m/>
    <s v="TZ-MID-68-WPR2-135129"/>
  </r>
  <r>
    <s v="T-00090-0246"/>
    <s v="PS5-60-EA-2800D"/>
    <m/>
    <m/>
    <m/>
    <m/>
    <x v="31"/>
    <s v="PCOM - Precommissioning"/>
    <s v="I"/>
    <x v="0"/>
    <x v="1"/>
    <s v="RADIATOR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90"/>
    <m/>
    <s v="TZ-MID-68-WPR2-135129"/>
  </r>
  <r>
    <s v="T-00090-0250"/>
    <s v="PS5-60-EA-2900A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23"/>
    <s v="PS5 - TZA - PS5 - Tanzania"/>
    <s v="PS5-60-56 - Fuel Conditioning Module PS5-60-UZ-8900A"/>
    <m/>
    <s v="PS5-60-56"/>
    <x v="0"/>
    <x v="0"/>
    <s v="Package"/>
    <s v="M"/>
    <x v="0"/>
    <s v="PS5 - Milestone B"/>
    <s v="TM-00090"/>
    <m/>
    <s v="TZ-MID-68-WPR2-135123"/>
  </r>
  <r>
    <s v="T-00090-0251"/>
    <s v="PS5-60-EA-2900B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23"/>
    <s v="PS5 - TZA - PS5 - Tanzania"/>
    <s v="PS5-60-58 - Fuel Conditioning Module PS5-60-UZ-8900B"/>
    <m/>
    <s v="PS5-60-58"/>
    <x v="0"/>
    <x v="0"/>
    <s v="Package"/>
    <s v="M"/>
    <x v="0"/>
    <s v="PS5 - Milestone B"/>
    <s v="TM-00090"/>
    <m/>
    <s v="TZ-MID-68-WPR2-135123"/>
  </r>
  <r>
    <s v="T-00090-0252"/>
    <s v="PS5-60-EA-2900C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23"/>
    <s v="PS5 - TZA - PS5 - Tanzania"/>
    <s v="PS5-60-60 - Fuel Conditioning Module PS5-60-UZ-8900C"/>
    <m/>
    <s v="PS5-60-60"/>
    <x v="1"/>
    <x v="0"/>
    <s v="Package"/>
    <s v="M"/>
    <x v="0"/>
    <s v="PS5 - Milestone D"/>
    <s v="TM-00090"/>
    <m/>
    <s v="TZ-MID-68-WPR2-135123"/>
  </r>
  <r>
    <s v="T-00090-0253"/>
    <s v="PS5-60-EA-2900D"/>
    <m/>
    <m/>
    <m/>
    <m/>
    <x v="31"/>
    <s v="PCOM - Precommissioning"/>
    <s v="I"/>
    <x v="0"/>
    <x v="1"/>
    <s v="COOLING SKID"/>
    <s v="EACOP"/>
    <s v="CPP AGI"/>
    <m/>
    <m/>
    <s v="20"/>
    <m/>
    <m/>
    <s v="TZ-MID-68-WPR2-135123"/>
    <s v="PS5 - TZA - PS5 - Tanzania"/>
    <s v="PS5-60-62 - Fuel Conditioning Module PS5-60-UZ-8900D"/>
    <m/>
    <s v="PS5-60-62"/>
    <x v="1"/>
    <x v="0"/>
    <s v="Package"/>
    <s v="M"/>
    <x v="0"/>
    <s v="PS5 - Milestone D"/>
    <s v="TM-00090"/>
    <m/>
    <s v="TZ-MID-68-WPR2-135123"/>
  </r>
  <r>
    <s v="T-00090-0257"/>
    <s v="PS5-60-TCV-0001A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6"/>
    <s v="PS5 - TZA - PS5 - Tanzania"/>
    <s v="PS5-60-70 - Engine A Cooling system"/>
    <m/>
    <s v="PS5-60-70"/>
    <x v="0"/>
    <x v="0"/>
    <s v="Package"/>
    <s v="M"/>
    <x v="0"/>
    <s v="PS5 - Milestone B"/>
    <s v="TM-00090"/>
    <m/>
    <s v="TZ-MID-68-WPR2-135136"/>
  </r>
  <r>
    <s v="T-00090-0258"/>
    <s v="PS5-60-TCV-0001B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6"/>
    <s v="PS5 - TZA - PS5 - Tanzania"/>
    <s v="PS5-60-71 - Engine B Cooling system"/>
    <m/>
    <s v="PS5-60-71"/>
    <x v="0"/>
    <x v="0"/>
    <s v="Package"/>
    <s v="M"/>
    <x v="0"/>
    <s v="PS5 - Milestone B"/>
    <s v="TM-00090"/>
    <m/>
    <s v="TZ-MID-68-WPR2-135136"/>
  </r>
  <r>
    <s v="T-00090-0259"/>
    <s v="PS5-60-TCV-0001C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6"/>
    <s v="PS5 - TZA - PS5 - Tanzania"/>
    <s v="PS5-60-72 - Engine C Cooling system"/>
    <m/>
    <s v="PS5-60-72"/>
    <x v="1"/>
    <x v="0"/>
    <s v="Package"/>
    <s v="M"/>
    <x v="0"/>
    <s v="PS5 - Milestone D"/>
    <s v="TM-00090"/>
    <m/>
    <s v="TZ-MID-68-WPR2-135136"/>
  </r>
  <r>
    <s v="T-00090-0260"/>
    <s v="PS5-60-TCV-0001D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6"/>
    <s v="PS5 - TZA - PS5 - Tanzania"/>
    <s v="PS5-60-73 - Engine D Cooling system"/>
    <m/>
    <s v="PS5-60-73"/>
    <x v="1"/>
    <x v="0"/>
    <s v="Package"/>
    <s v="M"/>
    <x v="0"/>
    <s v="PS5 - Milestone D"/>
    <s v="TM-00090"/>
    <m/>
    <s v="TZ-MID-68-WPR2-135136"/>
  </r>
  <r>
    <s v="T-00090-0264"/>
    <s v="PS5-60-TCV-0002A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7"/>
    <s v="PS5 - TZA - PS5 - Tanzania"/>
    <s v="PS5-60-70 - Engine A Cooling system"/>
    <m/>
    <s v="PS5-60-70"/>
    <x v="0"/>
    <x v="0"/>
    <s v="Package"/>
    <s v="M"/>
    <x v="0"/>
    <s v="PS5 - Milestone B"/>
    <s v="TM-00090"/>
    <m/>
    <s v="TZ-MID-68-WPR2-135137"/>
  </r>
  <r>
    <s v="T-00090-0265"/>
    <s v="PS5-60-TCV-0002B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7"/>
    <s v="PS5 - TZA - PS5 - Tanzania"/>
    <s v="PS5-60-71 - Engine B Cooling system"/>
    <m/>
    <s v="PS5-60-71"/>
    <x v="0"/>
    <x v="0"/>
    <s v="Package"/>
    <s v="M"/>
    <x v="0"/>
    <s v="PS5 - Milestone B"/>
    <s v="TM-00090"/>
    <m/>
    <s v="TZ-MID-68-WPR2-135137"/>
  </r>
  <r>
    <s v="T-00090-0266"/>
    <s v="PS5-60-TCV-0002C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7"/>
    <s v="PS5 - TZA - PS5 - Tanzania"/>
    <s v="PS5-60-72 - Engine C Cooling system"/>
    <m/>
    <s v="PS5-60-72"/>
    <x v="1"/>
    <x v="0"/>
    <s v="Package"/>
    <s v="M"/>
    <x v="0"/>
    <s v="PS5 - Milestone D"/>
    <s v="TM-00090"/>
    <m/>
    <s v="TZ-MID-68-WPR2-135137"/>
  </r>
  <r>
    <s v="T-00090-0267"/>
    <s v="PS5-60-TCV-0002D"/>
    <m/>
    <m/>
    <m/>
    <m/>
    <x v="31"/>
    <s v="PCOM - Precommissioning"/>
    <s v="I"/>
    <x v="0"/>
    <x v="1"/>
    <s v="THERMAL REGULATING VALVE SKID"/>
    <s v="EACOP"/>
    <s v="CPP AGI"/>
    <m/>
    <m/>
    <s v="20"/>
    <m/>
    <m/>
    <s v="TZ-MID-68-WPR2-135137"/>
    <s v="PS5 - TZA - PS5 - Tanzania"/>
    <s v="PS5-60-73 - Engine D Cooling system"/>
    <m/>
    <s v="PS5-60-73"/>
    <x v="1"/>
    <x v="0"/>
    <s v="Package"/>
    <s v="M"/>
    <x v="0"/>
    <s v="PS5 - Milestone D"/>
    <s v="TM-00090"/>
    <m/>
    <s v="TZ-MID-68-WPR2-135137"/>
  </r>
  <r>
    <s v="T-00090-0271"/>
    <s v="PS5-60-UA-5200"/>
    <m/>
    <m/>
    <m/>
    <m/>
    <x v="31"/>
    <s v="PCOM - Precommissioning"/>
    <s v="I"/>
    <x v="0"/>
    <x v="1"/>
    <s v="INSTRUMENT AIR COMPRESSOR MODULE"/>
    <s v="EACOP"/>
    <s v="CPP AGI"/>
    <m/>
    <m/>
    <s v="20"/>
    <m/>
    <m/>
    <s v="TZ-MID-68-WPR2-135127"/>
    <s v="PS5 - TZA - PS5 - Tanzania"/>
    <s v="PS5-60-26 - Instrument Air Compressor Skid"/>
    <m/>
    <s v="PS5-60-26"/>
    <x v="0"/>
    <x v="0"/>
    <s v="Package"/>
    <s v="M"/>
    <x v="0"/>
    <s v="PS5 - Milestone B"/>
    <s v="TM-00090"/>
    <m/>
    <s v="TZ-MID-68-WPR2-135127"/>
  </r>
  <r>
    <s v="T-00090-0272"/>
    <s v="PS5-60-UR-8200A"/>
    <m/>
    <m/>
    <m/>
    <m/>
    <x v="31"/>
    <s v="PCOM - Precommissioning"/>
    <s v="I"/>
    <x v="0"/>
    <x v="1"/>
    <s v="GENERATOR CW PUMP MODULE (ALTERN/ATOR BEARING SYSTEM)"/>
    <s v="EACOP"/>
    <s v="CPP AGI"/>
    <m/>
    <m/>
    <s v="20"/>
    <m/>
    <m/>
    <s v="TZ-MID-68-WPR2-135100"/>
    <s v="PS5 - TZA - PS5 - Tanzania"/>
    <s v="PS5-60-01 - Power Generation Package A"/>
    <m/>
    <s v="PS5-60-01"/>
    <x v="0"/>
    <x v="0"/>
    <s v="Package"/>
    <s v="M"/>
    <x v="0"/>
    <s v="PS5 - Milestone B"/>
    <s v="TM-00090"/>
    <m/>
    <s v="TZ-MID-68-WPR2-135100"/>
  </r>
  <r>
    <s v="T-00090-0273"/>
    <s v="PS5-60-UR-8200B"/>
    <m/>
    <m/>
    <m/>
    <m/>
    <x v="31"/>
    <s v="PCOM - Precommissioning"/>
    <s v="I"/>
    <x v="0"/>
    <x v="1"/>
    <s v="GENERATOR CW PUMP MODULE (ALTERN/ATOR BEARING SYSTEM)"/>
    <s v="EACOP"/>
    <s v="CPP AGI"/>
    <m/>
    <m/>
    <s v="20"/>
    <m/>
    <m/>
    <s v="TZ-MID-68-WPR2-135103"/>
    <s v="PS5 - TZA - PS5 - Tanzania"/>
    <s v="PS5-60-04 - Power Generation Package B"/>
    <m/>
    <s v="PS5-60-04"/>
    <x v="0"/>
    <x v="0"/>
    <s v="Package"/>
    <s v="M"/>
    <x v="0"/>
    <s v="PS5 - Milestone B"/>
    <s v="TM-00090"/>
    <m/>
    <s v="TZ-MID-68-WPR2-135103"/>
  </r>
  <r>
    <s v="T-00090-0274"/>
    <s v="PS5-60-UR-8200C"/>
    <m/>
    <m/>
    <m/>
    <m/>
    <x v="31"/>
    <s v="PCOM - Precommissioning"/>
    <s v="I"/>
    <x v="0"/>
    <x v="1"/>
    <s v="GENERATOR CW PUMP MODULE (ALTERN/ATOR BEARING SYSTEM)"/>
    <s v="EACOP"/>
    <s v="CPP AGI"/>
    <m/>
    <m/>
    <s v="20"/>
    <m/>
    <m/>
    <s v="TZ-MID-68-WPR2-135106"/>
    <s v="PS5 - TZA - PS5 - Tanzania"/>
    <s v="PS5-60-07 - Power Generation Package C"/>
    <m/>
    <s v="PS5-60-07"/>
    <x v="1"/>
    <x v="0"/>
    <s v="Package"/>
    <s v="M"/>
    <x v="0"/>
    <s v="PS5 - Milestone D"/>
    <s v="TM-00090"/>
    <m/>
    <s v="TZ-MID-68-WPR2-135106"/>
  </r>
  <r>
    <s v="T-00090-0275"/>
    <s v="PS5-60-UR-8200D"/>
    <m/>
    <m/>
    <m/>
    <m/>
    <x v="31"/>
    <s v="PCOM - Precommissioning"/>
    <s v="I"/>
    <x v="0"/>
    <x v="1"/>
    <s v="GENERATOR CW PUMP MODULE (ALTERN/ATOR BEARING SYSTEM)"/>
    <s v="EACOP"/>
    <s v="CPP AGI"/>
    <m/>
    <m/>
    <s v="20"/>
    <m/>
    <m/>
    <s v="TZ-MID-68-WPR2-135109"/>
    <s v="PS5 - TZA - PS5 - Tanzania"/>
    <s v="PS5-60-10 - Power Generation Package D"/>
    <m/>
    <s v="PS5-60-10"/>
    <x v="1"/>
    <x v="0"/>
    <s v="Package"/>
    <s v="M"/>
    <x v="0"/>
    <s v="PS5 - Milestone D"/>
    <s v="TM-00090"/>
    <m/>
    <s v="TZ-MID-68-WPR2-135109"/>
  </r>
  <r>
    <s v="T-00090-0280"/>
    <s v="PS5-60-UZ-8900A"/>
    <m/>
    <m/>
    <m/>
    <m/>
    <x v="31"/>
    <s v="PCOM - Precommissioning"/>
    <s v="I"/>
    <x v="0"/>
    <x v="1"/>
    <s v="FUEL CONDITIONING MODULE"/>
    <s v="EACOP"/>
    <s v="CPP AGI"/>
    <m/>
    <m/>
    <s v="20"/>
    <m/>
    <m/>
    <s v="TZ-MID-68-WPR2-135123"/>
    <s v="PS5 - TZA - PS5 - Tanzania"/>
    <s v="PS5-60-56 - Fuel Conditioning Module PS5-60-UZ-8900A"/>
    <m/>
    <s v="PS5-60-56"/>
    <x v="0"/>
    <x v="0"/>
    <s v="Package"/>
    <s v="M"/>
    <x v="0"/>
    <s v="PS5 - Milestone B"/>
    <s v="TM-00090"/>
    <m/>
    <s v="TZ-MID-68-WPR2-135123"/>
  </r>
  <r>
    <s v="T-00090-0281"/>
    <s v="PS5-60-UZ-8900B"/>
    <m/>
    <m/>
    <m/>
    <m/>
    <x v="31"/>
    <s v="PCOM - Precommissioning"/>
    <s v="I"/>
    <x v="0"/>
    <x v="1"/>
    <s v="FUEL CONDITIONING MODULE"/>
    <s v="EACOP"/>
    <s v="CPP AGI"/>
    <m/>
    <m/>
    <s v="20"/>
    <m/>
    <m/>
    <s v="TZ-MID-68-WPR2-135123"/>
    <s v="PS5 - TZA - PS5 - Tanzania"/>
    <s v="PS5-60-58 - Fuel Conditioning Module PS5-60-UZ-8900B"/>
    <m/>
    <s v="PS5-60-58"/>
    <x v="0"/>
    <x v="0"/>
    <s v="Package"/>
    <s v="M"/>
    <x v="0"/>
    <s v="PS5 - Milestone B"/>
    <s v="TM-00090"/>
    <m/>
    <s v="TZ-MID-68-WPR2-135123"/>
  </r>
  <r>
    <s v="T-00090-0282"/>
    <s v="PS5-60-UZ-8900C"/>
    <m/>
    <m/>
    <m/>
    <m/>
    <x v="31"/>
    <s v="PCOM - Precommissioning"/>
    <s v="I"/>
    <x v="0"/>
    <x v="1"/>
    <s v="FUEL CONDITIONING MODULE"/>
    <s v="EACOP"/>
    <s v="CPP AGI"/>
    <m/>
    <m/>
    <s v="20"/>
    <m/>
    <m/>
    <s v="TZ-MID-68-WPR2-135123"/>
    <s v="PS5 - TZA - PS5 - Tanzania"/>
    <s v="PS5-60-60 - Fuel Conditioning Module PS5-60-UZ-8900C"/>
    <m/>
    <s v="PS5-60-60"/>
    <x v="1"/>
    <x v="0"/>
    <s v="Package"/>
    <s v="M"/>
    <x v="0"/>
    <s v="PS5 - Milestone D"/>
    <s v="TM-00090"/>
    <m/>
    <s v="TZ-MID-68-WPR2-135123"/>
  </r>
  <r>
    <s v="T-00090-0283"/>
    <s v="PS5-60-UZ-8900D"/>
    <m/>
    <m/>
    <m/>
    <m/>
    <x v="31"/>
    <s v="PCOM - Precommissioning"/>
    <s v="I"/>
    <x v="0"/>
    <x v="1"/>
    <s v="FUEL CONDITIONING MODULE"/>
    <s v="EACOP"/>
    <s v="CPP AGI"/>
    <m/>
    <m/>
    <s v="20"/>
    <m/>
    <m/>
    <s v="TZ-MID-68-WPR2-135123"/>
    <s v="PS5 - TZA - PS5 - Tanzania"/>
    <s v="PS5-60-62 - Fuel Conditioning Module PS5-60-UZ-8900D"/>
    <m/>
    <s v="PS5-60-62"/>
    <x v="1"/>
    <x v="0"/>
    <s v="Package"/>
    <s v="M"/>
    <x v="0"/>
    <s v="PS5 - Milestone D"/>
    <s v="TM-00090"/>
    <m/>
    <s v="TZ-MID-68-WPR2-135123"/>
  </r>
  <r>
    <s v="T-00090-0288"/>
    <s v="PS5-71-UZ-6400"/>
    <m/>
    <m/>
    <m/>
    <m/>
    <x v="31"/>
    <s v="PCOM - Precommissioning"/>
    <s v="I"/>
    <x v="0"/>
    <x v="1"/>
    <s v="CRUDE FUEL OIL PRE-PRESSURE MODULE"/>
    <s v="EACOP"/>
    <s v="CPP AGI"/>
    <m/>
    <m/>
    <s v="20"/>
    <m/>
    <m/>
    <s v="TZ-MID-68-WPR2-135004"/>
    <s v="PS5 - TZA - PS5 - Tanzania"/>
    <s v="PS5-71-08 - CFO Pre-Pressure Modules"/>
    <m/>
    <s v="PS5-71-08"/>
    <x v="1"/>
    <x v="0"/>
    <s v="Package"/>
    <s v="M"/>
    <x v="0"/>
    <s v="PS5 - Milestone H"/>
    <s v="TM-00090"/>
    <m/>
    <s v="TZ-MID-68-WPR2-135004"/>
  </r>
  <r>
    <s v="T-00090-0289"/>
    <s v="PS5-71-UZ-6700"/>
    <m/>
    <m/>
    <m/>
    <m/>
    <x v="31"/>
    <s v="PCOM - Precommissioning"/>
    <s v="I"/>
    <x v="0"/>
    <x v="1"/>
    <s v="DIESEL FUEL OIL PRE-PRESSURE MODULE"/>
    <s v="EACOP"/>
    <s v="CPP AGI"/>
    <m/>
    <m/>
    <s v="20"/>
    <m/>
    <m/>
    <s v="TZ-MID-68-WPR2-135126"/>
    <s v="PS5 - TZA - PS5 - Tanzania"/>
    <s v="PS5-71-22 - Diesel Fuel Pre Pressure Module"/>
    <m/>
    <s v="PS5-71-22"/>
    <x v="0"/>
    <x v="0"/>
    <s v="Package"/>
    <s v="M"/>
    <x v="0"/>
    <s v="PS5 - Milestone B"/>
    <s v="TM-00090"/>
    <m/>
    <s v="TZ-MID-68-WPR2-135126"/>
  </r>
  <r>
    <s v="T-00090-0436"/>
    <s v="PS5-60-UR-8300A"/>
    <m/>
    <m/>
    <m/>
    <m/>
    <x v="31"/>
    <s v="PCOM - Precommissioning"/>
    <s v="I"/>
    <x v="0"/>
    <x v="1"/>
    <s v="POWER GENERATION - Cooler Module"/>
    <s v="EACOP"/>
    <s v="CPP AGI"/>
    <m/>
    <m/>
    <s v="20"/>
    <m/>
    <m/>
    <s v="TZ-MID-68-WPR2-135129"/>
    <s v="PS5 - TZA - PS5 - Tanzania"/>
    <s v="PS5-60-35 - Injector Tip Cooling Module A"/>
    <m/>
    <s v="PS5-60-35"/>
    <x v="0"/>
    <x v="0"/>
    <s v="Package"/>
    <s v="M"/>
    <x v="0"/>
    <s v="PS5 - Milestone B"/>
    <s v="TM-00090"/>
    <m/>
    <m/>
  </r>
  <r>
    <s v="T-00090-0437"/>
    <s v="PS5-60-UR-8300B"/>
    <m/>
    <m/>
    <m/>
    <m/>
    <x v="31"/>
    <s v="PCOM - Precommissioning"/>
    <s v="I"/>
    <x v="0"/>
    <x v="1"/>
    <s v="POWER GENERATION - Cooler Module"/>
    <s v="EACOP"/>
    <s v="CPP AGI"/>
    <m/>
    <m/>
    <s v="20"/>
    <m/>
    <m/>
    <s v="TZ-MID-68-WPR2-135129"/>
    <s v="PS5 - TZA - PS5 - Tanzania"/>
    <s v="PS5-60-36 - Injector Tip Cooling Module B"/>
    <m/>
    <s v="PS5-60-36"/>
    <x v="0"/>
    <x v="0"/>
    <s v="Package"/>
    <s v="M"/>
    <x v="0"/>
    <s v="PS5 - Milestone B"/>
    <s v="TM-00090"/>
    <m/>
    <m/>
  </r>
  <r>
    <s v="T-00090-0438"/>
    <s v="PS5-60-UR-8300C"/>
    <m/>
    <m/>
    <m/>
    <m/>
    <x v="31"/>
    <s v="PCOM - Precommissioning"/>
    <s v="I"/>
    <x v="0"/>
    <x v="1"/>
    <s v="POWER GENERATION - Cooler Module"/>
    <s v="EACOP"/>
    <s v="CPP AGI"/>
    <m/>
    <m/>
    <s v="20"/>
    <m/>
    <m/>
    <s v="TZ-MID-68-WPR2-135129"/>
    <s v="PS5 - TZA - PS5 - Tanzania"/>
    <s v="PS5-60-37 - Injector Tip Cooling Module C"/>
    <m/>
    <s v="PS5-60-37"/>
    <x v="1"/>
    <x v="0"/>
    <s v="Package"/>
    <s v="M"/>
    <x v="0"/>
    <s v="PS5 - Milestone D"/>
    <s v="TM-00090"/>
    <m/>
    <m/>
  </r>
  <r>
    <s v="T-00090-0439"/>
    <s v="PS5-60-UR-8300D"/>
    <m/>
    <m/>
    <m/>
    <m/>
    <x v="31"/>
    <s v="PCOM - Precommissioning"/>
    <s v="I"/>
    <x v="0"/>
    <x v="1"/>
    <s v="POWER GENERATION - Cooler Module"/>
    <s v="EACOP"/>
    <s v="CPP AGI"/>
    <m/>
    <m/>
    <s v="20"/>
    <m/>
    <m/>
    <s v="TZ-MID-68-WPR2-135129"/>
    <s v="PS5 - TZA - PS5 - Tanzania"/>
    <s v="PS5-60-38 - Injector Tip Cooling Module D"/>
    <m/>
    <s v="PS5-60-38"/>
    <x v="1"/>
    <x v="0"/>
    <s v="Package"/>
    <s v="M"/>
    <x v="0"/>
    <s v="PS5 - Milestone D"/>
    <s v="TM-00090"/>
    <m/>
    <m/>
  </r>
  <r>
    <s v="T-00254-12960"/>
    <s v="PS5-60-BI-0001A-CC02"/>
    <m/>
    <m/>
    <m/>
    <m/>
    <x v="32"/>
    <s v="PCOM - Precommissioning"/>
    <s v="I"/>
    <x v="1"/>
    <x v="1"/>
    <s v="Cable FROM PS5-60-IE-0001A TO PS5-60-BI-0001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12961"/>
    <s v="PS5-60-BI-0001B-CC02"/>
    <m/>
    <m/>
    <m/>
    <m/>
    <x v="32"/>
    <s v="PCOM - Precommissioning"/>
    <s v="I"/>
    <x v="1"/>
    <x v="1"/>
    <s v="Cable FROM PS5-60-IE-0001B TO PS5-60-BI-0001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12962"/>
    <s v="PS5-60-BI-0001C-CC02"/>
    <m/>
    <m/>
    <m/>
    <m/>
    <x v="32"/>
    <s v="PCOM - Precommissioning"/>
    <s v="I"/>
    <x v="1"/>
    <x v="1"/>
    <s v="Cable FROM PS5-60-IE-0001C TO PS5-60-BI-0001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12963"/>
    <s v="PS5-60-BI-0001D-CC02"/>
    <m/>
    <m/>
    <m/>
    <m/>
    <x v="32"/>
    <s v="PCOM - Precommissioning"/>
    <s v="I"/>
    <x v="1"/>
    <x v="1"/>
    <s v="Cable FROM PS5-60-IE-0001D TO PS5-60-BI-0001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12967"/>
    <s v="PS5-60-BI-0003-CC03"/>
    <m/>
    <m/>
    <m/>
    <m/>
    <x v="32"/>
    <s v="PCOM - Precommissioning"/>
    <s v="I"/>
    <x v="1"/>
    <x v="1"/>
    <s v="Cable FROM PS5-60-IE-0004 TO PS5-60-BI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12968"/>
    <s v="PS5-60-IE-0002A-CC01"/>
    <m/>
    <m/>
    <m/>
    <m/>
    <x v="32"/>
    <s v="PCOM - Precommissioning"/>
    <s v="I"/>
    <x v="1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12969"/>
    <s v="PS5-60-IE-0002A-CC02"/>
    <m/>
    <m/>
    <m/>
    <m/>
    <x v="32"/>
    <s v="PCOM - Precommissioning"/>
    <s v="I"/>
    <x v="1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12970"/>
    <s v="PS5-60-IE-0002A-CC03"/>
    <m/>
    <m/>
    <m/>
    <m/>
    <x v="32"/>
    <s v="PCOM - Precommissioning"/>
    <s v="I"/>
    <x v="1"/>
    <x v="1"/>
    <s v="Cable FROM PS5-60-IE-0001A TO PS5-60-IE-0002A"/>
    <s v="EACOP"/>
    <s v="CPP AGI"/>
    <m/>
    <m/>
    <s v="4"/>
    <m/>
    <s v="4"/>
    <m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12971"/>
    <s v="PS5-60-IE-0002B-CC01"/>
    <m/>
    <m/>
    <m/>
    <m/>
    <x v="32"/>
    <s v="PCOM - Precommissioning"/>
    <s v="I"/>
    <x v="1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12972"/>
    <s v="PS5-60-IE-0002B-CC02"/>
    <m/>
    <m/>
    <m/>
    <m/>
    <x v="32"/>
    <s v="PCOM - Precommissioning"/>
    <s v="I"/>
    <x v="1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12973"/>
    <s v="PS5-60-IE-0002B-CC03"/>
    <m/>
    <m/>
    <m/>
    <m/>
    <x v="32"/>
    <s v="PCOM - Precommissioning"/>
    <s v="I"/>
    <x v="1"/>
    <x v="1"/>
    <s v="Cable FROM PS5-60-IE-0001B TO PS5-60-IE-0002B"/>
    <s v="EACOP"/>
    <s v="CPP AGI"/>
    <m/>
    <m/>
    <s v="4"/>
    <m/>
    <s v="4"/>
    <m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12974"/>
    <s v="PS5-60-IE-0002C-CC01"/>
    <m/>
    <m/>
    <m/>
    <m/>
    <x v="32"/>
    <s v="PCOM - Precommissioning"/>
    <s v="I"/>
    <x v="1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12975"/>
    <s v="PS5-60-IE-0002C-CC02"/>
    <m/>
    <m/>
    <m/>
    <m/>
    <x v="32"/>
    <s v="PCOM - Precommissioning"/>
    <s v="I"/>
    <x v="1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12976"/>
    <s v="PS5-60-IE-0002C-CC03"/>
    <m/>
    <m/>
    <m/>
    <m/>
    <x v="32"/>
    <s v="PCOM - Precommissioning"/>
    <s v="I"/>
    <x v="1"/>
    <x v="1"/>
    <s v="Cable FROM PS5-60-IE-0001C TO PS5-60-IE-0002C"/>
    <s v="EACOP"/>
    <s v="CPP AGI"/>
    <m/>
    <m/>
    <s v="4"/>
    <m/>
    <s v="4"/>
    <m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12977"/>
    <s v="PS5-60-IE-0002D-CC01"/>
    <m/>
    <m/>
    <m/>
    <m/>
    <x v="32"/>
    <s v="PCOM - Precommissioning"/>
    <s v="I"/>
    <x v="1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12978"/>
    <s v="PS5-60-IE-0002D-CC02"/>
    <m/>
    <m/>
    <m/>
    <m/>
    <x v="32"/>
    <s v="PCOM - Precommissioning"/>
    <s v="I"/>
    <x v="1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12979"/>
    <s v="PS5-60-IE-0002D-CC03"/>
    <m/>
    <m/>
    <m/>
    <m/>
    <x v="32"/>
    <s v="PCOM - Precommissioning"/>
    <s v="I"/>
    <x v="1"/>
    <x v="1"/>
    <s v="Cable FROM PS5-60-IE-0001D TO PS5-60-IE-0002D"/>
    <s v="EACOP"/>
    <s v="CPP AGI"/>
    <m/>
    <m/>
    <s v="4"/>
    <m/>
    <s v="4"/>
    <m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12989"/>
    <s v="PS5-60-IH-0001A-CC01"/>
    <m/>
    <m/>
    <m/>
    <m/>
    <x v="32"/>
    <s v="PCOM - Precommissioning"/>
    <s v="I"/>
    <x v="1"/>
    <x v="1"/>
    <s v="Cable FROM PS5-60-IE-0003A TO PS5-60-IH-0001A"/>
    <s v="EACOP"/>
    <s v="CPP AGI"/>
    <m/>
    <m/>
    <s v="4"/>
    <m/>
    <s v="4"/>
    <m/>
    <s v="PS5 - TZA - PS5 - Tanzania"/>
    <s v="PS5-60-03 - Power Gen Package A Generator Auxiliary MCCs &amp; DBs"/>
    <m/>
    <s v="PS5-60-03"/>
    <x v="0"/>
    <x v="0"/>
    <s v="Multi/Single-Core Instrument Control Cable"/>
    <s v="I"/>
    <x v="0"/>
    <s v="PS5 - Milestone B"/>
    <s v="TM-00254"/>
    <m/>
    <m/>
  </r>
  <r>
    <s v="T-00254-12990"/>
    <s v="PS5-60-IH-0001A-CC02"/>
    <m/>
    <m/>
    <m/>
    <m/>
    <x v="32"/>
    <s v="PCOM - Precommissioning"/>
    <s v="I"/>
    <x v="1"/>
    <x v="1"/>
    <s v="Cable FROM PS5-60-IE-0003A TO PS5-60-IH-0001A"/>
    <s v="EACOP"/>
    <s v="CPP AGI"/>
    <m/>
    <m/>
    <s v="4"/>
    <m/>
    <s v="4"/>
    <m/>
    <s v="PS5 - TZA - PS5 - Tanzania"/>
    <s v="PS5-60-03 - Power Gen Package A Generator Auxiliary MCCs &amp; DBs"/>
    <m/>
    <s v="PS5-60-03"/>
    <x v="0"/>
    <x v="0"/>
    <s v="Multi/Single-Core Instrument Control Cable"/>
    <s v="I"/>
    <x v="0"/>
    <s v="PS5 - Milestone B"/>
    <s v="TM-00254"/>
    <m/>
    <m/>
  </r>
  <r>
    <s v="T-00254-12991"/>
    <s v="PS5-60-IH-0001B-CC01"/>
    <m/>
    <m/>
    <m/>
    <m/>
    <x v="32"/>
    <s v="PCOM - Precommissioning"/>
    <s v="I"/>
    <x v="1"/>
    <x v="1"/>
    <s v="Cable FROM PS5-60-IE-0003B TO PS5-60-IH-0001B"/>
    <s v="EACOP"/>
    <s v="CPP AGI"/>
    <m/>
    <m/>
    <s v="4"/>
    <m/>
    <s v="4"/>
    <m/>
    <s v="PS5 - TZA - PS5 - Tanzania"/>
    <s v="PS5-60-06 - Power Gen Package B Generator Auxiliary MCCs &amp; DBs"/>
    <m/>
    <s v="PS5-60-06"/>
    <x v="0"/>
    <x v="0"/>
    <s v="Multi/Single-Core Instrument Control Cable"/>
    <s v="I"/>
    <x v="0"/>
    <s v="PS5 - Milestone B"/>
    <s v="TM-00254"/>
    <m/>
    <m/>
  </r>
  <r>
    <s v="T-00254-12992"/>
    <s v="PS5-60-IH-0001B-CC02"/>
    <m/>
    <m/>
    <m/>
    <m/>
    <x v="32"/>
    <s v="PCOM - Precommissioning"/>
    <s v="I"/>
    <x v="1"/>
    <x v="1"/>
    <s v="Cable FROM PS5-60-IE-0003B TO PS5-60-IH-0001B"/>
    <s v="EACOP"/>
    <s v="CPP AGI"/>
    <m/>
    <m/>
    <s v="4"/>
    <m/>
    <s v="4"/>
    <m/>
    <s v="PS5 - TZA - PS5 - Tanzania"/>
    <s v="PS5-60-06 - Power Gen Package B Generator Auxiliary MCCs &amp; DBs"/>
    <m/>
    <s v="PS5-60-06"/>
    <x v="0"/>
    <x v="0"/>
    <s v="Multi/Single-Core Instrument Control Cable"/>
    <s v="I"/>
    <x v="0"/>
    <s v="PS5 - Milestone B"/>
    <s v="TM-00254"/>
    <m/>
    <m/>
  </r>
  <r>
    <s v="T-00254-12993"/>
    <s v="PS5-60-IH-0001C-CC01"/>
    <m/>
    <m/>
    <m/>
    <m/>
    <x v="32"/>
    <s v="PCOM - Precommissioning"/>
    <s v="I"/>
    <x v="1"/>
    <x v="1"/>
    <s v="Cable FROM PS5-60-IE-0003C TO PS5-60-IH-0001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Multi/Single-Core Instrument Control Cable"/>
    <s v="I"/>
    <x v="0"/>
    <s v="PS5 - Milestone D"/>
    <s v="TM-00254"/>
    <m/>
    <m/>
  </r>
  <r>
    <s v="T-00254-12994"/>
    <s v="PS5-60-IH-0001C-CC02"/>
    <m/>
    <m/>
    <m/>
    <m/>
    <x v="32"/>
    <s v="PCOM - Precommissioning"/>
    <s v="I"/>
    <x v="1"/>
    <x v="1"/>
    <s v="Cable FROM PS5-60-IE-0003C TO PS5-60-IH-0001C"/>
    <s v="EACOP"/>
    <s v="CPP AGI"/>
    <m/>
    <m/>
    <s v="4"/>
    <m/>
    <s v="4"/>
    <m/>
    <s v="PS5 - TZA - PS5 - Tanzania"/>
    <s v="PS5-60-09 - Power Gen Package C Generator Auxiliary MCCs &amp; DBs"/>
    <m/>
    <s v="PS5-60-09"/>
    <x v="1"/>
    <x v="0"/>
    <s v="Multi/Single-Core Instrument Control Cable"/>
    <s v="I"/>
    <x v="0"/>
    <s v="PS5 - Milestone D"/>
    <s v="TM-00254"/>
    <m/>
    <m/>
  </r>
  <r>
    <s v="T-00254-12995"/>
    <s v="PS5-60-IH-0001D-CC01"/>
    <m/>
    <m/>
    <m/>
    <m/>
    <x v="32"/>
    <s v="PCOM - Precommissioning"/>
    <s v="I"/>
    <x v="1"/>
    <x v="1"/>
    <s v="Cable FROM PS5-60-IE-0003D TO PS5-60-IH-0001D"/>
    <s v="EACOP"/>
    <s v="CPP AGI"/>
    <m/>
    <m/>
    <s v="4"/>
    <m/>
    <s v="4"/>
    <m/>
    <s v="PS5 - TZA - PS5 - Tanzania"/>
    <s v="PS5-60-12 - Power Gen Package D Generator Auxiliary MCCs &amp; DBs"/>
    <m/>
    <s v="PS5-60-12"/>
    <x v="1"/>
    <x v="0"/>
    <s v="Multi/Single-Core Instrument Control Cable"/>
    <s v="I"/>
    <x v="0"/>
    <s v="PS5 - Milestone D"/>
    <s v="TM-00254"/>
    <m/>
    <m/>
  </r>
  <r>
    <s v="T-00254-12996"/>
    <s v="PS5-60-IH-0001D-CC02"/>
    <m/>
    <m/>
    <m/>
    <m/>
    <x v="32"/>
    <s v="PCOM - Precommissioning"/>
    <s v="I"/>
    <x v="1"/>
    <x v="1"/>
    <s v="Cable FROM PS5-60-IE-0003D TO PS5-60-IH-0001D"/>
    <s v="EACOP"/>
    <s v="CPP AGI"/>
    <m/>
    <m/>
    <s v="4"/>
    <m/>
    <s v="4"/>
    <m/>
    <s v="PS5 - TZA - PS5 - Tanzania"/>
    <s v="PS5-60-12 - Power Gen Package D Generator Auxiliary MCCs &amp; DBs"/>
    <m/>
    <s v="PS5-60-12"/>
    <x v="1"/>
    <x v="0"/>
    <s v="Multi/Single-Core Instrument Control Cable"/>
    <s v="I"/>
    <x v="0"/>
    <s v="PS5 - Milestone D"/>
    <s v="TM-00254"/>
    <m/>
    <m/>
  </r>
  <r>
    <s v="T-00254-13003"/>
    <s v="PS5-60-IH-0002-CC01"/>
    <m/>
    <m/>
    <m/>
    <m/>
    <x v="32"/>
    <s v="PCOM - Precommissioning"/>
    <s v="I"/>
    <x v="1"/>
    <x v="1"/>
    <s v="Cable FROM PS5-60-IE-0004 TO PS5-60-IH-0002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13004"/>
    <s v="PS5-60-IH-0002-CC02"/>
    <m/>
    <m/>
    <m/>
    <m/>
    <x v="32"/>
    <s v="PCOM - Precommissioning"/>
    <s v="I"/>
    <x v="1"/>
    <x v="1"/>
    <s v="Cable FROM PS5-60-IE-0004 TO PS5-60-IH-0002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13005"/>
    <s v="PS5-60-LA-0003-CC02"/>
    <m/>
    <m/>
    <m/>
    <m/>
    <x v="32"/>
    <s v="PCOM - Precommissioning"/>
    <s v="I"/>
    <x v="1"/>
    <x v="1"/>
    <s v="Cable FROM PS5-60-IE-0004 TO PS5-60-LA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13006"/>
    <s v="PS5-60-LA-0003-CC03"/>
    <m/>
    <m/>
    <m/>
    <m/>
    <x v="32"/>
    <s v="PCOM - Precommissioning"/>
    <s v="I"/>
    <x v="1"/>
    <x v="1"/>
    <s v="Cable FROM PS5-60-IE-0004 TO PS5-60-LA-0003"/>
    <s v="EACOP"/>
    <s v="CPP AGI"/>
    <m/>
    <m/>
    <s v="4"/>
    <m/>
    <s v="4"/>
    <m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13007"/>
    <s v="PS5-60-PIT-8113A-CC01"/>
    <m/>
    <m/>
    <m/>
    <m/>
    <x v="32"/>
    <s v="PCOM - Precommissioning"/>
    <s v="I"/>
    <x v="1"/>
    <x v="1"/>
    <s v="Cable FROM PS5-60-IE-0001A TO PS5-60-BE-0027A"/>
    <s v="EACOP"/>
    <s v="CPP AGI"/>
    <m/>
    <m/>
    <s v="4"/>
    <m/>
    <s v="4"/>
    <m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254"/>
    <m/>
    <m/>
  </r>
  <r>
    <s v="T-00254-13008"/>
    <s v="PS5-60-PIT-8113B-CC01"/>
    <m/>
    <m/>
    <m/>
    <m/>
    <x v="32"/>
    <s v="PCOM - Precommissioning"/>
    <s v="I"/>
    <x v="1"/>
    <x v="1"/>
    <s v="Cable FROM PS5-60-IE-0001B TO PS5-60-BE-0027B"/>
    <s v="EACOP"/>
    <s v="CPP AGI"/>
    <m/>
    <m/>
    <s v="4"/>
    <m/>
    <s v="4"/>
    <m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254"/>
    <m/>
    <m/>
  </r>
  <r>
    <s v="T-00254-13009"/>
    <s v="PS5-60-PIT-8113C-CC01"/>
    <m/>
    <m/>
    <m/>
    <m/>
    <x v="32"/>
    <s v="PCOM - Precommissioning"/>
    <s v="I"/>
    <x v="1"/>
    <x v="1"/>
    <s v="Cable FROM PS5-60-IE-0001C TO PS5-60-BE-0027C"/>
    <s v="EACOP"/>
    <s v="CPP AGI"/>
    <m/>
    <m/>
    <s v="4"/>
    <m/>
    <s v="4"/>
    <m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254"/>
    <m/>
    <m/>
  </r>
  <r>
    <s v="T-00254-13010"/>
    <s v="PS5-60-PIT-8113D-CC01"/>
    <m/>
    <m/>
    <m/>
    <m/>
    <x v="32"/>
    <s v="PCOM - Precommissioning"/>
    <s v="I"/>
    <x v="1"/>
    <x v="1"/>
    <s v="Cable FROM PS5-60-IE-0001D TO PS5-60-BE-0027D"/>
    <s v="EACOP"/>
    <s v="CPP AGI"/>
    <m/>
    <m/>
    <s v="4"/>
    <m/>
    <s v="4"/>
    <m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254"/>
    <m/>
    <m/>
  </r>
  <r>
    <s v="T-00254-13014"/>
    <s v="PS5-60-PIT-8114A-CC01"/>
    <m/>
    <m/>
    <m/>
    <m/>
    <x v="32"/>
    <s v="PCOM - Precommissioning"/>
    <s v="I"/>
    <x v="1"/>
    <x v="1"/>
    <s v="Cable FROM PS5-60-IE-0001A TO PS5-60-BE-0027A"/>
    <s v="EACOP"/>
    <s v="CPP AGI"/>
    <m/>
    <m/>
    <s v="4"/>
    <m/>
    <s v="4"/>
    <m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254"/>
    <m/>
    <m/>
  </r>
  <r>
    <s v="T-00254-13015"/>
    <s v="PS5-60-PIT-8114B-CC01"/>
    <m/>
    <m/>
    <m/>
    <m/>
    <x v="32"/>
    <s v="PCOM - Precommissioning"/>
    <s v="I"/>
    <x v="1"/>
    <x v="1"/>
    <s v="Cable FROM PS5-60-IE-0001B TO PS5-60-BE-0027B"/>
    <s v="EACOP"/>
    <s v="CPP AGI"/>
    <m/>
    <m/>
    <s v="4"/>
    <m/>
    <s v="4"/>
    <m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254"/>
    <m/>
    <m/>
  </r>
  <r>
    <s v="T-00254-13016"/>
    <s v="PS5-60-PIT-8114C-CC01"/>
    <m/>
    <m/>
    <m/>
    <m/>
    <x v="32"/>
    <s v="PCOM - Precommissioning"/>
    <s v="I"/>
    <x v="1"/>
    <x v="1"/>
    <s v="Cable FROM PS5-60-IE-0001C TO PS5-60-BE-0027C"/>
    <s v="EACOP"/>
    <s v="CPP AGI"/>
    <m/>
    <m/>
    <s v="4"/>
    <m/>
    <s v="4"/>
    <m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254"/>
    <m/>
    <m/>
  </r>
  <r>
    <s v="T-00254-13017"/>
    <s v="PS5-60-PIT-8114D-CC01"/>
    <m/>
    <m/>
    <m/>
    <m/>
    <x v="32"/>
    <s v="PCOM - Precommissioning"/>
    <s v="I"/>
    <x v="1"/>
    <x v="1"/>
    <s v="Cable FROM PS5-60-IE-0001D TO PS5-60-BE-0027D"/>
    <s v="EACOP"/>
    <s v="CPP AGI"/>
    <m/>
    <m/>
    <s v="4"/>
    <m/>
    <s v="4"/>
    <m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254"/>
    <m/>
    <m/>
  </r>
  <r>
    <s v="T-00254-13021"/>
    <s v="PS5-71-IN-0004A-CC10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s v="4"/>
    <m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4499"/>
    <s v="PS5-03-RDOS-1401-CJ01"/>
    <m/>
    <m/>
    <m/>
    <m/>
    <x v="32"/>
    <s v="PCOM - Precommissioning"/>
    <s v="I"/>
    <x v="1"/>
    <x v="1"/>
    <s v="Cable FROM PS5-03-RMAC-1411 TO PS5-03-RDOS-14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0"/>
    <s v="PS5-03-RDOS-1402-CJ01"/>
    <m/>
    <m/>
    <m/>
    <m/>
    <x v="32"/>
    <s v="PCOM - Precommissioning"/>
    <s v="I"/>
    <x v="1"/>
    <x v="1"/>
    <s v="Cable FROM PS5-03-RDOS-1401 TO PS5-03-RDOS-1402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1"/>
    <s v="PS5-03-RDOS-1403-CJ01"/>
    <m/>
    <m/>
    <m/>
    <m/>
    <x v="32"/>
    <s v="PCOM - Precommissioning"/>
    <s v="I"/>
    <x v="1"/>
    <x v="1"/>
    <s v="Cable FROM PS5-03-RDOS-1402 TO PS5-03-RDOS-1403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2"/>
    <s v="PS5-03-RDOS-1404-CJ01"/>
    <m/>
    <m/>
    <m/>
    <m/>
    <x v="32"/>
    <s v="PCOM - Precommissioning"/>
    <s v="I"/>
    <x v="1"/>
    <x v="1"/>
    <s v="Cable FROM PS5-03-RDOS-1403 TO PS5-03-RDOS-1404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3"/>
    <s v="PS5-03-RDOS-1405-CJ01"/>
    <m/>
    <m/>
    <m/>
    <m/>
    <x v="32"/>
    <s v="PCOM - Precommissioning"/>
    <s v="I"/>
    <x v="1"/>
    <x v="1"/>
    <s v="Cable FROM PS5-03-RDOS-1404 TO PS5-03-RDOS-1405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4"/>
    <s v="PS5-03-RDOS-1406-CJ01"/>
    <m/>
    <m/>
    <m/>
    <m/>
    <x v="32"/>
    <s v="PCOM - Precommissioning"/>
    <s v="I"/>
    <x v="1"/>
    <x v="1"/>
    <s v="Cable FROM PS5-03-RDOS-1503 TO PS5-03-RDOS-1406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5"/>
    <s v="PS5-03-RDOS-1407-CJ01"/>
    <m/>
    <m/>
    <m/>
    <m/>
    <x v="32"/>
    <s v="PCOM - Precommissioning"/>
    <s v="I"/>
    <x v="1"/>
    <x v="1"/>
    <s v="Cable FROM PS5-03-RDOS-1405 TO PS5-03-RDOS-1407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06"/>
    <s v="PS5-03-RDOS-1408-CJ01"/>
    <m/>
    <m/>
    <m/>
    <m/>
    <x v="32"/>
    <s v="PCOM - Precommissioning"/>
    <s v="I"/>
    <x v="1"/>
    <x v="1"/>
    <s v="Cable FROM PS5-03-RDOS-1407 TO PS5-03-RDOS-1408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52"/>
    <s v="PS5-03-RMAC-1410-CJ01"/>
    <m/>
    <m/>
    <m/>
    <m/>
    <x v="32"/>
    <s v="PCOM - Precommissioning"/>
    <s v="I"/>
    <x v="1"/>
    <x v="1"/>
    <s v="Cable FROM PS5-03-RDOS-2103 TO PS5-03-RMAC-1410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553"/>
    <s v="PS5-03-RMAC-1411-CJ01"/>
    <m/>
    <m/>
    <m/>
    <m/>
    <x v="32"/>
    <s v="PCOM - Precommissioning"/>
    <s v="I"/>
    <x v="1"/>
    <x v="1"/>
    <s v="Cable FROM PS5-03-RDOS-1406 TO PS5-03-RMAC-141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4900"/>
    <s v="PS5-60-BE-0001-CC01"/>
    <m/>
    <m/>
    <m/>
    <m/>
    <x v="32"/>
    <s v="PCOM - Precommissioning"/>
    <s v="I"/>
    <x v="1"/>
    <x v="1"/>
    <s v="Cable FROM PS5-60-IE-0004 TO PS5-60-BE-0001"/>
    <s v="EACOP"/>
    <s v="CPP AGI"/>
    <m/>
    <m/>
    <s v="4"/>
    <m/>
    <m/>
    <s v="0"/>
    <s v="PS5 - TZA - PS5 - Tanzania"/>
    <s v="PS5-60-27 - Compressed Air Starting Skid"/>
    <d v="2026-07-10T16:38:48"/>
    <s v="PS5-60-27"/>
    <x v="0"/>
    <x v="0"/>
    <s v="Multi/Single-Core Instrument Control Cable"/>
    <s v="I"/>
    <x v="1"/>
    <s v="PS5 - Milestone B"/>
    <s v="TM-00254"/>
    <s v="Gawad, Mohamed"/>
    <m/>
  </r>
  <r>
    <s v="T-00254-4901"/>
    <s v="PS5-60-BE-0002-CC01"/>
    <m/>
    <m/>
    <m/>
    <m/>
    <x v="32"/>
    <s v="PCOM - Precommissioning"/>
    <s v="I"/>
    <x v="1"/>
    <x v="1"/>
    <s v="Cable FROM PS5-60-IE-0004 TO PS5-60-BE-0002"/>
    <s v="EACOP"/>
    <s v="CPP AGI"/>
    <m/>
    <m/>
    <s v="4"/>
    <m/>
    <m/>
    <s v="0"/>
    <s v="PS5 - TZA - PS5 - Tanzania"/>
    <s v="PS5-60-26 - Instrument Air Compressor Skid"/>
    <d v="2026-07-10T17:12:34"/>
    <s v="PS5-60-26"/>
    <x v="0"/>
    <x v="0"/>
    <s v="Multi/Single-Core Instrument Control Cable"/>
    <s v="I"/>
    <x v="1"/>
    <s v="PS5 - Milestone B"/>
    <s v="TM-00254"/>
    <s v="Gawad, Mohamed"/>
    <m/>
  </r>
  <r>
    <s v="T-00254-4902"/>
    <s v="PS5-60-BE-0004A-CC01"/>
    <m/>
    <m/>
    <m/>
    <m/>
    <x v="32"/>
    <s v="PCOM - Precommissioning"/>
    <s v="I"/>
    <x v="1"/>
    <x v="1"/>
    <s v="Cable FROM PS5-60-IN-0001A TO PS5-60-BE-0004A"/>
    <s v="EACOP"/>
    <s v="CPP AGI"/>
    <m/>
    <m/>
    <s v="4"/>
    <m/>
    <m/>
    <s v="0"/>
    <s v="PS5 - TZA - PS5 - Tanzania"/>
    <s v="PS5-60-49 - Lube Oil Separator Module PS5-60-UO-81100A"/>
    <d v="2026-07-10T16:29:32"/>
    <s v="PS5-60-49"/>
    <x v="0"/>
    <x v="0"/>
    <s v="Multi/Single-Core Instrument Control Cable"/>
    <s v="I"/>
    <x v="1"/>
    <s v="PS5 - Milestone B"/>
    <s v="TM-00254"/>
    <s v="Gawad, Mohamed"/>
    <m/>
  </r>
  <r>
    <s v="T-00254-4903"/>
    <s v="PS5-60-BE-0004B-CC01"/>
    <m/>
    <m/>
    <m/>
    <m/>
    <x v="32"/>
    <s v="PCOM - Precommissioning"/>
    <s v="I"/>
    <x v="1"/>
    <x v="1"/>
    <s v="Cable FROM PS5-60-IN-0001B TO PS5-60-BE-0004B"/>
    <s v="EACOP"/>
    <s v="CPP AGI"/>
    <m/>
    <m/>
    <s v="4"/>
    <m/>
    <m/>
    <s v="0"/>
    <s v="PS5 - TZA - PS5 - Tanzania"/>
    <s v="PS5-60-50 - Lube Oil Separator Module PS5-60-UO-81100B"/>
    <d v="2026-07-10T16:29:56"/>
    <s v="PS5-60-50"/>
    <x v="0"/>
    <x v="0"/>
    <s v="Multi/Single-Core Instrument Control Cable"/>
    <s v="I"/>
    <x v="1"/>
    <s v="PS5 - Milestone B"/>
    <s v="TM-00254"/>
    <s v="Gawad, Mohamed"/>
    <m/>
  </r>
  <r>
    <s v="T-00254-4904"/>
    <s v="PS5-60-BE-0004C-CC01"/>
    <m/>
    <m/>
    <m/>
    <m/>
    <x v="32"/>
    <s v="PCOM - Precommissioning"/>
    <s v="I"/>
    <x v="1"/>
    <x v="1"/>
    <s v="Cable FROM PS5-60-IN-0001C TO PS5-60-BE-0004C"/>
    <s v="EACOP"/>
    <s v="CPP AGI"/>
    <m/>
    <m/>
    <s v="4"/>
    <m/>
    <m/>
    <s v="0"/>
    <s v="PS5 - TZA - PS5 - Tanzania"/>
    <s v="PS5-60-51 - Lube Oil Separator Module PS5-60-UO-81100C"/>
    <d v="2026-07-10T16:31:25"/>
    <s v="PS5-60-51"/>
    <x v="1"/>
    <x v="0"/>
    <s v="Multi/Single-Core Instrument Control Cable"/>
    <s v="I"/>
    <x v="1"/>
    <s v="PS5 - Milestone D"/>
    <s v="TM-00254"/>
    <s v="Gawad, Mohamed"/>
    <m/>
  </r>
  <r>
    <s v="T-00254-4905"/>
    <s v="PS5-60-BE-0004D-CC01"/>
    <m/>
    <m/>
    <m/>
    <m/>
    <x v="32"/>
    <s v="PCOM - Precommissioning"/>
    <s v="I"/>
    <x v="1"/>
    <x v="1"/>
    <s v="Cable FROM PS5-60-IN-0001D TO PS5-60-BE-0004D"/>
    <s v="EACOP"/>
    <s v="CPP AGI"/>
    <m/>
    <m/>
    <s v="4"/>
    <m/>
    <m/>
    <s v="0"/>
    <s v="PS5 - TZA - PS5 - Tanzania"/>
    <s v="PS5-60-52 - Lube Oil Separator Module PS5-60-UO-81100D"/>
    <d v="2026-07-10T16:31:05"/>
    <s v="PS5-60-52"/>
    <x v="1"/>
    <x v="0"/>
    <s v="Multi/Single-Core Instrument Control Cable"/>
    <s v="I"/>
    <x v="1"/>
    <s v="PS5 - Milestone D"/>
    <s v="TM-00254"/>
    <s v="Gawad, Mohamed"/>
    <m/>
  </r>
  <r>
    <s v="T-00254-4909"/>
    <s v="PS5-60-BI-0001A-CC01"/>
    <m/>
    <m/>
    <m/>
    <m/>
    <x v="32"/>
    <s v="PCOM - Precommissioning"/>
    <s v="I"/>
    <x v="1"/>
    <x v="1"/>
    <s v="Cable FROM PS5-60-IE-0003A TO PS5-60-BI-0001A"/>
    <s v="EACOP"/>
    <s v="CPP AGI"/>
    <m/>
    <m/>
    <s v="4"/>
    <m/>
    <m/>
    <s v="0"/>
    <s v="PS5 - TZA - PS5 - Tanzania"/>
    <s v="PS5-60-01 - Power Generation Package A"/>
    <d v="2026-07-10T15:58:20"/>
    <s v="PS5-60-01"/>
    <x v="0"/>
    <x v="0"/>
    <s v="Multi/Single-Core Instrument Control Cable"/>
    <s v="I"/>
    <x v="1"/>
    <s v="PS5 - Milestone B"/>
    <s v="TM-00254"/>
    <s v="Gawad, Mohamed"/>
    <m/>
  </r>
  <r>
    <s v="T-00254-4910"/>
    <s v="PS5-60-BI-0001A-CC03"/>
    <m/>
    <m/>
    <m/>
    <m/>
    <x v="32"/>
    <s v="PCOM - Precommissioning"/>
    <s v="I"/>
    <x v="1"/>
    <x v="1"/>
    <s v="Cable FROM PS5-60-IE-0003A TO PS5-60-BI-0001A"/>
    <s v="EACOP"/>
    <s v="CPP AGI"/>
    <m/>
    <m/>
    <s v="4"/>
    <m/>
    <m/>
    <s v="0"/>
    <s v="PS5 - TZA - PS5 - Tanzania"/>
    <s v="PS5-60-01 - Power Generation Package A"/>
    <d v="2026-07-10T15:43:25"/>
    <s v="PS5-60-01"/>
    <x v="0"/>
    <x v="0"/>
    <s v="Multi/Single-Core Instrument Control Cable"/>
    <s v="I"/>
    <x v="1"/>
    <s v="PS5 - Milestone B"/>
    <s v="TM-00254"/>
    <s v="Gawad, Mohamed"/>
    <m/>
  </r>
  <r>
    <s v="T-00254-4911"/>
    <s v="PS5-60-BI-0001B-CC01"/>
    <m/>
    <m/>
    <m/>
    <m/>
    <x v="32"/>
    <s v="PCOM - Precommissioning"/>
    <s v="I"/>
    <x v="1"/>
    <x v="1"/>
    <s v="Cable FROM PS5-60-IE-0003B TO PS5-60-BI-0001B"/>
    <s v="EACOP"/>
    <s v="CPP AGI"/>
    <m/>
    <m/>
    <s v="4"/>
    <m/>
    <m/>
    <s v="0"/>
    <s v="PS5 - TZA - PS5 - Tanzania"/>
    <s v="PS5-60-04 - Power Generation Package B"/>
    <d v="2026-07-10T16:01:45"/>
    <s v="PS5-60-04"/>
    <x v="0"/>
    <x v="0"/>
    <s v="Multi/Single-Core Instrument Control Cable"/>
    <s v="I"/>
    <x v="1"/>
    <s v="PS5 - Milestone B"/>
    <s v="TM-00254"/>
    <s v="Gawad, Mohamed"/>
    <m/>
  </r>
  <r>
    <s v="T-00254-4912"/>
    <s v="PS5-60-BI-0001B-CC03"/>
    <m/>
    <m/>
    <m/>
    <m/>
    <x v="32"/>
    <s v="PCOM - Precommissioning"/>
    <s v="I"/>
    <x v="1"/>
    <x v="1"/>
    <s v="Cable FROM PS5-60-IE-0003B TO PS5-60-BI-0001B"/>
    <s v="EACOP"/>
    <s v="CPP AGI"/>
    <m/>
    <m/>
    <s v="4"/>
    <m/>
    <m/>
    <s v="0"/>
    <s v="PS5 - TZA - PS5 - Tanzania"/>
    <s v="PS5-60-04 - Power Generation Package B"/>
    <d v="2026-07-10T15:45:41"/>
    <s v="PS5-60-04"/>
    <x v="0"/>
    <x v="0"/>
    <s v="Multi/Single-Core Instrument Control Cable"/>
    <s v="I"/>
    <x v="1"/>
    <s v="PS5 - Milestone B"/>
    <s v="TM-00254"/>
    <s v="Gawad, Mohamed"/>
    <m/>
  </r>
  <r>
    <s v="T-00254-4913"/>
    <s v="PS5-60-BI-0001C-CC01"/>
    <m/>
    <m/>
    <m/>
    <m/>
    <x v="32"/>
    <s v="PCOM - Precommissioning"/>
    <s v="I"/>
    <x v="1"/>
    <x v="1"/>
    <s v="Cable FROM PS5-60-IE-0003C TO PS5-60-BI-0001C"/>
    <s v="EACOP"/>
    <s v="CPP AGI"/>
    <m/>
    <m/>
    <s v="4"/>
    <m/>
    <m/>
    <s v="0"/>
    <s v="PS5 - TZA - PS5 - Tanzania"/>
    <s v="PS5-60-07 - Power Generation Package C"/>
    <d v="2026-07-10T16:03:09"/>
    <s v="PS5-60-07"/>
    <x v="1"/>
    <x v="0"/>
    <s v="Multi/Single-Core Instrument Control Cable"/>
    <s v="I"/>
    <x v="1"/>
    <s v="PS5 - Milestone D"/>
    <s v="TM-00254"/>
    <s v="Gawad, Mohamed"/>
    <m/>
  </r>
  <r>
    <s v="T-00254-4914"/>
    <s v="PS5-60-BI-0001C-CC03"/>
    <m/>
    <m/>
    <m/>
    <m/>
    <x v="32"/>
    <s v="PCOM - Precommissioning"/>
    <s v="I"/>
    <x v="1"/>
    <x v="1"/>
    <s v="Cable FROM PS5-60-IE-0003C TO PS5-60-BI-0001C"/>
    <s v="EACOP"/>
    <s v="CPP AGI"/>
    <m/>
    <m/>
    <s v="4"/>
    <m/>
    <m/>
    <s v="0"/>
    <s v="PS5 - TZA - PS5 - Tanzania"/>
    <s v="PS5-60-07 - Power Generation Package C"/>
    <d v="2026-07-10T15:47:04"/>
    <s v="PS5-60-07"/>
    <x v="1"/>
    <x v="0"/>
    <s v="Multi/Single-Core Instrument Control Cable"/>
    <s v="I"/>
    <x v="1"/>
    <s v="PS5 - Milestone D"/>
    <s v="TM-00254"/>
    <s v="Gawad, Mohamed"/>
    <m/>
  </r>
  <r>
    <s v="T-00254-4915"/>
    <s v="PS5-60-BI-0001D-CC01"/>
    <m/>
    <m/>
    <m/>
    <m/>
    <x v="32"/>
    <s v="PCOM - Precommissioning"/>
    <s v="I"/>
    <x v="1"/>
    <x v="1"/>
    <s v="Cable FROM PS5-60-IE-0003D TO PS5-60-BI-0001D"/>
    <s v="EACOP"/>
    <s v="CPP AGI"/>
    <m/>
    <m/>
    <s v="4"/>
    <m/>
    <m/>
    <s v="0"/>
    <s v="PS5 - TZA - PS5 - Tanzania"/>
    <s v="PS5-60-10 - Power Generation Package D"/>
    <d v="2026-07-10T16:04:52"/>
    <s v="PS5-60-10"/>
    <x v="1"/>
    <x v="0"/>
    <s v="Multi/Single-Core Instrument Control Cable"/>
    <s v="I"/>
    <x v="1"/>
    <s v="PS5 - Milestone D"/>
    <s v="TM-00254"/>
    <s v="Gawad, Mohamed"/>
    <m/>
  </r>
  <r>
    <s v="T-00254-4916"/>
    <s v="PS5-60-BI-0001D-CC03"/>
    <m/>
    <m/>
    <m/>
    <m/>
    <x v="32"/>
    <s v="PCOM - Precommissioning"/>
    <s v="I"/>
    <x v="1"/>
    <x v="1"/>
    <s v="Cable FROM PS5-60-IE-0003D TO PS5-60-BI-0001D"/>
    <s v="EACOP"/>
    <s v="CPP AGI"/>
    <m/>
    <m/>
    <s v="4"/>
    <m/>
    <m/>
    <s v="0"/>
    <s v="PS5 - TZA - PS5 - Tanzania"/>
    <s v="PS5-60-10 - Power Generation Package D"/>
    <d v="2026-07-10T15:48:27"/>
    <s v="PS5-60-10"/>
    <x v="1"/>
    <x v="0"/>
    <s v="Multi/Single-Core Instrument Control Cable"/>
    <s v="I"/>
    <x v="1"/>
    <s v="PS5 - Milestone D"/>
    <s v="TM-00254"/>
    <s v="Gawad, Mohamed"/>
    <m/>
  </r>
  <r>
    <s v="T-00254-4923"/>
    <s v="PS5-60-BI-0002-CC01"/>
    <m/>
    <m/>
    <m/>
    <m/>
    <x v="32"/>
    <s v="PCOM - Precommissioning"/>
    <s v="I"/>
    <x v="1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4924"/>
    <s v="PS5-60-BI-0002-CC02"/>
    <m/>
    <m/>
    <m/>
    <m/>
    <x v="32"/>
    <s v="PCOM - Precommissioning"/>
    <s v="I"/>
    <x v="1"/>
    <x v="1"/>
    <s v="Cable FROM PS5-60-IE-0004 TO PS5-60-BI-0002"/>
    <s v="EACOP"/>
    <s v="CPP AGI"/>
    <m/>
    <m/>
    <s v="4"/>
    <m/>
    <m/>
    <s v="0"/>
    <s v="PS5 - TZA - PS5 - Tanzania"/>
    <s v="PS5-60-22 - Power Gen Master UCP"/>
    <d v="2026-07-08T06:06:08"/>
    <s v="PS5-60-22"/>
    <x v="0"/>
    <x v="0"/>
    <s v="Multi/Single-Core Instrument Control Cable"/>
    <s v="I"/>
    <x v="1"/>
    <s v="PS5 - Milestone B"/>
    <s v="TM-00254"/>
    <s v="Gawad, Mohamed"/>
    <m/>
  </r>
  <r>
    <s v="T-00254-4925"/>
    <s v="PS5-60-BI-0002-CC03"/>
    <m/>
    <m/>
    <m/>
    <m/>
    <x v="32"/>
    <s v="PCOM - Precommissioning"/>
    <s v="I"/>
    <x v="1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4926"/>
    <s v="PS5-60-BI-0002-CC04"/>
    <m/>
    <m/>
    <m/>
    <m/>
    <x v="32"/>
    <s v="PCOM - Precommissioning"/>
    <s v="I"/>
    <x v="1"/>
    <x v="1"/>
    <s v="Cable FROM PS5-60-IE-0004 TO PS5-60-BI-0002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4927"/>
    <s v="PS5-60-BI-0003-CC01"/>
    <m/>
    <m/>
    <m/>
    <m/>
    <x v="32"/>
    <s v="PCOM - Precommissioning"/>
    <s v="I"/>
    <x v="1"/>
    <x v="1"/>
    <s v="Cable FROM PS5-60-IE-0004 TO PS5-60-BI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4928"/>
    <s v="PS5-60-BI-0003-CC02"/>
    <m/>
    <m/>
    <m/>
    <m/>
    <x v="32"/>
    <s v="PCOM - Precommissioning"/>
    <s v="I"/>
    <x v="1"/>
    <x v="1"/>
    <s v="Cable FROM PS5-60-IE-0004 TO PS5-60-BI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4929"/>
    <s v="PS5-60-BI-0004A-CCO1"/>
    <m/>
    <m/>
    <m/>
    <m/>
    <x v="32"/>
    <s v="PCOM - Precommissioning"/>
    <s v="I"/>
    <x v="1"/>
    <x v="1"/>
    <s v="Cable FROM PS5-60-IE-0001A TO PS5-60-BI-0004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30"/>
    <s v="PS5-60-BI-0004B-CCO1"/>
    <m/>
    <m/>
    <m/>
    <m/>
    <x v="32"/>
    <s v="PCOM - Precommissioning"/>
    <s v="I"/>
    <x v="1"/>
    <x v="1"/>
    <s v="Cable FROM PS5-60-IE-0001B TO PS5-60-BI-0004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31"/>
    <s v="PS5-60-BI-0004C-CCO1"/>
    <m/>
    <m/>
    <m/>
    <m/>
    <x v="32"/>
    <s v="PCOM - Precommissioning"/>
    <s v="I"/>
    <x v="1"/>
    <x v="1"/>
    <s v="Cable FROM PS5-60-IE-0001C TO PS5-60-BI-0004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4932"/>
    <s v="PS5-60-BI-0004D-CCO1"/>
    <m/>
    <m/>
    <m/>
    <m/>
    <x v="32"/>
    <s v="PCOM - Precommissioning"/>
    <s v="I"/>
    <x v="1"/>
    <x v="1"/>
    <s v="Cable FROM PS5-60-IE-0001D TO PS5-60-BI-0004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4936"/>
    <s v="PS5-60-BI-0005A-CC01"/>
    <m/>
    <m/>
    <m/>
    <m/>
    <x v="32"/>
    <s v="PCOM - Precommissioning"/>
    <s v="I"/>
    <x v="1"/>
    <x v="1"/>
    <s v="Cable FROM PS5-60-IE-0003A TO PS5-60-BI-0005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37"/>
    <s v="PS5-60-BI-0005A-CC02"/>
    <m/>
    <m/>
    <m/>
    <m/>
    <x v="32"/>
    <s v="PCOM - Precommissioning"/>
    <s v="I"/>
    <x v="1"/>
    <x v="1"/>
    <s v="Cable FROM PS5-60-IE-0003A TO PS5-60-BI-0005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38"/>
    <s v="PS5-60-BI-0005B-CC01"/>
    <m/>
    <m/>
    <m/>
    <m/>
    <x v="32"/>
    <s v="PCOM - Precommissioning"/>
    <s v="I"/>
    <x v="1"/>
    <x v="1"/>
    <s v="Cable FROM PS5-60-IE-0003B TO PS5-60-BI-0005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39"/>
    <s v="PS5-60-BI-0005B-CC02"/>
    <m/>
    <m/>
    <m/>
    <m/>
    <x v="32"/>
    <s v="PCOM - Precommissioning"/>
    <s v="I"/>
    <x v="1"/>
    <x v="1"/>
    <s v="Cable FROM PS5-60-IE-0003B TO PS5-60-BI-0005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40"/>
    <s v="PS5-60-BI-0005C-CC01"/>
    <m/>
    <m/>
    <m/>
    <m/>
    <x v="32"/>
    <s v="PCOM - Precommissioning"/>
    <s v="I"/>
    <x v="1"/>
    <x v="1"/>
    <s v="Cable FROM PS5-60-IE-0003C TO PS5-60-BI-0005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4941"/>
    <s v="PS5-60-BI-0005C-CC02"/>
    <m/>
    <m/>
    <m/>
    <m/>
    <x v="32"/>
    <s v="PCOM - Precommissioning"/>
    <s v="I"/>
    <x v="1"/>
    <x v="1"/>
    <s v="Cable FROM PS5-60-IE-0003C TO PS5-60-BI-0005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4942"/>
    <s v="PS5-60-BI-0005D-CC01"/>
    <m/>
    <m/>
    <m/>
    <m/>
    <x v="32"/>
    <s v="PCOM - Precommissioning"/>
    <s v="I"/>
    <x v="1"/>
    <x v="1"/>
    <s v="Cable FROM PS5-60-IE-0003D TO PS5-60-BI-0005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4943"/>
    <s v="PS5-60-BI-0005D-CC02"/>
    <m/>
    <m/>
    <m/>
    <m/>
    <x v="32"/>
    <s v="PCOM - Precommissioning"/>
    <s v="I"/>
    <x v="1"/>
    <x v="1"/>
    <s v="Cable FROM PS5-60-IE-0003D TO PS5-60-BI-0005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4950"/>
    <s v="PS5-60-BI-0006A-CC01"/>
    <m/>
    <m/>
    <m/>
    <m/>
    <x v="32"/>
    <s v="PCOM - Precommissioning"/>
    <s v="I"/>
    <x v="1"/>
    <x v="1"/>
    <s v="Cable FROM PS5-60-IE-0003A TO PS5-60-BI-0006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4951"/>
    <s v="PS5-60-BI-0006A-CC02"/>
    <m/>
    <m/>
    <m/>
    <m/>
    <x v="32"/>
    <s v="PCOM - Precommissioning"/>
    <s v="I"/>
    <x v="1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4952"/>
    <s v="PS5-60-BI-0006A-CC03"/>
    <m/>
    <m/>
    <m/>
    <m/>
    <x v="32"/>
    <s v="PCOM - Precommissioning"/>
    <s v="I"/>
    <x v="1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4953"/>
    <s v="PS5-60-BI-0006A-CC04"/>
    <m/>
    <m/>
    <m/>
    <m/>
    <x v="32"/>
    <s v="PCOM - Precommissioning"/>
    <s v="I"/>
    <x v="1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4954"/>
    <s v="PS5-60-BI-0006A-CC05"/>
    <m/>
    <m/>
    <m/>
    <m/>
    <x v="32"/>
    <s v="PCOM - Precommissioning"/>
    <s v="I"/>
    <x v="1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4955"/>
    <s v="PS5-60-BI-0006A-CC06"/>
    <m/>
    <m/>
    <m/>
    <m/>
    <x v="32"/>
    <s v="PCOM - Precommissioning"/>
    <s v="I"/>
    <x v="1"/>
    <x v="1"/>
    <s v="Cable FROM PS5-60-IN-0002A TO PS5-60-BI-0006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4956"/>
    <s v="PS5-60-BI-0006B-CC01"/>
    <m/>
    <m/>
    <m/>
    <m/>
    <x v="32"/>
    <s v="PCOM - Precommissioning"/>
    <s v="I"/>
    <x v="1"/>
    <x v="1"/>
    <s v="Cable FROM PS5-60-IE-0003B TO PS5-60-BI-0006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4957"/>
    <s v="PS5-60-BI-0006B-CC02"/>
    <m/>
    <m/>
    <m/>
    <m/>
    <x v="32"/>
    <s v="PCOM - Precommissioning"/>
    <s v="I"/>
    <x v="1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4958"/>
    <s v="PS5-60-BI-0006B-CC03"/>
    <m/>
    <m/>
    <m/>
    <m/>
    <x v="32"/>
    <s v="PCOM - Precommissioning"/>
    <s v="I"/>
    <x v="1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4959"/>
    <s v="PS5-60-BI-0006B-CC04"/>
    <m/>
    <m/>
    <m/>
    <m/>
    <x v="32"/>
    <s v="PCOM - Precommissioning"/>
    <s v="I"/>
    <x v="1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4960"/>
    <s v="PS5-60-BI-0006B-CC05"/>
    <m/>
    <m/>
    <m/>
    <m/>
    <x v="32"/>
    <s v="PCOM - Precommissioning"/>
    <s v="I"/>
    <x v="1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4961"/>
    <s v="PS5-60-BI-0006B-CC06"/>
    <m/>
    <m/>
    <m/>
    <m/>
    <x v="32"/>
    <s v="PCOM - Precommissioning"/>
    <s v="I"/>
    <x v="1"/>
    <x v="1"/>
    <s v="Cable FROM PS5-60-IN-0002B TO PS5-60-BI-0006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4962"/>
    <s v="PS5-60-BI-0006C-CC01"/>
    <m/>
    <m/>
    <m/>
    <m/>
    <x v="32"/>
    <s v="PCOM - Precommissioning"/>
    <s v="I"/>
    <x v="1"/>
    <x v="1"/>
    <s v="Cable FROM PS5-60-IE-0003C TO PS5-60-BI-0006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4963"/>
    <s v="PS5-60-BI-0006C-CC02"/>
    <m/>
    <m/>
    <m/>
    <m/>
    <x v="32"/>
    <s v="PCOM - Precommissioning"/>
    <s v="I"/>
    <x v="1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4964"/>
    <s v="PS5-60-BI-0006C-CC03"/>
    <m/>
    <m/>
    <m/>
    <m/>
    <x v="32"/>
    <s v="PCOM - Precommissioning"/>
    <s v="I"/>
    <x v="1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4965"/>
    <s v="PS5-60-BI-0006C-CC04"/>
    <m/>
    <m/>
    <m/>
    <m/>
    <x v="32"/>
    <s v="PCOM - Precommissioning"/>
    <s v="I"/>
    <x v="1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4966"/>
    <s v="PS5-60-BI-0006C-CC05"/>
    <m/>
    <m/>
    <m/>
    <m/>
    <x v="32"/>
    <s v="PCOM - Precommissioning"/>
    <s v="I"/>
    <x v="1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4967"/>
    <s v="PS5-60-BI-0006C-CC06"/>
    <m/>
    <m/>
    <m/>
    <m/>
    <x v="32"/>
    <s v="PCOM - Precommissioning"/>
    <s v="I"/>
    <x v="1"/>
    <x v="1"/>
    <s v="Cable FROM PS5-60-IN-0002C TO PS5-60-BI-0006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4968"/>
    <s v="PS5-60-BI-0006D-CC01"/>
    <m/>
    <m/>
    <m/>
    <m/>
    <x v="32"/>
    <s v="PCOM - Precommissioning"/>
    <s v="I"/>
    <x v="1"/>
    <x v="1"/>
    <s v="Cable FROM PS5-60-IE-0003D TO PS5-60-BI-0006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4969"/>
    <s v="PS5-60-BI-0006D-CC02"/>
    <m/>
    <m/>
    <m/>
    <m/>
    <x v="32"/>
    <s v="PCOM - Precommissioning"/>
    <s v="I"/>
    <x v="1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4970"/>
    <s v="PS5-60-BI-0006D-CC03"/>
    <m/>
    <m/>
    <m/>
    <m/>
    <x v="32"/>
    <s v="PCOM - Precommissioning"/>
    <s v="I"/>
    <x v="1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4971"/>
    <s v="PS5-60-BI-0006D-CC04"/>
    <m/>
    <m/>
    <m/>
    <m/>
    <x v="32"/>
    <s v="PCOM - Precommissioning"/>
    <s v="I"/>
    <x v="1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4972"/>
    <s v="PS5-60-BI-0006D-CC05"/>
    <m/>
    <m/>
    <m/>
    <m/>
    <x v="32"/>
    <s v="PCOM - Precommissioning"/>
    <s v="I"/>
    <x v="1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4973"/>
    <s v="PS5-60-BI-0006D-CC06"/>
    <m/>
    <m/>
    <m/>
    <m/>
    <x v="32"/>
    <s v="PCOM - Precommissioning"/>
    <s v="I"/>
    <x v="1"/>
    <x v="1"/>
    <s v="Cable FROM PS5-60-IN-0002D TO PS5-60-BI-0006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4992"/>
    <s v="PS5-60-BI-0008A-CC01"/>
    <m/>
    <m/>
    <m/>
    <m/>
    <x v="32"/>
    <s v="PCOM - Precommissioning"/>
    <s v="I"/>
    <x v="1"/>
    <x v="1"/>
    <s v="Cable FROM PS5-60-IE-0003A TO PS5-60-BI-0008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93"/>
    <s v="PS5-60-BI-0008A-CC02"/>
    <m/>
    <m/>
    <m/>
    <m/>
    <x v="32"/>
    <s v="PCOM - Precommissioning"/>
    <s v="I"/>
    <x v="1"/>
    <x v="1"/>
    <s v="Cable FROM PS5-60-IH-0001A TO PS5-60-BI-0008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94"/>
    <s v="PS5-60-BI-0008B-CC01"/>
    <m/>
    <m/>
    <m/>
    <m/>
    <x v="32"/>
    <s v="PCOM - Precommissioning"/>
    <s v="I"/>
    <x v="1"/>
    <x v="1"/>
    <s v="Cable FROM PS5-60-IE-0003A TO PS5-60-BI-0008B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95"/>
    <s v="PS5-60-BI-0008B-CC02"/>
    <m/>
    <m/>
    <m/>
    <m/>
    <x v="32"/>
    <s v="PCOM - Precommissioning"/>
    <s v="I"/>
    <x v="1"/>
    <x v="1"/>
    <s v="Cable FROM PS5-60-IH-0001A TO PS5-60-BI-0008B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4996"/>
    <s v="PS5-60-BI-0009A-CC01"/>
    <m/>
    <m/>
    <m/>
    <m/>
    <x v="32"/>
    <s v="PCOM - Precommissioning"/>
    <s v="I"/>
    <x v="1"/>
    <x v="1"/>
    <s v="Cable FROM PS5-60-IE-0003B TO PS5-60-BI-0009A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97"/>
    <s v="PS5-60-BI-0009A-CC02"/>
    <m/>
    <m/>
    <m/>
    <m/>
    <x v="32"/>
    <s v="PCOM - Precommissioning"/>
    <s v="I"/>
    <x v="1"/>
    <x v="1"/>
    <s v="Cable FROM PS5-60-IH-0001B TO PS5-60-BI-0009A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98"/>
    <s v="PS5-60-BI-0009B-CC01"/>
    <m/>
    <m/>
    <m/>
    <m/>
    <x v="32"/>
    <s v="PCOM - Precommissioning"/>
    <s v="I"/>
    <x v="1"/>
    <x v="1"/>
    <s v="Cable FROM PS5-60-IE-0003B TO PS5-60-BI-000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4999"/>
    <s v="PS5-60-BI-0009B-CC02"/>
    <m/>
    <m/>
    <m/>
    <m/>
    <x v="32"/>
    <s v="PCOM - Precommissioning"/>
    <s v="I"/>
    <x v="1"/>
    <x v="1"/>
    <s v="Cable FROM PS5-60-IH-0001B TO PS5-60-BI-000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00"/>
    <s v="PS5-60-BI-0010A-CC01"/>
    <m/>
    <m/>
    <m/>
    <m/>
    <x v="32"/>
    <s v="PCOM - Precommissioning"/>
    <s v="I"/>
    <x v="1"/>
    <x v="1"/>
    <s v="Cable FROM PS5-60-IE-0003C TO PS5-60-BI-0010A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01"/>
    <s v="PS5-60-BI-0010A-CC02"/>
    <m/>
    <m/>
    <m/>
    <m/>
    <x v="32"/>
    <s v="PCOM - Precommissioning"/>
    <s v="I"/>
    <x v="1"/>
    <x v="1"/>
    <s v="Cable FROM PS5-60-IH-0001C TO PS5-60-BI-0010A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02"/>
    <s v="PS5-60-BI-0010B-CC01"/>
    <m/>
    <m/>
    <m/>
    <m/>
    <x v="32"/>
    <s v="PCOM - Precommissioning"/>
    <s v="I"/>
    <x v="1"/>
    <x v="1"/>
    <s v="Cable FROM PS5-60-IE-0003C TO PS5-60-BI-0010B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03"/>
    <s v="PS5-60-BI-0010B-CC02"/>
    <m/>
    <m/>
    <m/>
    <m/>
    <x v="32"/>
    <s v="PCOM - Precommissioning"/>
    <s v="I"/>
    <x v="1"/>
    <x v="1"/>
    <s v="Cable FROM PS5-60-IH-0001C TO PS5-60-BI-0010B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04"/>
    <s v="PS5-60-BI-0011A-CC01"/>
    <m/>
    <m/>
    <m/>
    <m/>
    <x v="32"/>
    <s v="PCOM - Precommissioning"/>
    <s v="I"/>
    <x v="1"/>
    <x v="1"/>
    <s v="Cable FROM PS5-60-IE-0003D TO PS5-60-BI-0011A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05"/>
    <s v="PS5-60-BI-0011A-CC02"/>
    <m/>
    <m/>
    <m/>
    <m/>
    <x v="32"/>
    <s v="PCOM - Precommissioning"/>
    <s v="I"/>
    <x v="1"/>
    <x v="1"/>
    <s v="Cable FROM PS5-60-IH-0001D TO PS5-60-BI-0011A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06"/>
    <s v="PS5-60-BI-0011B-CC01"/>
    <m/>
    <m/>
    <m/>
    <m/>
    <x v="32"/>
    <s v="PCOM - Precommissioning"/>
    <s v="I"/>
    <x v="1"/>
    <x v="1"/>
    <s v="Cable FROM PS5-60-IE-0003D TO PS5-60-BI-0011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07"/>
    <s v="PS5-60-BI-0011B-CC02"/>
    <m/>
    <m/>
    <m/>
    <m/>
    <x v="32"/>
    <s v="PCOM - Precommissioning"/>
    <s v="I"/>
    <x v="1"/>
    <x v="1"/>
    <s v="Cable FROM PS5-60-IH-0001D TO PS5-60-BI-0011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20"/>
    <s v="PS5-60-BI-0016A-CC01"/>
    <m/>
    <m/>
    <m/>
    <m/>
    <x v="32"/>
    <s v="PCOM - Precommissioning"/>
    <s v="I"/>
    <x v="1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021"/>
    <s v="PS5-60-BI-0016A-CC02"/>
    <m/>
    <m/>
    <m/>
    <m/>
    <x v="32"/>
    <s v="PCOM - Precommissioning"/>
    <s v="I"/>
    <x v="1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022"/>
    <s v="PS5-60-BI-0016A-CC03"/>
    <m/>
    <m/>
    <m/>
    <m/>
    <x v="32"/>
    <s v="PCOM - Precommissioning"/>
    <s v="I"/>
    <x v="1"/>
    <x v="1"/>
    <s v="Cable FROM PS5-60-IE-0003A TO PS5-60-BI-0016A"/>
    <s v="EACOP"/>
    <s v="CPP AGI"/>
    <m/>
    <m/>
    <s v="4"/>
    <m/>
    <m/>
    <s v="0"/>
    <s v="PS5 - TZA - PS5 - Tanzania"/>
    <s v="PS5-60-01 - Power Generation Package A"/>
    <d v="2026-07-01T13:11:54"/>
    <s v="PS5-60-01"/>
    <x v="0"/>
    <x v="0"/>
    <s v="Multi/Single-Core Instrument Control Cable"/>
    <s v="I"/>
    <x v="1"/>
    <s v="PS5 - Milestone B"/>
    <s v="TM-00254"/>
    <s v="Gawad, Mohamed"/>
    <m/>
  </r>
  <r>
    <s v="T-00254-5023"/>
    <s v="PS5-60-BI-0016A-CCO4"/>
    <m/>
    <m/>
    <m/>
    <m/>
    <x v="32"/>
    <s v="PCOM - Precommissioning"/>
    <s v="I"/>
    <x v="1"/>
    <x v="1"/>
    <s v="Cable FROM PS5-60-IE-0001A TO PS5-60-BI-0016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024"/>
    <s v="PS5-60-BI-0016B-CC01"/>
    <m/>
    <m/>
    <m/>
    <m/>
    <x v="32"/>
    <s v="PCOM - Precommissioning"/>
    <s v="I"/>
    <x v="1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25"/>
    <s v="PS5-60-BI-0016B-CC02"/>
    <m/>
    <m/>
    <m/>
    <m/>
    <x v="32"/>
    <s v="PCOM - Precommissioning"/>
    <s v="I"/>
    <x v="1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26"/>
    <s v="PS5-60-BI-0016B-CC03"/>
    <m/>
    <m/>
    <m/>
    <m/>
    <x v="32"/>
    <s v="PCOM - Precommissioning"/>
    <s v="I"/>
    <x v="1"/>
    <x v="1"/>
    <s v="Cable FROM PS5-60-IE-0003B TO PS5-60-BI-0016B"/>
    <s v="EACOP"/>
    <s v="CPP AGI"/>
    <m/>
    <m/>
    <s v="4"/>
    <m/>
    <m/>
    <s v="0"/>
    <s v="PS5 - TZA - PS5 - Tanzania"/>
    <s v="PS5-60-04 - Power Generation Package B"/>
    <d v="2026-07-01T13:13:08"/>
    <s v="PS5-60-04"/>
    <x v="0"/>
    <x v="0"/>
    <s v="Multi/Single-Core Instrument Control Cable"/>
    <s v="I"/>
    <x v="1"/>
    <s v="PS5 - Milestone B"/>
    <s v="TM-00254"/>
    <s v="Gawad, Mohamed"/>
    <m/>
  </r>
  <r>
    <s v="T-00254-5027"/>
    <s v="PS5-60-BI-0016B-CCO4"/>
    <m/>
    <m/>
    <m/>
    <m/>
    <x v="32"/>
    <s v="PCOM - Precommissioning"/>
    <s v="I"/>
    <x v="1"/>
    <x v="1"/>
    <s v="Cable FROM PS5-60-IE-0001B TO PS5-60-BI-0016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28"/>
    <s v="PS5-60-BI-0016C-CC01"/>
    <m/>
    <m/>
    <m/>
    <m/>
    <x v="32"/>
    <s v="PCOM - Precommissioning"/>
    <s v="I"/>
    <x v="1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29"/>
    <s v="PS5-60-BI-0016C-CC02"/>
    <m/>
    <m/>
    <m/>
    <m/>
    <x v="32"/>
    <s v="PCOM - Precommissioning"/>
    <s v="I"/>
    <x v="1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30"/>
    <s v="PS5-60-BI-0016C-CC03"/>
    <m/>
    <m/>
    <m/>
    <m/>
    <x v="32"/>
    <s v="PCOM - Precommissioning"/>
    <s v="I"/>
    <x v="1"/>
    <x v="1"/>
    <s v="Cable FROM PS5-60-IE-0003C TO PS5-60-BI-0016C"/>
    <s v="EACOP"/>
    <s v="CPP AGI"/>
    <m/>
    <m/>
    <s v="4"/>
    <m/>
    <m/>
    <s v="0"/>
    <s v="PS5 - TZA - PS5 - Tanzania"/>
    <s v="PS5-60-07 - Power Generation Package C"/>
    <d v="2026-07-01T13:13:50"/>
    <s v="PS5-60-07"/>
    <x v="1"/>
    <x v="0"/>
    <s v="Multi/Single-Core Instrument Control Cable"/>
    <s v="I"/>
    <x v="1"/>
    <s v="PS5 - Milestone D"/>
    <s v="TM-00254"/>
    <s v="Gawad, Mohamed"/>
    <m/>
  </r>
  <r>
    <s v="T-00254-5031"/>
    <s v="PS5-60-BI-0016C-CCO4"/>
    <m/>
    <m/>
    <m/>
    <m/>
    <x v="32"/>
    <s v="PCOM - Precommissioning"/>
    <s v="I"/>
    <x v="1"/>
    <x v="1"/>
    <s v="Cable FROM PS5-60-IE-0001C TO PS5-60-BI-0016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32"/>
    <s v="PS5-60-BI-0016D-CC01"/>
    <m/>
    <m/>
    <m/>
    <m/>
    <x v="32"/>
    <s v="PCOM - Precommissioning"/>
    <s v="I"/>
    <x v="1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33"/>
    <s v="PS5-60-BI-0016D-CC02"/>
    <m/>
    <m/>
    <m/>
    <m/>
    <x v="32"/>
    <s v="PCOM - Precommissioning"/>
    <s v="I"/>
    <x v="1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34"/>
    <s v="PS5-60-BI-0016D-CC03"/>
    <m/>
    <m/>
    <m/>
    <m/>
    <x v="32"/>
    <s v="PCOM - Precommissioning"/>
    <s v="I"/>
    <x v="1"/>
    <x v="1"/>
    <s v="Cable FROM PS5-60-IE-0003D TO PS5-60-BI-0016D"/>
    <s v="EACOP"/>
    <s v="CPP AGI"/>
    <m/>
    <m/>
    <s v="4"/>
    <m/>
    <m/>
    <s v="0"/>
    <s v="PS5 - TZA - PS5 - Tanzania"/>
    <s v="PS5-60-10 - Power Generation Package D"/>
    <d v="2026-07-01T13:14:38"/>
    <s v="PS5-60-10"/>
    <x v="1"/>
    <x v="0"/>
    <s v="Multi/Single-Core Instrument Control Cable"/>
    <s v="I"/>
    <x v="1"/>
    <s v="PS5 - Milestone D"/>
    <s v="TM-00254"/>
    <s v="Gawad, Mohamed"/>
    <m/>
  </r>
  <r>
    <s v="T-00254-5035"/>
    <s v="PS5-60-BI-0016D-CCO4"/>
    <m/>
    <m/>
    <m/>
    <m/>
    <x v="32"/>
    <s v="PCOM - Precommissioning"/>
    <s v="I"/>
    <x v="1"/>
    <x v="1"/>
    <s v="Cable FROM PS5-60-IE-0001D TO PS5-60-BI-0016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48"/>
    <s v="PS5-60-BI-0017A-CC02"/>
    <m/>
    <m/>
    <m/>
    <m/>
    <x v="32"/>
    <s v="PCOM - Precommissioning"/>
    <s v="I"/>
    <x v="1"/>
    <x v="1"/>
    <s v="Cable FROM PS5-60-IN-0002A TO PS5-60-BI-0017A"/>
    <s v="EACOP"/>
    <s v="CPP AGI"/>
    <m/>
    <m/>
    <s v="4"/>
    <m/>
    <m/>
    <s v="0"/>
    <s v="PS5 - TZA - PS5 - Tanzania"/>
    <s v="PS5-60-56 - Fuel Conditioning Module PS5-60-UZ-8900A"/>
    <m/>
    <s v="PS5-60-56"/>
    <x v="0"/>
    <x v="0"/>
    <s v="Multi/Single-Core Instrument Control Cable"/>
    <s v="I"/>
    <x v="0"/>
    <s v="PS5 - Milestone B"/>
    <s v="TM-00254"/>
    <m/>
    <m/>
  </r>
  <r>
    <s v="T-00254-5049"/>
    <s v="PS5-60-BI-0017B-CC02"/>
    <m/>
    <m/>
    <m/>
    <m/>
    <x v="32"/>
    <s v="PCOM - Precommissioning"/>
    <s v="I"/>
    <x v="1"/>
    <x v="1"/>
    <s v="Cable FROM PS5-60-IN-0002B TO PS5-60-BI-0017B"/>
    <s v="EACOP"/>
    <s v="CPP AGI"/>
    <m/>
    <m/>
    <s v="4"/>
    <m/>
    <m/>
    <s v="0"/>
    <s v="PS5 - TZA - PS5 - Tanzania"/>
    <s v="PS5-60-58 - Fuel Conditioning Module PS5-60-UZ-8900B"/>
    <m/>
    <s v="PS5-60-58"/>
    <x v="0"/>
    <x v="0"/>
    <s v="Multi/Single-Core Instrument Control Cable"/>
    <s v="I"/>
    <x v="0"/>
    <s v="PS5 - Milestone B"/>
    <s v="TM-00254"/>
    <m/>
    <m/>
  </r>
  <r>
    <s v="T-00254-5050"/>
    <s v="PS5-60-BI-0017C-CC02"/>
    <m/>
    <m/>
    <m/>
    <m/>
    <x v="32"/>
    <s v="PCOM - Precommissioning"/>
    <s v="I"/>
    <x v="1"/>
    <x v="1"/>
    <s v="Cable FROM PS5-60-IN-0002C TO PS5-60-BI-0017C"/>
    <s v="EACOP"/>
    <s v="CPP AGI"/>
    <m/>
    <m/>
    <s v="4"/>
    <m/>
    <m/>
    <s v="0"/>
    <s v="PS5 - TZA - PS5 - Tanzania"/>
    <s v="PS5-60-60 - Fuel Conditioning Module PS5-60-UZ-8900C"/>
    <m/>
    <s v="PS5-60-60"/>
    <x v="1"/>
    <x v="0"/>
    <s v="Multi/Single-Core Instrument Control Cable"/>
    <s v="I"/>
    <x v="0"/>
    <s v="PS5 - Milestone D"/>
    <s v="TM-00254"/>
    <m/>
    <m/>
  </r>
  <r>
    <s v="T-00254-5051"/>
    <s v="PS5-60-BI-0017D-CC02"/>
    <m/>
    <m/>
    <m/>
    <m/>
    <x v="32"/>
    <s v="PCOM - Precommissioning"/>
    <s v="I"/>
    <x v="1"/>
    <x v="1"/>
    <s v="Cable FROM PS5-60-IN-0002D TO PS5-60-BI-0017D"/>
    <s v="EACOP"/>
    <s v="CPP AGI"/>
    <m/>
    <m/>
    <s v="4"/>
    <m/>
    <m/>
    <s v="0"/>
    <s v="PS5 - TZA - PS5 - Tanzania"/>
    <s v="PS5-60-62 - Fuel Conditioning Module PS5-60-UZ-8900D"/>
    <m/>
    <s v="PS5-60-62"/>
    <x v="1"/>
    <x v="0"/>
    <s v="Multi/Single-Core Instrument Control Cable"/>
    <s v="I"/>
    <x v="0"/>
    <s v="PS5 - Milestone D"/>
    <s v="TM-00254"/>
    <m/>
    <m/>
  </r>
  <r>
    <s v="T-00254-5055"/>
    <s v="PS5-60-BI-0019A-CC01"/>
    <m/>
    <m/>
    <m/>
    <m/>
    <x v="32"/>
    <s v="PCOM - Precommissioning"/>
    <s v="I"/>
    <x v="1"/>
    <x v="1"/>
    <s v="Cable FROM PS5-60-IE-0003A TO PS5-60-BI-0019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056"/>
    <s v="PS5-60-BI-0019A-CC02"/>
    <m/>
    <m/>
    <m/>
    <m/>
    <x v="32"/>
    <s v="PCOM - Precommissioning"/>
    <s v="I"/>
    <x v="1"/>
    <x v="1"/>
    <s v="Cable FROM PS5-60-IE-0003A TO PS5-60-BI-0019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057"/>
    <s v="PS5-60-BI-0019B-CC01"/>
    <m/>
    <m/>
    <m/>
    <m/>
    <x v="32"/>
    <s v="PCOM - Precommissioning"/>
    <s v="I"/>
    <x v="1"/>
    <x v="1"/>
    <s v="Cable FROM PS5-60-IE-0003B TO PS5-60-BI-001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58"/>
    <s v="PS5-60-BI-0019B-CC02"/>
    <m/>
    <m/>
    <m/>
    <m/>
    <x v="32"/>
    <s v="PCOM - Precommissioning"/>
    <s v="I"/>
    <x v="1"/>
    <x v="1"/>
    <s v="Cable FROM PS5-60-IE-0003B TO PS5-60-BI-0019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59"/>
    <s v="PS5-60-BI-0019C-CC01"/>
    <m/>
    <m/>
    <m/>
    <m/>
    <x v="32"/>
    <s v="PCOM - Precommissioning"/>
    <s v="I"/>
    <x v="1"/>
    <x v="1"/>
    <s v="Cable FROM PS5-60-IE-0003C TO PS5-60-BI-0019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60"/>
    <s v="PS5-60-BI-0019C-CC02"/>
    <m/>
    <m/>
    <m/>
    <m/>
    <x v="32"/>
    <s v="PCOM - Precommissioning"/>
    <s v="I"/>
    <x v="1"/>
    <x v="1"/>
    <s v="Cable FROM PS5-60-IE-0003C TO PS5-60-BI-0019C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061"/>
    <s v="PS5-60-BI-0019D-CC01"/>
    <m/>
    <m/>
    <m/>
    <m/>
    <x v="32"/>
    <s v="PCOM - Precommissioning"/>
    <s v="I"/>
    <x v="1"/>
    <x v="1"/>
    <s v="Cable FROM PS5-60-IE-0003D TO PS5-60-BI-0019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62"/>
    <s v="PS5-60-BI-0019D-CC02"/>
    <m/>
    <m/>
    <m/>
    <m/>
    <x v="32"/>
    <s v="PCOM - Precommissioning"/>
    <s v="I"/>
    <x v="1"/>
    <x v="1"/>
    <s v="Cable FROM PS5-60-IE-0003D TO PS5-60-BI-0019D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069"/>
    <s v="PS5-60-IE-0002B-CC05"/>
    <m/>
    <m/>
    <m/>
    <m/>
    <x v="32"/>
    <s v="PCOM - Precommissioning"/>
    <s v="I"/>
    <x v="1"/>
    <x v="1"/>
    <s v="Cable FROM PS5-60-IE-0002A TO PS5-60-IE-0002B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070"/>
    <s v="PS5-60-IE-0002C-CC05"/>
    <m/>
    <m/>
    <m/>
    <m/>
    <x v="32"/>
    <s v="PCOM - Precommissioning"/>
    <s v="I"/>
    <x v="1"/>
    <x v="1"/>
    <s v="Cable FROM PS5-60-IE-0002B TO PS5-60-IE-0002C"/>
    <s v="EACOP"/>
    <s v="CPP AGI"/>
    <m/>
    <m/>
    <s v="4"/>
    <m/>
    <m/>
    <s v="0"/>
    <s v="PS5 - TZA - PS5 - Tanzania"/>
    <s v="PS5-60-07 - Power Generation Package C"/>
    <d v="2026-07-10T16:13:04"/>
    <s v="PS5-60-07"/>
    <x v="1"/>
    <x v="0"/>
    <s v="Multi/Single-Core Instrument Control Cable"/>
    <s v="I"/>
    <x v="1"/>
    <s v="PS5 - Milestone D"/>
    <s v="TM-00254"/>
    <s v="Gawad, Mohamed"/>
    <m/>
  </r>
  <r>
    <s v="T-00254-5071"/>
    <s v="PS5-60-IE-0002D-CC05"/>
    <m/>
    <m/>
    <m/>
    <m/>
    <x v="32"/>
    <s v="PCOM - Precommissioning"/>
    <s v="I"/>
    <x v="1"/>
    <x v="1"/>
    <s v="Cable FROM PS5-60-IE-0002C TO PS5-60-IE-0002D"/>
    <s v="EACOP"/>
    <s v="CPP AGI"/>
    <m/>
    <m/>
    <s v="4"/>
    <m/>
    <m/>
    <s v="0"/>
    <s v="PS5 - TZA - PS5 - Tanzania"/>
    <s v="PS5-60-10 - Power Generation Package D"/>
    <d v="2026-07-10T16:14:50"/>
    <s v="PS5-60-10"/>
    <x v="1"/>
    <x v="0"/>
    <s v="Multi/Single-Core Instrument Control Cable"/>
    <s v="I"/>
    <x v="1"/>
    <s v="PS5 - Milestone D"/>
    <s v="TM-00254"/>
    <s v="Gawad, Mohamed"/>
    <m/>
  </r>
  <r>
    <s v="T-00254-5075"/>
    <s v="PS5-60-IE-0003A-CC01"/>
    <m/>
    <m/>
    <m/>
    <m/>
    <x v="32"/>
    <s v="PCOM - Precommissioning"/>
    <s v="I"/>
    <x v="1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76"/>
    <s v="PS5-60-IE-0003A-CC02"/>
    <m/>
    <m/>
    <m/>
    <m/>
    <x v="32"/>
    <s v="PCOM - Precommissioning"/>
    <s v="I"/>
    <x v="1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77"/>
    <s v="PS5-60-IE-0003A-CC03"/>
    <m/>
    <m/>
    <m/>
    <m/>
    <x v="32"/>
    <s v="PCOM - Precommissioning"/>
    <s v="I"/>
    <x v="1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78"/>
    <s v="PS5-60-IE-0003A-CC04"/>
    <m/>
    <m/>
    <m/>
    <m/>
    <x v="32"/>
    <s v="PCOM - Precommissioning"/>
    <s v="I"/>
    <x v="1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79"/>
    <s v="PS5-60-IE-0003A-CC05"/>
    <m/>
    <m/>
    <m/>
    <m/>
    <x v="32"/>
    <s v="PCOM - Precommissioning"/>
    <s v="I"/>
    <x v="1"/>
    <x v="1"/>
    <s v="Cable FROM PS5-60-IE-0001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0"/>
    <s v="PS5-60-IE-0003A-CC06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1"/>
    <s v="PS5-60-IE-0003A-CC07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2"/>
    <s v="PS5-60-IE-0003A-CC08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3"/>
    <s v="PS5-60-IE-0003A-CC09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4"/>
    <s v="PS5-60-IE-0003A-CC10"/>
    <m/>
    <m/>
    <m/>
    <m/>
    <x v="32"/>
    <s v="PCOM - Precommissioning"/>
    <s v="I"/>
    <x v="1"/>
    <x v="1"/>
    <s v="Cable FROM PS5-60-IE-0004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5"/>
    <s v="PS5-60-IE-0003A-CC11"/>
    <m/>
    <m/>
    <m/>
    <m/>
    <x v="32"/>
    <s v="PCOM - Precommissioning"/>
    <s v="I"/>
    <x v="1"/>
    <x v="1"/>
    <s v="Cable FROM PS5-60-IE-0004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6"/>
    <s v="PS5-60-IE-0003A-CC15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7"/>
    <s v="PS5-60-IE-0003A-CC16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88"/>
    <s v="PS5-60-IE-0003A-CC17"/>
    <m/>
    <m/>
    <m/>
    <m/>
    <x v="32"/>
    <s v="PCOM - Precommissioning"/>
    <s v="I"/>
    <x v="1"/>
    <x v="1"/>
    <s v="Cable FROM PS5-60-IE-0002A TO PS5-60-IE-0003A"/>
    <s v="EACOP"/>
    <s v="CPP AGI"/>
    <m/>
    <m/>
    <s v="4"/>
    <m/>
    <m/>
    <s v="0"/>
    <s v="PS5 - TZA - PS5 - Tanzania"/>
    <s v="PS5-60-02 - Power Gen Package A (UCP)"/>
    <m/>
    <s v="PS5-60-02"/>
    <x v="0"/>
    <x v="0"/>
    <s v="Multi/Single-Core Instrument Control Cable"/>
    <s v="I"/>
    <x v="0"/>
    <s v="PS5 - Milestone B"/>
    <s v="TM-00254"/>
    <m/>
    <m/>
  </r>
  <r>
    <s v="T-00254-5093"/>
    <s v="PS5-60-IE-0003A-CC25"/>
    <m/>
    <m/>
    <m/>
    <m/>
    <x v="32"/>
    <s v="PCOM - Precommissioning"/>
    <s v="I"/>
    <x v="1"/>
    <x v="1"/>
    <s v="Cable FROM PS5-60-TX-41100A TO PS5-60-IE-0003A"/>
    <s v="EACOP"/>
    <s v="CPP AGI"/>
    <m/>
    <m/>
    <s v="4"/>
    <m/>
    <m/>
    <s v="0"/>
    <s v="PS5 - TZA - PS5 - Tanzania"/>
    <s v="PS5-60-02 - Power Gen Package A (UCP)"/>
    <d v="2026-07-10T16:55:31"/>
    <s v="PS5-60-02"/>
    <x v="0"/>
    <x v="0"/>
    <s v="Multi/Single-Core Instrument Control Cable"/>
    <s v="I"/>
    <x v="1"/>
    <s v="PS5 - Milestone B"/>
    <s v="TM-00254"/>
    <s v="Gawad, Mohamed"/>
    <m/>
  </r>
  <r>
    <s v="T-00254-5094"/>
    <s v="PS5-60-IE-0003A-CC26"/>
    <m/>
    <m/>
    <m/>
    <m/>
    <x v="32"/>
    <s v="PCOM - Precommissioning"/>
    <s v="I"/>
    <x v="1"/>
    <x v="1"/>
    <s v="Cable FROM PS5-60-TX-41100B TO PS5-60-IE-0003A"/>
    <s v="EACOP"/>
    <s v="CPP AGI"/>
    <m/>
    <m/>
    <s v="4"/>
    <m/>
    <m/>
    <s v="0"/>
    <s v="PS5 - TZA - PS5 - Tanzania"/>
    <s v="PS5-60-02 - Power Gen Package A (UCP)"/>
    <d v="2026-07-10T16:55:13"/>
    <s v="PS5-60-02"/>
    <x v="0"/>
    <x v="0"/>
    <s v="Multi/Single-Core Instrument Control Cable"/>
    <s v="I"/>
    <x v="1"/>
    <s v="PS5 - Milestone B"/>
    <s v="TM-00254"/>
    <s v="Gawad, Mohamed"/>
    <m/>
  </r>
  <r>
    <s v="T-00254-5095"/>
    <s v="PS5-60-IE-0003B-CC01"/>
    <m/>
    <m/>
    <m/>
    <m/>
    <x v="32"/>
    <s v="PCOM - Precommissioning"/>
    <s v="I"/>
    <x v="1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096"/>
    <s v="PS5-60-IE-0003B-CC02"/>
    <m/>
    <m/>
    <m/>
    <m/>
    <x v="32"/>
    <s v="PCOM - Precommissioning"/>
    <s v="I"/>
    <x v="1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097"/>
    <s v="PS5-60-IE-0003B-CC03"/>
    <m/>
    <m/>
    <m/>
    <m/>
    <x v="32"/>
    <s v="PCOM - Precommissioning"/>
    <s v="I"/>
    <x v="1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098"/>
    <s v="PS5-60-IE-0003B-CC04"/>
    <m/>
    <m/>
    <m/>
    <m/>
    <x v="32"/>
    <s v="PCOM - Precommissioning"/>
    <s v="I"/>
    <x v="1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099"/>
    <s v="PS5-60-IE-0003B-CC05"/>
    <m/>
    <m/>
    <m/>
    <m/>
    <x v="32"/>
    <s v="PCOM - Precommissioning"/>
    <s v="I"/>
    <x v="1"/>
    <x v="1"/>
    <s v="Cable FROM PS5-60-IE-0001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0"/>
    <s v="PS5-60-IE-0003B-CC06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1"/>
    <s v="PS5-60-IE-0003B-CC07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2"/>
    <s v="PS5-60-IE-0003B-CC08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3"/>
    <s v="PS5-60-IE-0003B-CC09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4"/>
    <s v="PS5-60-IE-0003B-CC10"/>
    <m/>
    <m/>
    <m/>
    <m/>
    <x v="32"/>
    <s v="PCOM - Precommissioning"/>
    <s v="I"/>
    <x v="1"/>
    <x v="1"/>
    <s v="Cable FROM PS5-60-IE-0004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5"/>
    <s v="PS5-60-IE-0003B-CC11"/>
    <m/>
    <m/>
    <m/>
    <m/>
    <x v="32"/>
    <s v="PCOM - Precommissioning"/>
    <s v="I"/>
    <x v="1"/>
    <x v="1"/>
    <s v="Cable FROM PS5-60-IE-0004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6"/>
    <s v="PS5-60-IE-0003B-CC15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7"/>
    <s v="PS5-60-IE-0003B-CC16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08"/>
    <s v="PS5-60-IE-0003B-CC17"/>
    <m/>
    <m/>
    <m/>
    <m/>
    <x v="32"/>
    <s v="PCOM - Precommissioning"/>
    <s v="I"/>
    <x v="1"/>
    <x v="1"/>
    <s v="Cable FROM PS5-60-IE-0002B TO PS5-60-IE-0003B"/>
    <s v="EACOP"/>
    <s v="CPP AGI"/>
    <m/>
    <m/>
    <s v="4"/>
    <m/>
    <m/>
    <s v="0"/>
    <s v="PS5 - TZA - PS5 - Tanzania"/>
    <s v="PS5-60-05 - Power Gen Package B (UCP)"/>
    <m/>
    <s v="PS5-60-05"/>
    <x v="0"/>
    <x v="0"/>
    <s v="Multi/Single-Core Instrument Control Cable"/>
    <s v="I"/>
    <x v="0"/>
    <s v="PS5 - Milestone B"/>
    <s v="TM-00254"/>
    <m/>
    <m/>
  </r>
  <r>
    <s v="T-00254-5113"/>
    <s v="PS5-60-IE-0003B-CC25"/>
    <m/>
    <m/>
    <m/>
    <m/>
    <x v="32"/>
    <s v="PCOM - Precommissioning"/>
    <s v="I"/>
    <x v="1"/>
    <x v="1"/>
    <s v="Cable FROM PS5-60-TX-41200A TO PS5-60-IE-0003B"/>
    <s v="EACOP"/>
    <s v="CPP AGI"/>
    <m/>
    <m/>
    <s v="4"/>
    <m/>
    <m/>
    <s v="0"/>
    <s v="PS5 - TZA - PS5 - Tanzania"/>
    <s v="PS5-60-05 - Power Gen Package B (UCP)"/>
    <d v="2026-07-10T16:54:43"/>
    <s v="PS5-60-05"/>
    <x v="0"/>
    <x v="0"/>
    <s v="Multi/Single-Core Instrument Control Cable"/>
    <s v="I"/>
    <x v="1"/>
    <s v="PS5 - Milestone B"/>
    <s v="TM-00254"/>
    <s v="Gawad, Mohamed"/>
    <m/>
  </r>
  <r>
    <s v="T-00254-5114"/>
    <s v="PS5-60-IE-0003B-CC26"/>
    <m/>
    <m/>
    <m/>
    <m/>
    <x v="32"/>
    <s v="PCOM - Precommissioning"/>
    <s v="I"/>
    <x v="1"/>
    <x v="1"/>
    <s v="Cable FROM PS5-60-TX-41200B TO PS5-60-IE-0003B"/>
    <s v="EACOP"/>
    <s v="CPP AGI"/>
    <m/>
    <m/>
    <s v="4"/>
    <m/>
    <m/>
    <s v="0"/>
    <s v="PS5 - TZA - PS5 - Tanzania"/>
    <s v="PS5-60-05 - Power Gen Package B (UCP)"/>
    <d v="2026-07-10T16:54:08"/>
    <s v="PS5-60-05"/>
    <x v="0"/>
    <x v="0"/>
    <s v="Multi/Single-Core Instrument Control Cable"/>
    <s v="I"/>
    <x v="1"/>
    <s v="PS5 - Milestone B"/>
    <s v="TM-00254"/>
    <s v="Gawad, Mohamed"/>
    <m/>
  </r>
  <r>
    <s v="T-00254-5115"/>
    <s v="PS5-60-IE-0003C-CC01"/>
    <m/>
    <m/>
    <m/>
    <m/>
    <x v="32"/>
    <s v="PCOM - Precommissioning"/>
    <s v="I"/>
    <x v="1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16"/>
    <s v="PS5-60-IE-0003C-CC02"/>
    <m/>
    <m/>
    <m/>
    <m/>
    <x v="32"/>
    <s v="PCOM - Precommissioning"/>
    <s v="I"/>
    <x v="1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17"/>
    <s v="PS5-60-IE-0003C-CC03"/>
    <m/>
    <m/>
    <m/>
    <m/>
    <x v="32"/>
    <s v="PCOM - Precommissioning"/>
    <s v="I"/>
    <x v="1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18"/>
    <s v="PS5-60-IE-0003C-CC04"/>
    <m/>
    <m/>
    <m/>
    <m/>
    <x v="32"/>
    <s v="PCOM - Precommissioning"/>
    <s v="I"/>
    <x v="1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19"/>
    <s v="PS5-60-IE-0003C-CC05"/>
    <m/>
    <m/>
    <m/>
    <m/>
    <x v="32"/>
    <s v="PCOM - Precommissioning"/>
    <s v="I"/>
    <x v="1"/>
    <x v="1"/>
    <s v="Cable FROM PS5-60-IE-0001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0"/>
    <s v="PS5-60-IE-0003C-CC06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1"/>
    <s v="PS5-60-IE-0003C-CC07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2"/>
    <s v="PS5-60-IE-0003C-CC08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3"/>
    <s v="PS5-60-IE-0003C-CC09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4"/>
    <s v="PS5-60-IE-0003C-CC10"/>
    <m/>
    <m/>
    <m/>
    <m/>
    <x v="32"/>
    <s v="PCOM - Precommissioning"/>
    <s v="I"/>
    <x v="1"/>
    <x v="1"/>
    <s v="Cable FROM PS5-60-IE-0004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5"/>
    <s v="PS5-60-IE-0003C-CC11"/>
    <m/>
    <m/>
    <m/>
    <m/>
    <x v="32"/>
    <s v="PCOM - Precommissioning"/>
    <s v="I"/>
    <x v="1"/>
    <x v="1"/>
    <s v="Cable FROM PS5-60-IE-0004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6"/>
    <s v="PS5-60-IE-0003C-CC15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7"/>
    <s v="PS5-60-IE-0003C-CC16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28"/>
    <s v="PS5-60-IE-0003C-CC17"/>
    <m/>
    <m/>
    <m/>
    <m/>
    <x v="32"/>
    <s v="PCOM - Precommissioning"/>
    <s v="I"/>
    <x v="1"/>
    <x v="1"/>
    <s v="Cable FROM PS5-60-IE-0002C TO PS5-60-IE-0003C"/>
    <s v="EACOP"/>
    <s v="CPP AGI"/>
    <m/>
    <m/>
    <s v="4"/>
    <m/>
    <m/>
    <s v="0"/>
    <s v="PS5 - TZA - PS5 - Tanzania"/>
    <s v="PS5-60-08 - Power Gen Package C (UCP)"/>
    <m/>
    <s v="PS5-60-08"/>
    <x v="1"/>
    <x v="0"/>
    <s v="Multi/Single-Core Instrument Control Cable"/>
    <s v="I"/>
    <x v="0"/>
    <s v="PS5 - Milestone D"/>
    <s v="TM-00254"/>
    <m/>
    <m/>
  </r>
  <r>
    <s v="T-00254-5133"/>
    <s v="PS5-60-IE-0003C-CC25"/>
    <m/>
    <m/>
    <m/>
    <m/>
    <x v="32"/>
    <s v="PCOM - Precommissioning"/>
    <s v="I"/>
    <x v="1"/>
    <x v="1"/>
    <s v="Cable FROM PS5-60-TX-41300A TO PS5-60-IE-0003C"/>
    <s v="EACOP"/>
    <s v="CPP AGI"/>
    <m/>
    <m/>
    <s v="4"/>
    <m/>
    <m/>
    <s v="0"/>
    <s v="PS5 - TZA - PS5 - Tanzania"/>
    <s v="PS5-60-08 - Power Gen Package C (UCP)"/>
    <d v="2026-07-10T17:02:34"/>
    <s v="PS5-60-08"/>
    <x v="1"/>
    <x v="0"/>
    <s v="Multi/Single-Core Instrument Control Cable"/>
    <s v="I"/>
    <x v="1"/>
    <s v="PS5 - Milestone D"/>
    <s v="TM-00254"/>
    <s v="Gawad, Mohamed"/>
    <m/>
  </r>
  <r>
    <s v="T-00254-5134"/>
    <s v="PS5-60-IE-0003C-CC26"/>
    <m/>
    <m/>
    <m/>
    <m/>
    <x v="32"/>
    <s v="PCOM - Precommissioning"/>
    <s v="I"/>
    <x v="1"/>
    <x v="1"/>
    <s v="Cable FROM PS5-60-TX-41300B TO PS5-60-IE-0003C"/>
    <s v="EACOP"/>
    <s v="CPP AGI"/>
    <m/>
    <m/>
    <s v="4"/>
    <m/>
    <m/>
    <s v="0"/>
    <s v="PS5 - TZA - PS5 - Tanzania"/>
    <s v="PS5-60-08 - Power Gen Package C (UCP)"/>
    <d v="2026-07-10T17:03:38"/>
    <s v="PS5-60-08"/>
    <x v="1"/>
    <x v="0"/>
    <s v="Multi/Single-Core Instrument Control Cable"/>
    <s v="I"/>
    <x v="1"/>
    <s v="PS5 - Milestone D"/>
    <s v="TM-00254"/>
    <s v="Gawad, Mohamed"/>
    <m/>
  </r>
  <r>
    <s v="T-00254-5135"/>
    <s v="PS5-60-IE-0003D-CC01"/>
    <m/>
    <m/>
    <m/>
    <m/>
    <x v="32"/>
    <s v="PCOM - Precommissioning"/>
    <s v="I"/>
    <x v="1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36"/>
    <s v="PS5-60-IE-0003D-CC02"/>
    <m/>
    <m/>
    <m/>
    <m/>
    <x v="32"/>
    <s v="PCOM - Precommissioning"/>
    <s v="I"/>
    <x v="1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37"/>
    <s v="PS5-60-IE-0003D-CC03"/>
    <m/>
    <m/>
    <m/>
    <m/>
    <x v="32"/>
    <s v="PCOM - Precommissioning"/>
    <s v="I"/>
    <x v="1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38"/>
    <s v="PS5-60-IE-0003D-CC04"/>
    <m/>
    <m/>
    <m/>
    <m/>
    <x v="32"/>
    <s v="PCOM - Precommissioning"/>
    <s v="I"/>
    <x v="1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39"/>
    <s v="PS5-60-IE-0003D-CC05"/>
    <m/>
    <m/>
    <m/>
    <m/>
    <x v="32"/>
    <s v="PCOM - Precommissioning"/>
    <s v="I"/>
    <x v="1"/>
    <x v="1"/>
    <s v="Cable FROM PS5-60-IE-0001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0"/>
    <s v="PS5-60-IE-0003D-CC06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1"/>
    <s v="PS5-60-IE-0003D-CC07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2"/>
    <s v="PS5-60-IE-0003D-CC08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3"/>
    <s v="PS5-60-IE-0003D-CC09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4"/>
    <s v="PS5-60-IE-0003D-CC10"/>
    <m/>
    <m/>
    <m/>
    <m/>
    <x v="32"/>
    <s v="PCOM - Precommissioning"/>
    <s v="I"/>
    <x v="1"/>
    <x v="1"/>
    <s v="Cable FROM PS5-60-IE-0004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5"/>
    <s v="PS5-60-IE-0003D-CC11"/>
    <m/>
    <m/>
    <m/>
    <m/>
    <x v="32"/>
    <s v="PCOM - Precommissioning"/>
    <s v="I"/>
    <x v="1"/>
    <x v="1"/>
    <s v="Cable FROM PS5-60-IE-0004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6"/>
    <s v="PS5-60-IE-0003D-CC15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7"/>
    <s v="PS5-60-IE-0003D-CC16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48"/>
    <s v="PS5-60-IE-0003D-CC17"/>
    <m/>
    <m/>
    <m/>
    <m/>
    <x v="32"/>
    <s v="PCOM - Precommissioning"/>
    <s v="I"/>
    <x v="1"/>
    <x v="1"/>
    <s v="Cable FROM PS5-60-IE-0002D TO PS5-60-IE-0003D"/>
    <s v="EACOP"/>
    <s v="CPP AGI"/>
    <m/>
    <m/>
    <s v="4"/>
    <m/>
    <m/>
    <s v="0"/>
    <s v="PS5 - TZA - PS5 - Tanzania"/>
    <s v="PS5-60-11 - Power Gen Package D (UCP)"/>
    <m/>
    <s v="PS5-60-11"/>
    <x v="1"/>
    <x v="0"/>
    <s v="Multi/Single-Core Instrument Control Cable"/>
    <s v="I"/>
    <x v="0"/>
    <s v="PS5 - Milestone D"/>
    <s v="TM-00254"/>
    <m/>
    <m/>
  </r>
  <r>
    <s v="T-00254-5153"/>
    <s v="PS5-60-IE-0003D-CC25"/>
    <m/>
    <m/>
    <m/>
    <m/>
    <x v="32"/>
    <s v="PCOM - Precommissioning"/>
    <s v="I"/>
    <x v="1"/>
    <x v="1"/>
    <s v="Cable FROM PS5-60-TX-41400A TO PS5-60-IE-0003D"/>
    <s v="EACOP"/>
    <s v="CPP AGI"/>
    <m/>
    <m/>
    <s v="4"/>
    <m/>
    <m/>
    <s v="0"/>
    <s v="PS5 - TZA - PS5 - Tanzania"/>
    <s v="PS5-60-11 - Power Gen Package D (UCP)"/>
    <d v="2026-07-10T17:03:17"/>
    <s v="PS5-60-11"/>
    <x v="1"/>
    <x v="0"/>
    <s v="Multi/Single-Core Instrument Control Cable"/>
    <s v="I"/>
    <x v="1"/>
    <s v="PS5 - Milestone D"/>
    <s v="TM-00254"/>
    <s v="Gawad, Mohamed"/>
    <m/>
  </r>
  <r>
    <s v="T-00254-5154"/>
    <s v="PS5-60-IE-0003D-CC26"/>
    <m/>
    <m/>
    <m/>
    <m/>
    <x v="32"/>
    <s v="PCOM - Precommissioning"/>
    <s v="I"/>
    <x v="1"/>
    <x v="1"/>
    <s v="Cable FROM PS5-60-TX-41400B TO PS5-60-IE-0003D"/>
    <s v="EACOP"/>
    <s v="CPP AGI"/>
    <m/>
    <m/>
    <s v="4"/>
    <m/>
    <m/>
    <s v="0"/>
    <s v="PS5 - TZA - PS5 - Tanzania"/>
    <s v="PS5-60-11 - Power Gen Package D (UCP)"/>
    <d v="2026-07-10T17:02:59"/>
    <s v="PS5-60-11"/>
    <x v="1"/>
    <x v="0"/>
    <s v="Multi/Single-Core Instrument Control Cable"/>
    <s v="I"/>
    <x v="1"/>
    <s v="PS5 - Milestone D"/>
    <s v="TM-00254"/>
    <s v="Gawad, Mohamed"/>
    <m/>
  </r>
  <r>
    <s v="T-00254-5215"/>
    <s v="PS5-60-IE-0004-CC01"/>
    <m/>
    <m/>
    <m/>
    <m/>
    <x v="32"/>
    <s v="PCOM - Precommissioning"/>
    <s v="I"/>
    <x v="1"/>
    <x v="1"/>
    <s v="Cable FROM PS5-60-IE-0003A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16"/>
    <s v="PS5-60-IE-0004-CC02"/>
    <m/>
    <m/>
    <m/>
    <m/>
    <x v="32"/>
    <s v="PCOM - Precommissioning"/>
    <s v="I"/>
    <x v="1"/>
    <x v="1"/>
    <s v="Cable FROM PS5-60-IE-0003B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17"/>
    <s v="PS5-60-IE-0004-CC03"/>
    <m/>
    <m/>
    <m/>
    <m/>
    <x v="32"/>
    <s v="PCOM - Precommissioning"/>
    <s v="I"/>
    <x v="1"/>
    <x v="1"/>
    <s v="Cable FROM PS5-60-IE-0003C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18"/>
    <s v="PS5-60-IE-0004-CC04"/>
    <m/>
    <m/>
    <m/>
    <m/>
    <x v="32"/>
    <s v="PCOM - Precommissioning"/>
    <s v="I"/>
    <x v="1"/>
    <x v="1"/>
    <s v="Cable FROM PS5-60-IE-0003D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19"/>
    <s v="PS5-60-IE-0004-CC05"/>
    <m/>
    <m/>
    <m/>
    <m/>
    <x v="32"/>
    <s v="PCOM - Precommissioning"/>
    <s v="I"/>
    <x v="1"/>
    <x v="1"/>
    <s v="Cable FROM PS5-60-IE-0003E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20"/>
    <s v="PS5-60-IE-0004-CC06"/>
    <m/>
    <m/>
    <m/>
    <m/>
    <x v="32"/>
    <s v="PCOM - Precommissioning"/>
    <s v="I"/>
    <x v="1"/>
    <x v="1"/>
    <s v="Cable FROM PS5-60-IE-0003F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21"/>
    <s v="PS5-60-IE-0004-CC07"/>
    <m/>
    <m/>
    <m/>
    <m/>
    <x v="32"/>
    <s v="PCOM - Precommissioning"/>
    <s v="I"/>
    <x v="1"/>
    <x v="1"/>
    <s v="Cable FROM PS5-60-IE-0003G TO PS5-60-IE-0004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225"/>
    <s v="PS5-60-IN-0001A-CC01"/>
    <m/>
    <m/>
    <m/>
    <m/>
    <x v="32"/>
    <s v="PCOM - Precommissioning"/>
    <s v="I"/>
    <x v="1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254"/>
    <m/>
    <m/>
  </r>
  <r>
    <s v="T-00254-5226"/>
    <s v="PS5-60-IN-0001A-CC02"/>
    <m/>
    <m/>
    <m/>
    <m/>
    <x v="32"/>
    <s v="PCOM - Precommissioning"/>
    <s v="I"/>
    <x v="1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254"/>
    <m/>
    <m/>
  </r>
  <r>
    <s v="T-00254-5227"/>
    <s v="PS5-60-IN-0001A-CC03"/>
    <m/>
    <m/>
    <m/>
    <m/>
    <x v="32"/>
    <s v="PCOM - Precommissioning"/>
    <s v="I"/>
    <x v="1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m/>
    <s v="PS5-60-49"/>
    <x v="0"/>
    <x v="0"/>
    <s v="Multi/Single-Core Instrument Control Cable"/>
    <s v="I"/>
    <x v="0"/>
    <s v="PS5 - Milestone B"/>
    <s v="TM-00254"/>
    <m/>
    <m/>
  </r>
  <r>
    <s v="T-00254-5228"/>
    <s v="PS5-60-IN-0001A-CC04"/>
    <m/>
    <m/>
    <m/>
    <m/>
    <x v="32"/>
    <s v="PCOM - Precommissioning"/>
    <s v="I"/>
    <x v="1"/>
    <x v="1"/>
    <s v="Cable FROM PS5-60-IE-0003A TO PS5-60-IN-0001A"/>
    <s v="EACOP"/>
    <s v="CPP AGI"/>
    <m/>
    <m/>
    <s v="4"/>
    <m/>
    <m/>
    <s v="0"/>
    <s v="PS5 - TZA - PS5 - Tanzania"/>
    <s v="PS5-60-49 - Lube Oil Separator Module PS5-60-UO-81100A"/>
    <d v="2026-07-01T13:17:53"/>
    <s v="PS5-60-49"/>
    <x v="0"/>
    <x v="0"/>
    <s v="Multi/Single-Core Instrument Control Cable"/>
    <s v="I"/>
    <x v="1"/>
    <s v="PS5 - Milestone B"/>
    <s v="TM-00254"/>
    <s v="Gawad, Mohamed"/>
    <m/>
  </r>
  <r>
    <s v="T-00254-5229"/>
    <s v="PS5-60-IN-0001B-CC01"/>
    <m/>
    <m/>
    <m/>
    <m/>
    <x v="32"/>
    <s v="PCOM - Precommissioning"/>
    <s v="I"/>
    <x v="1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254"/>
    <m/>
    <m/>
  </r>
  <r>
    <s v="T-00254-5230"/>
    <s v="PS5-60-IN-0001B-CC02"/>
    <m/>
    <m/>
    <m/>
    <m/>
    <x v="32"/>
    <s v="PCOM - Precommissioning"/>
    <s v="I"/>
    <x v="1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254"/>
    <m/>
    <m/>
  </r>
  <r>
    <s v="T-00254-5231"/>
    <s v="PS5-60-IN-0001B-CC03"/>
    <m/>
    <m/>
    <m/>
    <m/>
    <x v="32"/>
    <s v="PCOM - Precommissioning"/>
    <s v="I"/>
    <x v="1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m/>
    <s v="PS5-60-50"/>
    <x v="0"/>
    <x v="0"/>
    <s v="Multi/Single-Core Instrument Control Cable"/>
    <s v="I"/>
    <x v="0"/>
    <s v="PS5 - Milestone B"/>
    <s v="TM-00254"/>
    <m/>
    <m/>
  </r>
  <r>
    <s v="T-00254-5232"/>
    <s v="PS5-60-IN-0001B-CC04"/>
    <m/>
    <m/>
    <m/>
    <m/>
    <x v="32"/>
    <s v="PCOM - Precommissioning"/>
    <s v="I"/>
    <x v="1"/>
    <x v="1"/>
    <s v="Cable FROM PS5-60-IE-0003B TO PS5-60-IN-0001B"/>
    <s v="EACOP"/>
    <s v="CPP AGI"/>
    <m/>
    <m/>
    <s v="4"/>
    <m/>
    <m/>
    <s v="0"/>
    <s v="PS5 - TZA - PS5 - Tanzania"/>
    <s v="PS5-60-50 - Lube Oil Separator Module PS5-60-UO-81100B"/>
    <d v="2026-07-01T13:18:22"/>
    <s v="PS5-60-50"/>
    <x v="0"/>
    <x v="0"/>
    <s v="Multi/Single-Core Instrument Control Cable"/>
    <s v="I"/>
    <x v="1"/>
    <s v="PS5 - Milestone B"/>
    <s v="TM-00254"/>
    <s v="Gawad, Mohamed"/>
    <m/>
  </r>
  <r>
    <s v="T-00254-5233"/>
    <s v="PS5-60-IN-0001C-CC01"/>
    <m/>
    <m/>
    <m/>
    <m/>
    <x v="32"/>
    <s v="PCOM - Precommissioning"/>
    <s v="I"/>
    <x v="1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254"/>
    <m/>
    <m/>
  </r>
  <r>
    <s v="T-00254-5234"/>
    <s v="PS5-60-IN-0001C-CC02"/>
    <m/>
    <m/>
    <m/>
    <m/>
    <x v="32"/>
    <s v="PCOM - Precommissioning"/>
    <s v="I"/>
    <x v="1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d v="2026-07-01T13:18:52"/>
    <s v="PS5-60-51"/>
    <x v="1"/>
    <x v="0"/>
    <s v="Multi/Single-Core Instrument Control Cable"/>
    <s v="I"/>
    <x v="1"/>
    <s v="PS5 - Milestone D"/>
    <s v="TM-00254"/>
    <s v="Gawad, Mohamed"/>
    <m/>
  </r>
  <r>
    <s v="T-00254-5235"/>
    <s v="PS5-60-IN-0001C-CC03"/>
    <m/>
    <m/>
    <m/>
    <m/>
    <x v="32"/>
    <s v="PCOM - Precommissioning"/>
    <s v="I"/>
    <x v="1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m/>
    <s v="PS5-60-51"/>
    <x v="1"/>
    <x v="0"/>
    <s v="Multi/Single-Core Instrument Control Cable"/>
    <s v="I"/>
    <x v="0"/>
    <s v="PS5 - Milestone D"/>
    <s v="TM-00254"/>
    <m/>
    <m/>
  </r>
  <r>
    <s v="T-00254-5236"/>
    <s v="PS5-60-IN-0001C-CC04"/>
    <m/>
    <m/>
    <m/>
    <m/>
    <x v="32"/>
    <s v="PCOM - Precommissioning"/>
    <s v="I"/>
    <x v="1"/>
    <x v="1"/>
    <s v="Cable FROM PS5-60-IE-0003C TO PS5-60-IN-0001C"/>
    <s v="EACOP"/>
    <s v="CPP AGI"/>
    <m/>
    <m/>
    <s v="4"/>
    <m/>
    <m/>
    <s v="0"/>
    <s v="PS5 - TZA - PS5 - Tanzania"/>
    <s v="PS5-60-51 - Lube Oil Separator Module PS5-60-UO-81100C"/>
    <d v="2026-07-01T13:19:22"/>
    <s v="PS5-60-51"/>
    <x v="1"/>
    <x v="0"/>
    <s v="Multi/Single-Core Instrument Control Cable"/>
    <s v="I"/>
    <x v="1"/>
    <s v="PS5 - Milestone D"/>
    <s v="TM-00254"/>
    <s v="Gawad, Mohamed"/>
    <m/>
  </r>
  <r>
    <s v="T-00254-5237"/>
    <s v="PS5-60-IN-0001D-CC01"/>
    <m/>
    <m/>
    <m/>
    <m/>
    <x v="32"/>
    <s v="PCOM - Precommissioning"/>
    <s v="I"/>
    <x v="1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254"/>
    <m/>
    <m/>
  </r>
  <r>
    <s v="T-00254-5238"/>
    <s v="PS5-60-IN-0001D-CC02"/>
    <m/>
    <m/>
    <m/>
    <m/>
    <x v="32"/>
    <s v="PCOM - Precommissioning"/>
    <s v="I"/>
    <x v="1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d v="2026-07-01T13:19:49"/>
    <s v="PS5-60-52"/>
    <x v="1"/>
    <x v="0"/>
    <s v="Multi/Single-Core Instrument Control Cable"/>
    <s v="I"/>
    <x v="1"/>
    <s v="PS5 - Milestone D"/>
    <s v="TM-00254"/>
    <s v="Gawad, Mohamed"/>
    <m/>
  </r>
  <r>
    <s v="T-00254-5239"/>
    <s v="PS5-60-IN-0001D-CC03"/>
    <m/>
    <m/>
    <m/>
    <m/>
    <x v="32"/>
    <s v="PCOM - Precommissioning"/>
    <s v="I"/>
    <x v="1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m/>
    <s v="PS5-60-52"/>
    <x v="1"/>
    <x v="0"/>
    <s v="Multi/Single-Core Instrument Control Cable"/>
    <s v="I"/>
    <x v="0"/>
    <s v="PS5 - Milestone D"/>
    <s v="TM-00254"/>
    <m/>
    <m/>
  </r>
  <r>
    <s v="T-00254-5240"/>
    <s v="PS5-60-IN-0001D-CC04"/>
    <m/>
    <m/>
    <m/>
    <m/>
    <x v="32"/>
    <s v="PCOM - Precommissioning"/>
    <s v="I"/>
    <x v="1"/>
    <x v="1"/>
    <s v="Cable FROM PS5-60-IE-0003D TO PS5-60-IN-0001D"/>
    <s v="EACOP"/>
    <s v="CPP AGI"/>
    <m/>
    <m/>
    <s v="4"/>
    <m/>
    <m/>
    <s v="0"/>
    <s v="PS5 - TZA - PS5 - Tanzania"/>
    <s v="PS5-60-52 - Lube Oil Separator Module PS5-60-UO-81100D"/>
    <d v="2026-07-01T13:20:36"/>
    <s v="PS5-60-52"/>
    <x v="1"/>
    <x v="0"/>
    <s v="Multi/Single-Core Instrument Control Cable"/>
    <s v="I"/>
    <x v="1"/>
    <s v="PS5 - Milestone D"/>
    <s v="TM-00254"/>
    <s v="Gawad, Mohamed"/>
    <m/>
  </r>
  <r>
    <s v="T-00254-5253"/>
    <s v="PS5-60-IN-0002A-CC01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4"/>
    <s v="PS5-60-IN-0002A-CC02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5"/>
    <s v="PS5-60-IN-0002A-CC03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6"/>
    <s v="PS5-60-IN-0002A-CC04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7"/>
    <s v="PS5-60-IN-0002A-CC05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8"/>
    <s v="PS5-60-IN-0002A-CC06"/>
    <m/>
    <m/>
    <m/>
    <m/>
    <x v="32"/>
    <s v="PCOM - Precommissioning"/>
    <s v="I"/>
    <x v="1"/>
    <x v="1"/>
    <s v="Cable FROM PS5-60-IE-0003A TO PS5-60-IN-0002A"/>
    <s v="EACOP"/>
    <s v="CPP AGI"/>
    <m/>
    <m/>
    <s v="4"/>
    <m/>
    <m/>
    <s v="0"/>
    <s v="PS5 - TZA - PS5 - Tanzania"/>
    <s v="PS5-60-57 - Fuel Conditioning Module PS5-60-UZ-8900A (UCP)"/>
    <m/>
    <s v="PS5-60-57"/>
    <x v="0"/>
    <x v="0"/>
    <s v="Multi/Single-Core Instrument Control Cable"/>
    <s v="I"/>
    <x v="0"/>
    <s v="PS5 - Milestone B"/>
    <s v="TM-00254"/>
    <m/>
    <m/>
  </r>
  <r>
    <s v="T-00254-5259"/>
    <s v="PS5-60-IN-0002B-CC01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d v="2026-07-07T14:05:57"/>
    <s v="PS5-60-59"/>
    <x v="0"/>
    <x v="0"/>
    <s v="Multi/Single-Core Instrument Control Cable"/>
    <s v="I"/>
    <x v="1"/>
    <s v="PS5 - Milestone B"/>
    <s v="TM-00254"/>
    <s v="Gawad, Mohamed"/>
    <m/>
  </r>
  <r>
    <s v="T-00254-5260"/>
    <s v="PS5-60-IN-0002B-CC02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5261"/>
    <s v="PS5-60-IN-0002B-CC03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5262"/>
    <s v="PS5-60-IN-0002B-CC04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d v="2026-07-07T14:06:05"/>
    <s v="PS5-60-59"/>
    <x v="0"/>
    <x v="0"/>
    <s v="Multi/Single-Core Instrument Control Cable"/>
    <s v="I"/>
    <x v="1"/>
    <s v="PS5 - Milestone B"/>
    <s v="TM-00254"/>
    <s v="Gawad, Mohamed"/>
    <m/>
  </r>
  <r>
    <s v="T-00254-5263"/>
    <s v="PS5-60-IN-0002B-CC05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5264"/>
    <s v="PS5-60-IN-0002B-CC06"/>
    <m/>
    <m/>
    <m/>
    <m/>
    <x v="32"/>
    <s v="PCOM - Precommissioning"/>
    <s v="I"/>
    <x v="1"/>
    <x v="1"/>
    <s v="Cable FROM PS5-60-IE-0003B TO PS5-60-IN-0002B"/>
    <s v="EACOP"/>
    <s v="CPP AGI"/>
    <m/>
    <m/>
    <s v="4"/>
    <m/>
    <m/>
    <s v="0"/>
    <s v="PS5 - TZA - PS5 - Tanzania"/>
    <s v="PS5-60-59 - Fuel Conditioning Module PS5-60-UZ-8900B (UCP)"/>
    <m/>
    <s v="PS5-60-59"/>
    <x v="0"/>
    <x v="0"/>
    <s v="Multi/Single-Core Instrument Control Cable"/>
    <s v="I"/>
    <x v="0"/>
    <s v="PS5 - Milestone B"/>
    <s v="TM-00254"/>
    <m/>
    <m/>
  </r>
  <r>
    <s v="T-00254-5265"/>
    <s v="PS5-60-IN-0002C-CC01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d v="2026-07-07T14:07:23"/>
    <s v="PS5-60-61"/>
    <x v="1"/>
    <x v="0"/>
    <s v="Multi/Single-Core Instrument Control Cable"/>
    <s v="I"/>
    <x v="1"/>
    <s v="PS5 - Milestone D"/>
    <s v="TM-00254"/>
    <s v="Gawad, Mohamed"/>
    <m/>
  </r>
  <r>
    <s v="T-00254-5266"/>
    <s v="PS5-60-IN-0002C-CC02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5267"/>
    <s v="PS5-60-IN-0002C-CC03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5268"/>
    <s v="PS5-60-IN-0002C-CC04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d v="2026-07-07T14:09:19"/>
    <s v="PS5-60-61"/>
    <x v="1"/>
    <x v="0"/>
    <s v="Multi/Single-Core Instrument Control Cable"/>
    <s v="I"/>
    <x v="1"/>
    <s v="PS5 - Milestone D"/>
    <s v="TM-00254"/>
    <s v="Gawad, Mohamed"/>
    <m/>
  </r>
  <r>
    <s v="T-00254-5269"/>
    <s v="PS5-60-IN-0002C-CC05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5270"/>
    <s v="PS5-60-IN-0002C-CC06"/>
    <m/>
    <m/>
    <m/>
    <m/>
    <x v="32"/>
    <s v="PCOM - Precommissioning"/>
    <s v="I"/>
    <x v="1"/>
    <x v="1"/>
    <s v="Cable FROM PS5-60-IE-0003C TO PS5-60-IN-0002C"/>
    <s v="EACOP"/>
    <s v="CPP AGI"/>
    <m/>
    <m/>
    <s v="4"/>
    <m/>
    <m/>
    <s v="0"/>
    <s v="PS5 - TZA - PS5 - Tanzania"/>
    <s v="PS5-60-61 - Fuel Conditioning Module PS5-60-UZ-8900C (UCP)"/>
    <m/>
    <s v="PS5-60-61"/>
    <x v="1"/>
    <x v="0"/>
    <s v="Multi/Single-Core Instrument Control Cable"/>
    <s v="I"/>
    <x v="0"/>
    <s v="PS5 - Milestone D"/>
    <s v="TM-00254"/>
    <m/>
    <m/>
  </r>
  <r>
    <s v="T-00254-5271"/>
    <s v="PS5-60-IN-0002D-CC01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d v="2026-07-07T14:10:42"/>
    <s v="PS5-60-63"/>
    <x v="1"/>
    <x v="0"/>
    <s v="Multi/Single-Core Instrument Control Cable"/>
    <s v="I"/>
    <x v="1"/>
    <s v="PS5 - Milestone D"/>
    <s v="TM-00254"/>
    <s v="Gawad, Mohamed"/>
    <m/>
  </r>
  <r>
    <s v="T-00254-5272"/>
    <s v="PS5-60-IN-0002D-CC02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5273"/>
    <s v="PS5-60-IN-0002D-CC03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5274"/>
    <s v="PS5-60-IN-0002D-CC04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d v="2026-07-08T06:03:59"/>
    <s v="PS5-60-63"/>
    <x v="1"/>
    <x v="0"/>
    <s v="Multi/Single-Core Instrument Control Cable"/>
    <s v="I"/>
    <x v="1"/>
    <s v="PS5 - Milestone D"/>
    <s v="TM-00254"/>
    <s v="Gawad, Mohamed"/>
    <m/>
  </r>
  <r>
    <s v="T-00254-5275"/>
    <s v="PS5-60-IN-0002D-CC05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5276"/>
    <s v="PS5-60-IN-0002D-CC06"/>
    <m/>
    <m/>
    <m/>
    <m/>
    <x v="32"/>
    <s v="PCOM - Precommissioning"/>
    <s v="I"/>
    <x v="1"/>
    <x v="1"/>
    <s v="Cable FROM PS5-60-IE-0003D TO PS5-60-IN-0002D"/>
    <s v="EACOP"/>
    <s v="CPP AGI"/>
    <m/>
    <m/>
    <s v="4"/>
    <m/>
    <m/>
    <s v="0"/>
    <s v="PS5 - TZA - PS5 - Tanzania"/>
    <s v="PS5-60-63 - Fuel Conditioning Module PS5-60-UZ-8900D (UCP)"/>
    <m/>
    <s v="PS5-60-63"/>
    <x v="1"/>
    <x v="0"/>
    <s v="Multi/Single-Core Instrument Control Cable"/>
    <s v="I"/>
    <x v="0"/>
    <s v="PS5 - Milestone D"/>
    <s v="TM-00254"/>
    <m/>
    <m/>
  </r>
  <r>
    <s v="T-00254-5295"/>
    <s v="PS5-60-IN-0004A-CC11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296"/>
    <s v="PS5-60-LA-0002A-CC01"/>
    <m/>
    <m/>
    <m/>
    <m/>
    <x v="32"/>
    <s v="PCOM - Precommissioning"/>
    <s v="I"/>
    <x v="1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297"/>
    <s v="PS5-60-LA-0002A-CC02"/>
    <m/>
    <m/>
    <m/>
    <m/>
    <x v="32"/>
    <s v="PCOM - Precommissioning"/>
    <s v="I"/>
    <x v="1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298"/>
    <s v="PS5-60-LA-0002A-CC03"/>
    <m/>
    <m/>
    <m/>
    <m/>
    <x v="32"/>
    <s v="PCOM - Precommissioning"/>
    <s v="I"/>
    <x v="1"/>
    <x v="1"/>
    <s v="Cable FROM PS5-60-IE-0003A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299"/>
    <s v="PS5-60-LA-0002A-CC04"/>
    <m/>
    <m/>
    <m/>
    <m/>
    <x v="32"/>
    <s v="PCOM - Precommissioning"/>
    <s v="I"/>
    <x v="1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0"/>
    <s v="PS5-60-LA-0002A-CC05"/>
    <m/>
    <m/>
    <m/>
    <m/>
    <x v="32"/>
    <s v="PCOM - Precommissioning"/>
    <s v="I"/>
    <x v="1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1"/>
    <s v="PS5-60-LA-0002A-CC06"/>
    <m/>
    <m/>
    <m/>
    <m/>
    <x v="32"/>
    <s v="PCOM - Precommissioning"/>
    <s v="I"/>
    <x v="1"/>
    <x v="1"/>
    <s v="Cable FROM PS5-60-IE-0003B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2"/>
    <s v="PS5-60-LA-0002A-CC07"/>
    <m/>
    <m/>
    <m/>
    <m/>
    <x v="32"/>
    <s v="PCOM - Precommissioning"/>
    <s v="I"/>
    <x v="1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3"/>
    <s v="PS5-60-LA-0002A-CC08"/>
    <m/>
    <m/>
    <m/>
    <m/>
    <x v="32"/>
    <s v="PCOM - Precommissioning"/>
    <s v="I"/>
    <x v="1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4"/>
    <s v="PS5-60-LA-0002A-CC09"/>
    <m/>
    <m/>
    <m/>
    <m/>
    <x v="32"/>
    <s v="PCOM - Precommissioning"/>
    <s v="I"/>
    <x v="1"/>
    <x v="1"/>
    <s v="Cable FROM PS5-60-IE-0003C TO PS5-60-LA-0002A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05"/>
    <s v="PS5-60-LA-0002B-CC01"/>
    <m/>
    <m/>
    <m/>
    <m/>
    <x v="32"/>
    <s v="PCOM - Precommissioning"/>
    <s v="I"/>
    <x v="1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06"/>
    <s v="PS5-60-LA-0002B-CC02"/>
    <m/>
    <m/>
    <m/>
    <m/>
    <x v="32"/>
    <s v="PCOM - Precommissioning"/>
    <s v="I"/>
    <x v="1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07"/>
    <s v="PS5-60-LA-0002B-CC03"/>
    <m/>
    <m/>
    <m/>
    <m/>
    <x v="32"/>
    <s v="PCOM - Precommissioning"/>
    <s v="I"/>
    <x v="1"/>
    <x v="1"/>
    <s v="Cable FROM PS5-60-IE-0003D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08"/>
    <s v="PS5-60-LA-0002B-CC04"/>
    <m/>
    <m/>
    <m/>
    <m/>
    <x v="32"/>
    <s v="PCOM - Precommissioning"/>
    <s v="I"/>
    <x v="1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09"/>
    <s v="PS5-60-LA-0002B-CC05"/>
    <m/>
    <m/>
    <m/>
    <m/>
    <x v="32"/>
    <s v="PCOM - Precommissioning"/>
    <s v="I"/>
    <x v="1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10"/>
    <s v="PS5-60-LA-0002B-CC06"/>
    <m/>
    <m/>
    <m/>
    <m/>
    <x v="32"/>
    <s v="PCOM - Precommissioning"/>
    <s v="I"/>
    <x v="1"/>
    <x v="1"/>
    <s v="Cable FROM PS5-60-IE-0003E TO PS5-60-LA-0002B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17"/>
    <s v="PS5-60-LA-0003-CC01"/>
    <m/>
    <m/>
    <m/>
    <m/>
    <x v="32"/>
    <s v="PCOM - Precommissioning"/>
    <s v="I"/>
    <x v="1"/>
    <x v="1"/>
    <s v="Cable FROM PS5-60-IE-0004 TO PS5-60-LA-0003"/>
    <s v="EACOP"/>
    <s v="CPP AGI"/>
    <m/>
    <m/>
    <s v="4"/>
    <m/>
    <m/>
    <s v="0"/>
    <s v="PS5 - TZA - PS5 - Tanzania"/>
    <s v="PS5-60-22 - Power Gen Master UCP"/>
    <m/>
    <s v="PS5-60-22"/>
    <x v="0"/>
    <x v="0"/>
    <s v="Multi/Single-Core Instrument Control Cable"/>
    <s v="I"/>
    <x v="0"/>
    <s v="PS5 - Milestone B"/>
    <s v="TM-00254"/>
    <m/>
    <m/>
  </r>
  <r>
    <s v="T-00254-5328"/>
    <s v="PS5-60-SEA-0001-CC01"/>
    <m/>
    <m/>
    <m/>
    <m/>
    <x v="32"/>
    <s v="PCOM - Precommissioning"/>
    <s v="I"/>
    <x v="1"/>
    <x v="1"/>
    <s v="Cable FROM PS5-60-IE-0003A TO PS5-60-SEA-0001"/>
    <s v="EACOP"/>
    <s v="CPP AGI"/>
    <m/>
    <m/>
    <s v="4"/>
    <m/>
    <m/>
    <s v="0"/>
    <s v="PS5 - TZA - PS5 - Tanzania"/>
    <s v="PS5-03-14 - FZ-14 - Power Generation Building - Switchgear Room"/>
    <d v="2026-07-08T04:53:58"/>
    <s v="PS5-03-14"/>
    <x v="1"/>
    <x v="0"/>
    <s v="Multi/Single-Core Instrument Control Cable"/>
    <s v="I"/>
    <x v="1"/>
    <s v="PS5 - Milestone E"/>
    <s v="TM-00254"/>
    <s v="Gawad, Mohamed"/>
    <m/>
  </r>
  <r>
    <s v="T-00254-5329"/>
    <s v="PS5-60-SEA-0001-CC02"/>
    <m/>
    <m/>
    <m/>
    <m/>
    <x v="32"/>
    <s v="PCOM - Precommissioning"/>
    <s v="I"/>
    <x v="1"/>
    <x v="1"/>
    <s v="Cable FROM PS5-60-IE-0003B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5330"/>
    <s v="PS5-60-SEA-0001-CC03"/>
    <m/>
    <m/>
    <m/>
    <m/>
    <x v="32"/>
    <s v="PCOM - Precommissioning"/>
    <s v="I"/>
    <x v="1"/>
    <x v="1"/>
    <s v="Cable FROM PS5-60-IE-0003C TO PS5-60-SEA-0001"/>
    <s v="EACOP"/>
    <s v="CPP AGI"/>
    <m/>
    <m/>
    <s v="4"/>
    <m/>
    <m/>
    <s v="0"/>
    <s v="PS5 - TZA - PS5 - Tanzania"/>
    <s v="PS5-03-14 - FZ-14 - Power Generation Building - Switchgear Room"/>
    <d v="2026-07-08T04:56:03"/>
    <s v="PS5-03-14"/>
    <x v="1"/>
    <x v="0"/>
    <s v="Multi/Single-Core Instrument Control Cable"/>
    <s v="I"/>
    <x v="1"/>
    <s v="PS5 - Milestone E"/>
    <s v="TM-00254"/>
    <s v="Gawad, Mohamed"/>
    <m/>
  </r>
  <r>
    <s v="T-00254-5331"/>
    <s v="PS5-60-SEA-0001-CC04"/>
    <m/>
    <m/>
    <m/>
    <m/>
    <x v="32"/>
    <s v="PCOM - Precommissioning"/>
    <s v="I"/>
    <x v="1"/>
    <x v="1"/>
    <s v="Cable FROM PS5-60-IE-0003D TO PS5-60-SEA-0001"/>
    <s v="EACOP"/>
    <s v="CPP AGI"/>
    <m/>
    <m/>
    <s v="4"/>
    <m/>
    <m/>
    <s v="0"/>
    <s v="PS5 - TZA - PS5 - Tanzania"/>
    <s v="PS5-03-14 - FZ-14 - Power Generation Building - Switchgear Room"/>
    <d v="2026-07-08T05:01:13"/>
    <s v="PS5-03-14"/>
    <x v="1"/>
    <x v="0"/>
    <s v="Multi/Single-Core Instrument Control Cable"/>
    <s v="I"/>
    <x v="1"/>
    <s v="PS5 - Milestone E"/>
    <s v="TM-00254"/>
    <s v="Gawad, Mohamed"/>
    <m/>
  </r>
  <r>
    <s v="T-00254-5332"/>
    <s v="PS5-60-SEA-0001-CC05"/>
    <m/>
    <m/>
    <m/>
    <m/>
    <x v="32"/>
    <s v="PCOM - Precommissioning"/>
    <s v="I"/>
    <x v="1"/>
    <x v="1"/>
    <s v="Cable FROM PS5-60-IE-0003E TO PS5-60-SEA-0001"/>
    <s v="EACOP"/>
    <s v="CPP AGI"/>
    <m/>
    <m/>
    <s v="4"/>
    <m/>
    <m/>
    <s v="0"/>
    <s v="PS5 - TZA - PS5 - Tanzania"/>
    <s v="PS5-03-14 - FZ-14 - Power Generation Building - Switchgear Room"/>
    <d v="2026-07-08T05:04:40"/>
    <s v="PS5-03-14"/>
    <x v="1"/>
    <x v="0"/>
    <s v="Multi/Single-Core Instrument Control Cable"/>
    <s v="I"/>
    <x v="1"/>
    <s v="PS5 - Milestone E"/>
    <s v="TM-00254"/>
    <s v="Gawad, Mohamed"/>
    <m/>
  </r>
  <r>
    <s v="T-00254-5333"/>
    <s v="PS5-60-SEA-0001-CC06"/>
    <m/>
    <m/>
    <m/>
    <m/>
    <x v="32"/>
    <s v="PCOM - Precommissioning"/>
    <s v="I"/>
    <x v="1"/>
    <x v="1"/>
    <s v="Cable FROM PS5-60-IE-0003F TO PS5-60-SEA-0001"/>
    <s v="EACOP"/>
    <s v="CPP AGI"/>
    <m/>
    <m/>
    <s v="4"/>
    <m/>
    <m/>
    <s v="0"/>
    <s v="PS5 - TZA - PS5 - Tanzania"/>
    <s v="PS5-03-14 - FZ-14 - Power Generation Building - Switchgear Room"/>
    <d v="2026-07-08T05:06:20"/>
    <s v="PS5-03-14"/>
    <x v="1"/>
    <x v="0"/>
    <s v="Multi/Single-Core Instrument Control Cable"/>
    <s v="I"/>
    <x v="1"/>
    <s v="PS5 - Milestone E"/>
    <s v="TM-00254"/>
    <s v="Gawad, Mohamed"/>
    <m/>
  </r>
  <r>
    <s v="T-00254-5334"/>
    <s v="PS5-60-SEA-0001-CC07"/>
    <m/>
    <m/>
    <m/>
    <m/>
    <x v="32"/>
    <s v="PCOM - Precommissioning"/>
    <s v="I"/>
    <x v="1"/>
    <x v="1"/>
    <s v="Cable FROM PS5-60-IE-0003G TO PS5-60-SEA-0001"/>
    <s v="EACOP"/>
    <s v="CPP AGI"/>
    <m/>
    <m/>
    <s v="4"/>
    <m/>
    <m/>
    <s v="0"/>
    <s v="PS5 - TZA - PS5 - Tanzania"/>
    <s v="PS5-03-14 - FZ-14 - Power Generation Building - Switchgear Room"/>
    <d v="2026-07-08T05:07:53"/>
    <s v="PS5-03-14"/>
    <x v="1"/>
    <x v="0"/>
    <s v="Multi/Single-Core Instrument Control Cable"/>
    <s v="I"/>
    <x v="1"/>
    <s v="PS5 - Milestone E"/>
    <s v="TM-00254"/>
    <s v="Gawad, Mohamed"/>
    <m/>
  </r>
  <r>
    <s v="T-00254-5335"/>
    <s v="PS5-60-SEA-0001-CC10"/>
    <m/>
    <m/>
    <m/>
    <m/>
    <x v="32"/>
    <s v="PCOM - Precommissioning"/>
    <s v="I"/>
    <x v="1"/>
    <x v="1"/>
    <s v="Cable FROM PS5-60-IE-0004 TO PS5-60-SEA-0001"/>
    <s v="EACOP"/>
    <s v="CPP AGI"/>
    <m/>
    <m/>
    <s v="4"/>
    <m/>
    <m/>
    <s v="0"/>
    <s v="PS5 - TZA - PS5 - Tanzania"/>
    <s v="PS5-03-14 - FZ-14 - Power Generation Building - Switchgear Room"/>
    <d v="2026-07-08T05:09:49"/>
    <s v="PS5-03-14"/>
    <x v="1"/>
    <x v="0"/>
    <s v="Multi/Single-Core Instrument Control Cable"/>
    <s v="I"/>
    <x v="1"/>
    <s v="PS5 - Milestone E"/>
    <s v="TM-00254"/>
    <s v="Gawad, Mohamed"/>
    <m/>
  </r>
  <r>
    <s v="T-00254-5336"/>
    <s v="PS5-60-SEA-0001-CC11"/>
    <m/>
    <m/>
    <m/>
    <m/>
    <x v="32"/>
    <s v="PCOM - Precommissioning"/>
    <s v="I"/>
    <x v="1"/>
    <x v="1"/>
    <s v="Cable FROM PS5-60-IE-0003A TO PS5-60-SEA-0001"/>
    <s v="EACOP"/>
    <s v="CPP AGI"/>
    <m/>
    <m/>
    <s v="4"/>
    <m/>
    <m/>
    <s v="0"/>
    <s v="PS5 - TZA - PS5 - Tanzania"/>
    <s v="PS5-03-14 - FZ-14 - Power Generation Building - Switchgear Room"/>
    <d v="2026-07-10T17:12:13"/>
    <s v="PS5-03-14"/>
    <x v="1"/>
    <x v="0"/>
    <s v="Multi/Single-Core Instrument Control Cable"/>
    <s v="I"/>
    <x v="1"/>
    <s v="PS5 - Milestone E"/>
    <s v="TM-00254"/>
    <s v="Gawad, Mohamed"/>
    <m/>
  </r>
  <r>
    <s v="T-00254-5337"/>
    <s v="PS5-60-SEA-0001-CC12"/>
    <m/>
    <m/>
    <m/>
    <m/>
    <x v="32"/>
    <s v="PCOM - Precommissioning"/>
    <s v="I"/>
    <x v="1"/>
    <x v="1"/>
    <s v="Cable FROM PS5-60-IE-0003B TO PS5-60-SEA-0001"/>
    <s v="EACOP"/>
    <s v="CPP AGI"/>
    <m/>
    <m/>
    <s v="4"/>
    <m/>
    <m/>
    <s v="0"/>
    <s v="PS5 - TZA - PS5 - Tanzania"/>
    <s v="PS5-03-14 - FZ-14 - Power Generation Building - Switchgear Room"/>
    <d v="2026-07-10T17:12:58"/>
    <s v="PS5-03-14"/>
    <x v="1"/>
    <x v="0"/>
    <s v="Multi/Single-Core Instrument Control Cable"/>
    <s v="I"/>
    <x v="1"/>
    <s v="PS5 - Milestone E"/>
    <s v="TM-00254"/>
    <s v="Gawad, Mohamed"/>
    <m/>
  </r>
  <r>
    <s v="T-00254-5338"/>
    <s v="PS5-60-SEA-0001-CC13"/>
    <m/>
    <m/>
    <m/>
    <m/>
    <x v="32"/>
    <s v="PCOM - Precommissioning"/>
    <s v="I"/>
    <x v="1"/>
    <x v="1"/>
    <s v="Cable FROM PS5-60-IE-0003C TO PS5-60-SEA-0001"/>
    <s v="EACOP"/>
    <s v="CPP AGI"/>
    <m/>
    <m/>
    <s v="4"/>
    <m/>
    <m/>
    <s v="0"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4-5339"/>
    <s v="PS5-60-SEA-0001-CC14"/>
    <m/>
    <m/>
    <m/>
    <m/>
    <x v="32"/>
    <s v="PCOM - Precommissioning"/>
    <s v="I"/>
    <x v="1"/>
    <x v="1"/>
    <s v="Cable FROM PS5-60-IE-0003D TO PS5-60-SEA-0001"/>
    <s v="EACOP"/>
    <s v="CPP AGI"/>
    <m/>
    <m/>
    <s v="4"/>
    <m/>
    <m/>
    <s v="0"/>
    <s v="PS5 - TZA - PS5 - Tanzania"/>
    <s v="PS5-03-14 - FZ-14 - Power Generation Building - Switchgear Room"/>
    <d v="2026-07-08T05:13:41"/>
    <s v="PS5-03-14"/>
    <x v="1"/>
    <x v="0"/>
    <s v="Multi/Single-Core Instrument Control Cable"/>
    <s v="I"/>
    <x v="1"/>
    <s v="PS5 - Milestone E"/>
    <s v="TM-00254"/>
    <s v="Gawad, Mohamed"/>
    <m/>
  </r>
  <r>
    <s v="T-00254-5340"/>
    <s v="PS5-60-SEA-0001-CC15"/>
    <m/>
    <m/>
    <m/>
    <m/>
    <x v="32"/>
    <s v="PCOM - Precommissioning"/>
    <s v="I"/>
    <x v="1"/>
    <x v="1"/>
    <s v="Cable FROM PS5-60-IE-0003E TO PS5-60-SEA-0001"/>
    <s v="EACOP"/>
    <s v="CPP AGI"/>
    <m/>
    <m/>
    <s v="4"/>
    <m/>
    <m/>
    <s v="0"/>
    <s v="PS5 - TZA - PS5 - Tanzania"/>
    <s v="PS5-03-14 - FZ-14 - Power Generation Building - Switchgear Room"/>
    <d v="2026-07-08T05:20:26"/>
    <s v="PS5-03-14"/>
    <x v="1"/>
    <x v="0"/>
    <s v="Multi/Single-Core Instrument Control Cable"/>
    <s v="I"/>
    <x v="1"/>
    <s v="PS5 - Milestone E"/>
    <s v="TM-00254"/>
    <s v="Gawad, Mohamed"/>
    <m/>
  </r>
  <r>
    <s v="T-00254-5341"/>
    <s v="PS5-60-SEA-0001-CC16"/>
    <m/>
    <m/>
    <m/>
    <m/>
    <x v="32"/>
    <s v="PCOM - Precommissioning"/>
    <s v="I"/>
    <x v="1"/>
    <x v="1"/>
    <s v="Cable FROM PS5-60-IE-0003F TO PS5-60-SEA-0001"/>
    <s v="EACOP"/>
    <s v="CPP AGI"/>
    <m/>
    <m/>
    <s v="4"/>
    <m/>
    <m/>
    <s v="0"/>
    <s v="PS5 - TZA - PS5 - Tanzania"/>
    <s v="PS5-03-14 - FZ-14 - Power Generation Building - Switchgear Room"/>
    <d v="2026-07-08T05:23:56"/>
    <s v="PS5-03-14"/>
    <x v="1"/>
    <x v="0"/>
    <s v="Multi/Single-Core Instrument Control Cable"/>
    <s v="I"/>
    <x v="1"/>
    <s v="PS5 - Milestone E"/>
    <s v="TM-00254"/>
    <s v="Gawad, Mohamed"/>
    <m/>
  </r>
  <r>
    <s v="T-00254-5342"/>
    <s v="PS5-60-SEA-0001-CC17"/>
    <m/>
    <m/>
    <m/>
    <m/>
    <x v="32"/>
    <s v="PCOM - Precommissioning"/>
    <s v="I"/>
    <x v="1"/>
    <x v="1"/>
    <s v="Cable FROM PS5-60-IE-0003G TO PS5-60-SEA-0001"/>
    <s v="EACOP"/>
    <s v="CPP AGI"/>
    <m/>
    <m/>
    <s v="4"/>
    <m/>
    <m/>
    <s v="0"/>
    <s v="PS5 - TZA - PS5 - Tanzania"/>
    <s v="PS5-03-14 - FZ-14 - Power Generation Building - Switchgear Room"/>
    <d v="2026-07-08T05:25:48"/>
    <s v="PS5-03-14"/>
    <x v="1"/>
    <x v="0"/>
    <s v="Multi/Single-Core Instrument Control Cable"/>
    <s v="I"/>
    <x v="1"/>
    <s v="PS5 - Milestone E"/>
    <s v="TM-00254"/>
    <s v="Gawad, Mohamed"/>
    <m/>
  </r>
  <r>
    <s v="T-00254-5351"/>
    <s v="PS5-60-VS-9101A-CC01"/>
    <m/>
    <m/>
    <m/>
    <m/>
    <x v="32"/>
    <s v="PCOM - Precommissioning"/>
    <s v="I"/>
    <x v="1"/>
    <x v="1"/>
    <s v="Cable FROM PS5-60-IE-0003A TO PS5-60-VS-9101A"/>
    <s v="EACOP"/>
    <s v="CPP AGI"/>
    <m/>
    <m/>
    <s v="4"/>
    <m/>
    <m/>
    <s v="0"/>
    <s v="PS5 - TZA - PS5 - Tanzania"/>
    <s v="PS5-60-42 - Oil Mist Separator Skid PS5-60-VS-9100A"/>
    <d v="2026-07-08T05:28:40"/>
    <s v="PS5-60-42"/>
    <x v="0"/>
    <x v="0"/>
    <s v="Multi/Single-Core Instrument Control Cable"/>
    <s v="I"/>
    <x v="1"/>
    <s v="PS5 - Milestone B"/>
    <s v="TM-00254"/>
    <s v="Gawad, Mohamed"/>
    <m/>
  </r>
  <r>
    <s v="T-00254-5352"/>
    <s v="PS5-60-VS-9101B-CC01"/>
    <m/>
    <m/>
    <m/>
    <m/>
    <x v="32"/>
    <s v="PCOM - Precommissioning"/>
    <s v="I"/>
    <x v="1"/>
    <x v="1"/>
    <s v="Cable FROM PS5-60-IE-0003B TO PS5-60-VS-9101B"/>
    <s v="EACOP"/>
    <s v="CPP AGI"/>
    <m/>
    <m/>
    <s v="4"/>
    <m/>
    <m/>
    <s v="0"/>
    <s v="PS5 - TZA - PS5 - Tanzania"/>
    <s v="PS5-60-43 - Oil Mist Separator Skid PS5-60-VS-9100B"/>
    <d v="2026-07-08T05:32:09"/>
    <s v="PS5-60-43"/>
    <x v="0"/>
    <x v="0"/>
    <s v="Multi/Single-Core Instrument Control Cable"/>
    <s v="I"/>
    <x v="1"/>
    <s v="PS5 - Milestone B"/>
    <s v="TM-00254"/>
    <s v="Gawad, Mohamed"/>
    <m/>
  </r>
  <r>
    <s v="T-00254-5353"/>
    <s v="PS5-60-VS-9101C-CC01"/>
    <m/>
    <m/>
    <m/>
    <m/>
    <x v="32"/>
    <s v="PCOM - Precommissioning"/>
    <s v="I"/>
    <x v="1"/>
    <x v="1"/>
    <s v="Cable FROM PS5-60-IE-0003C TO PS5-60-VS-9101C"/>
    <s v="EACOP"/>
    <s v="CPP AGI"/>
    <m/>
    <m/>
    <s v="4"/>
    <m/>
    <m/>
    <s v="0"/>
    <s v="PS5 - TZA - PS5 - Tanzania"/>
    <s v="PS5-60-44 - Oil Mist Separator Skid PS5-60-VS-9100C"/>
    <d v="2026-07-08T05:34:09"/>
    <s v="PS5-60-44"/>
    <x v="1"/>
    <x v="0"/>
    <s v="Multi/Single-Core Instrument Control Cable"/>
    <s v="I"/>
    <x v="1"/>
    <s v="PS5 - Milestone D"/>
    <s v="TM-00254"/>
    <s v="Gawad, Mohamed"/>
    <m/>
  </r>
  <r>
    <s v="T-00254-5354"/>
    <s v="PS5-60-VS-9101D-CC01"/>
    <m/>
    <m/>
    <m/>
    <m/>
    <x v="32"/>
    <s v="PCOM - Precommissioning"/>
    <s v="I"/>
    <x v="1"/>
    <x v="1"/>
    <s v="Cable FROM PS5-60-IE-0003D TO PS5-60-VS-9101D"/>
    <s v="EACOP"/>
    <s v="CPP AGI"/>
    <m/>
    <m/>
    <s v="4"/>
    <m/>
    <m/>
    <s v="0"/>
    <s v="PS5 - TZA - PS5 - Tanzania"/>
    <s v="PS5-60-45 - Oil Mist Separator Skid PS5-60-VS-9100D"/>
    <d v="2026-07-08T05:35:59"/>
    <s v="PS5-60-45"/>
    <x v="1"/>
    <x v="0"/>
    <s v="Multi/Single-Core Instrument Control Cable"/>
    <s v="I"/>
    <x v="1"/>
    <s v="PS5 - Milestone D"/>
    <s v="TM-00254"/>
    <s v="Gawad, Mohamed"/>
    <m/>
  </r>
  <r>
    <s v="T-00254-5358"/>
    <s v="PS5-61-BI-0001-CC01"/>
    <m/>
    <m/>
    <m/>
    <m/>
    <x v="32"/>
    <s v="PCOM - Precommissioning"/>
    <s v="I"/>
    <x v="1"/>
    <x v="1"/>
    <s v="Cable FROM PS5-60-I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59"/>
    <s v="PS5-61-BI-0001-CC02"/>
    <m/>
    <m/>
    <m/>
    <m/>
    <x v="32"/>
    <s v="PCOM - Precommissioning"/>
    <s v="I"/>
    <x v="1"/>
    <x v="1"/>
    <s v="Cable FROM PS5-60-I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60"/>
    <s v="PS5-61-BI-0001-CC03"/>
    <m/>
    <m/>
    <m/>
    <m/>
    <x v="32"/>
    <s v="PCOM - Precommissioning"/>
    <s v="I"/>
    <x v="1"/>
    <x v="1"/>
    <s v="Cable FROM PS5-61-TE-0003A TO PS5-61-BI-0001"/>
    <s v="EACOP"/>
    <s v="CPP AGI"/>
    <m/>
    <m/>
    <s v="4"/>
    <m/>
    <m/>
    <s v="0"/>
    <s v="PS5 - TZA - PS5 - Tanzania"/>
    <s v="PS5-60-01 - Power Generation Package A"/>
    <m/>
    <s v="PS5-60-01"/>
    <x v="0"/>
    <x v="0"/>
    <s v="Multi/Single-Core Instrument Control Cable"/>
    <s v="I"/>
    <x v="0"/>
    <s v="PS5 - Milestone B"/>
    <s v="TM-00254"/>
    <m/>
    <m/>
  </r>
  <r>
    <s v="T-00254-5361"/>
    <s v="PS5-61-BI-0002-CC01"/>
    <m/>
    <m/>
    <m/>
    <m/>
    <x v="32"/>
    <s v="PCOM - Precommissioning"/>
    <s v="I"/>
    <x v="1"/>
    <x v="1"/>
    <s v="Cable FROM PS5-60-I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362"/>
    <s v="PS5-61-BI-0002-CC02"/>
    <m/>
    <m/>
    <m/>
    <m/>
    <x v="32"/>
    <s v="PCOM - Precommissioning"/>
    <s v="I"/>
    <x v="1"/>
    <x v="1"/>
    <s v="Cable FROM PS5-60-I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363"/>
    <s v="PS5-61-BI-0002-CC03"/>
    <m/>
    <m/>
    <m/>
    <m/>
    <x v="32"/>
    <s v="PCOM - Precommissioning"/>
    <s v="I"/>
    <x v="1"/>
    <x v="1"/>
    <s v="Cable FROM PS5-61-TE-0003B TO PS5-61-BI-0002"/>
    <s v="EACOP"/>
    <s v="CPP AGI"/>
    <m/>
    <m/>
    <s v="4"/>
    <m/>
    <m/>
    <s v="0"/>
    <s v="PS5 - TZA - PS5 - Tanzania"/>
    <s v="PS5-60-04 - Power Generation Package B"/>
    <m/>
    <s v="PS5-60-04"/>
    <x v="0"/>
    <x v="0"/>
    <s v="Multi/Single-Core Instrument Control Cable"/>
    <s v="I"/>
    <x v="0"/>
    <s v="PS5 - Milestone B"/>
    <s v="TM-00254"/>
    <m/>
    <m/>
  </r>
  <r>
    <s v="T-00254-5364"/>
    <s v="PS5-61-BI-0003-CC01"/>
    <m/>
    <m/>
    <m/>
    <m/>
    <x v="32"/>
    <s v="PCOM - Precommissioning"/>
    <s v="I"/>
    <x v="1"/>
    <x v="1"/>
    <s v="Cable FROM PS5-60-I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365"/>
    <s v="PS5-61-BI-0003-CC02"/>
    <m/>
    <m/>
    <m/>
    <m/>
    <x v="32"/>
    <s v="PCOM - Precommissioning"/>
    <s v="I"/>
    <x v="1"/>
    <x v="1"/>
    <s v="Cable FROM PS5-60-I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366"/>
    <s v="PS5-61-BI-0003-CC03"/>
    <m/>
    <m/>
    <m/>
    <m/>
    <x v="32"/>
    <s v="PCOM - Precommissioning"/>
    <s v="I"/>
    <x v="1"/>
    <x v="1"/>
    <s v="Cable FROM PS5-61-TE-0003C TO PS5-61-BI-0003"/>
    <s v="EACOP"/>
    <s v="CPP AGI"/>
    <m/>
    <m/>
    <s v="4"/>
    <m/>
    <m/>
    <s v="0"/>
    <s v="PS5 - TZA - PS5 - Tanzania"/>
    <s v="PS5-60-07 - Power Generation Package C"/>
    <m/>
    <s v="PS5-60-07"/>
    <x v="1"/>
    <x v="0"/>
    <s v="Multi/Single-Core Instrument Control Cable"/>
    <s v="I"/>
    <x v="0"/>
    <s v="PS5 - Milestone D"/>
    <s v="TM-00254"/>
    <m/>
    <m/>
  </r>
  <r>
    <s v="T-00254-5367"/>
    <s v="PS5-61-BI-0004-CC01"/>
    <m/>
    <m/>
    <m/>
    <m/>
    <x v="32"/>
    <s v="PCOM - Precommissioning"/>
    <s v="I"/>
    <x v="1"/>
    <x v="1"/>
    <s v="Cable FROM PS5-60-I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68"/>
    <s v="PS5-61-BI-0004-CC02"/>
    <m/>
    <m/>
    <m/>
    <m/>
    <x v="32"/>
    <s v="PCOM - Precommissioning"/>
    <s v="I"/>
    <x v="1"/>
    <x v="1"/>
    <s v="Cable FROM PS5-60-I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69"/>
    <s v="PS5-61-BI-0004-CC03"/>
    <m/>
    <m/>
    <m/>
    <m/>
    <x v="32"/>
    <s v="PCOM - Precommissioning"/>
    <s v="I"/>
    <x v="1"/>
    <x v="1"/>
    <s v="Cable FROM PS5-61-TE-0003D TO PS5-61-BI-0004"/>
    <s v="EACOP"/>
    <s v="CPP AGI"/>
    <m/>
    <m/>
    <s v="4"/>
    <m/>
    <m/>
    <s v="0"/>
    <s v="PS5 - TZA - PS5 - Tanzania"/>
    <s v="PS5-60-10 - Power Generation Package D"/>
    <m/>
    <s v="PS5-60-10"/>
    <x v="1"/>
    <x v="0"/>
    <s v="Multi/Single-Core Instrument Control Cable"/>
    <s v="I"/>
    <x v="0"/>
    <s v="PS5 - Milestone D"/>
    <s v="TM-00254"/>
    <m/>
    <m/>
  </r>
  <r>
    <s v="T-00254-5388"/>
    <s v="PS5-71-BAV-0058-CC01"/>
    <m/>
    <m/>
    <m/>
    <m/>
    <x v="32"/>
    <s v="PCOM - Precommissioning"/>
    <s v="I"/>
    <x v="1"/>
    <x v="1"/>
    <s v="Cable FROM PS5-71-BI-2113 TO PS5-71-BAV-0058"/>
    <s v="EACOP"/>
    <s v="CPP AGI"/>
    <m/>
    <m/>
    <s v="4"/>
    <m/>
    <m/>
    <s v="TZ-MID-68-WPR2-161503"/>
    <s v="PS5 - TZA - PS5 - Tanzania"/>
    <s v="PS5-71-21 - Diesel Transfer Pump A/B"/>
    <d v="2026-07-02T06:14:28"/>
    <s v="PS5-71-21"/>
    <x v="0"/>
    <x v="0"/>
    <s v="Multi/Single-Core Instrument Control Cable"/>
    <s v="I"/>
    <x v="1"/>
    <s v="PS5 - Milestone B"/>
    <s v="TM-00254"/>
    <s v="Gawad, Mohamed"/>
    <s v="TZ-MID-68-WPR2-161503"/>
  </r>
  <r>
    <s v="T-00254-5389"/>
    <s v="PS5-71-BAV-0059-CC01"/>
    <m/>
    <m/>
    <m/>
    <m/>
    <x v="32"/>
    <s v="PCOM - Precommissioning"/>
    <s v="I"/>
    <x v="1"/>
    <x v="1"/>
    <s v="Cable FROM PS5-71-BI-2113 TO PS5-71-BAV-0059"/>
    <s v="EACOP"/>
    <s v="CPP AGI"/>
    <m/>
    <m/>
    <s v="4"/>
    <m/>
    <m/>
    <s v="TZ-MID-68-WPR2-161503"/>
    <s v="PS5 - TZA - PS5 - Tanzania"/>
    <s v="PS5-71-18 - Diesel Separator Module"/>
    <d v="2026-07-02T06:22:44"/>
    <s v="PS5-71-18"/>
    <x v="1"/>
    <x v="0"/>
    <s v="Multi/Single-Core Instrument Control Cable"/>
    <s v="I"/>
    <x v="1"/>
    <s v="PS5 - Milestone F"/>
    <s v="TM-00254"/>
    <s v="Gawad, Mohamed"/>
    <s v="TZ-MID-68-WPR2-161503"/>
  </r>
  <r>
    <s v="T-00254-5390"/>
    <s v="PS5-71-BI-0001A-CC01"/>
    <m/>
    <m/>
    <m/>
    <m/>
    <x v="32"/>
    <s v="PCOM - Precommissioning"/>
    <s v="I"/>
    <x v="1"/>
    <x v="1"/>
    <s v="Cable FROM PS5-71-IN-0004A TO PS5-71-BI-000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391"/>
    <s v="PS5-71-BI-0001B-CC01"/>
    <m/>
    <m/>
    <m/>
    <m/>
    <x v="32"/>
    <s v="PCOM - Precommissioning"/>
    <s v="I"/>
    <x v="1"/>
    <x v="1"/>
    <s v="Cable FROM PS5-71-IN-0004A TO PS5-71-BI-000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393"/>
    <s v="PS5-71-BI-0002-CC01"/>
    <m/>
    <m/>
    <m/>
    <m/>
    <x v="32"/>
    <s v="PCOM - Precommissioning"/>
    <s v="I"/>
    <x v="1"/>
    <x v="1"/>
    <s v="Cable FROM PS5-71-IN-0001 TO PS5-71-BI-0002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394"/>
    <s v="PS5-71-BI-0003-CC01"/>
    <m/>
    <m/>
    <m/>
    <m/>
    <x v="32"/>
    <s v="PCOM - Precommissioning"/>
    <s v="I"/>
    <x v="1"/>
    <x v="1"/>
    <s v="Cable FROM PS5-60-IE-0004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m/>
  </r>
  <r>
    <s v="T-00254-5395"/>
    <s v="PS5-71-BI-0003-CC02"/>
    <m/>
    <m/>
    <m/>
    <m/>
    <x v="32"/>
    <s v="PCOM - Precommissioning"/>
    <s v="I"/>
    <x v="1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m/>
  </r>
  <r>
    <s v="T-00254-5396"/>
    <s v="PS5-71-BI-0003-CC03"/>
    <m/>
    <m/>
    <m/>
    <m/>
    <x v="32"/>
    <s v="PCOM - Precommissioning"/>
    <s v="I"/>
    <x v="1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m/>
  </r>
  <r>
    <s v="T-00254-5397"/>
    <s v="PS5-71-BI-0003-CC04"/>
    <m/>
    <m/>
    <m/>
    <m/>
    <x v="32"/>
    <s v="PCOM - Precommissioning"/>
    <s v="I"/>
    <x v="1"/>
    <x v="1"/>
    <s v="Cable FROM PS5-71-IN-0002 TO PS5-71-BI-0003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m/>
  </r>
  <r>
    <s v="T-00254-5398"/>
    <s v="PS5-71-BI-0004-CC01"/>
    <m/>
    <m/>
    <m/>
    <m/>
    <x v="32"/>
    <s v="PCOM - Precommissioning"/>
    <s v="I"/>
    <x v="1"/>
    <x v="1"/>
    <s v="Cable FROM PS5-71-IN-0002 TO PS5-71-BI-0004"/>
    <s v="EACOP"/>
    <s v="CPP AGI"/>
    <m/>
    <m/>
    <s v="4"/>
    <m/>
    <m/>
    <s v="0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m/>
  </r>
  <r>
    <s v="T-00254-5399"/>
    <s v="PS5-71-BI-0005-CC01"/>
    <m/>
    <m/>
    <m/>
    <m/>
    <x v="32"/>
    <s v="PCOM - Precommissioning"/>
    <s v="I"/>
    <x v="1"/>
    <x v="1"/>
    <s v="Cable FROM PS5-71-IN-0003 TO PS5-71-BI-0005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254"/>
    <m/>
    <m/>
  </r>
  <r>
    <s v="T-00254-5400"/>
    <s v="PS5-71-BI-0005-CC02"/>
    <m/>
    <m/>
    <m/>
    <m/>
    <x v="32"/>
    <s v="PCOM - Precommissioning"/>
    <s v="I"/>
    <x v="1"/>
    <x v="1"/>
    <s v="Cable FROM PS5-60-IE-0004 TO PS5-71-BI-0005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254"/>
    <m/>
    <m/>
  </r>
  <r>
    <s v="T-00254-5401"/>
    <s v="PS5-71-BI-0006-CC01"/>
    <m/>
    <m/>
    <m/>
    <m/>
    <x v="32"/>
    <s v="PCOM - Precommissioning"/>
    <s v="I"/>
    <x v="1"/>
    <x v="1"/>
    <s v="Cable FROM PS5-71-IN-0003 TO PS5-71-BI-0006"/>
    <s v="EACOP"/>
    <s v="CPP AGI"/>
    <m/>
    <m/>
    <s v="4"/>
    <m/>
    <m/>
    <s v="0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m/>
  </r>
  <r>
    <s v="T-00254-5402"/>
    <s v="PS5-71-BI-0008A-CC01"/>
    <m/>
    <m/>
    <m/>
    <m/>
    <x v="32"/>
    <s v="PCOM - Precommissioning"/>
    <s v="I"/>
    <x v="1"/>
    <x v="1"/>
    <s v="Cable FROM PS5-71-IN-0004A TO PS5-71-BI-0008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03"/>
    <s v="PS5-71-BI-0008A-CC02"/>
    <m/>
    <m/>
    <m/>
    <m/>
    <x v="32"/>
    <s v="PCOM - Precommissioning"/>
    <s v="I"/>
    <x v="1"/>
    <x v="1"/>
    <s v="Cable FROM PS5-71-IN-0004A TO PS5-71-BI-0008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04"/>
    <s v="PS5-71-BI-0008B-CC01"/>
    <m/>
    <m/>
    <m/>
    <m/>
    <x v="32"/>
    <s v="PCOM - Precommissioning"/>
    <s v="I"/>
    <x v="1"/>
    <x v="1"/>
    <s v="Cable FROM PS5-71-IN-0004A TO PS5-71-BI-0008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05"/>
    <s v="PS5-71-BI-0008B-CC02"/>
    <m/>
    <m/>
    <m/>
    <m/>
    <x v="32"/>
    <s v="PCOM - Precommissioning"/>
    <s v="I"/>
    <x v="1"/>
    <x v="1"/>
    <s v="Cable FROM PS5-71-IN-0004A TO PS5-71-BI-0008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06"/>
    <s v="PS5-71-BI-0009-CC01"/>
    <m/>
    <m/>
    <m/>
    <m/>
    <x v="32"/>
    <s v="PCOM - Precommissioning"/>
    <s v="I"/>
    <x v="1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407"/>
    <s v="PS5-71-BI-0009-CC02"/>
    <m/>
    <m/>
    <m/>
    <m/>
    <x v="32"/>
    <s v="PCOM - Precommissioning"/>
    <s v="I"/>
    <x v="1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408"/>
    <s v="PS5-71-BI-0009-CC03"/>
    <m/>
    <m/>
    <m/>
    <m/>
    <x v="32"/>
    <s v="PCOM - Precommissioning"/>
    <s v="I"/>
    <x v="1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409"/>
    <s v="PS5-71-BI-0009-CC04"/>
    <m/>
    <m/>
    <m/>
    <m/>
    <x v="32"/>
    <s v="PCOM - Precommissioning"/>
    <s v="I"/>
    <x v="1"/>
    <x v="1"/>
    <s v="Cable FROM PS5-71-IN-0001 TO PS5-71-BI-0009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410"/>
    <s v="PS5-71-BI-0010-CC01"/>
    <m/>
    <m/>
    <m/>
    <m/>
    <x v="32"/>
    <s v="PCOM - Precommissioning"/>
    <s v="I"/>
    <x v="1"/>
    <x v="1"/>
    <s v="Cable FROM PS5-71-IN-0001 TO PS5-71-BI-0010"/>
    <s v="EACOP"/>
    <s v="CPP AGI"/>
    <m/>
    <m/>
    <s v="4"/>
    <m/>
    <m/>
    <s v="0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m/>
  </r>
  <r>
    <s v="T-00254-5411"/>
    <s v="PS5-71-BI-0011A-CC01"/>
    <m/>
    <m/>
    <m/>
    <m/>
    <x v="32"/>
    <s v="PCOM - Precommissioning"/>
    <s v="I"/>
    <x v="1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2"/>
    <s v="PS5-71-BI-0011A-CC02"/>
    <m/>
    <m/>
    <m/>
    <m/>
    <x v="32"/>
    <s v="PCOM - Precommissioning"/>
    <s v="I"/>
    <x v="1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3"/>
    <s v="PS5-71-BI-0011A-CC03"/>
    <m/>
    <m/>
    <m/>
    <m/>
    <x v="32"/>
    <s v="PCOM - Precommissioning"/>
    <s v="I"/>
    <x v="1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4"/>
    <s v="PS5-71-BI-0011A-CC04"/>
    <m/>
    <m/>
    <m/>
    <m/>
    <x v="32"/>
    <s v="PCOM - Precommissioning"/>
    <s v="I"/>
    <x v="1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5"/>
    <s v="PS5-71-BI-0011A-CC05"/>
    <m/>
    <m/>
    <m/>
    <m/>
    <x v="32"/>
    <s v="PCOM - Precommissioning"/>
    <s v="I"/>
    <x v="1"/>
    <x v="1"/>
    <s v="Cable FROM PS5-71-IN-0004A TO PS5-71-BI-0011A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6"/>
    <s v="PS5-71-BI-0011B-CC01"/>
    <m/>
    <m/>
    <m/>
    <m/>
    <x v="32"/>
    <s v="PCOM - Precommissioning"/>
    <s v="I"/>
    <x v="1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7"/>
    <s v="PS5-71-BI-0011B-CC02"/>
    <m/>
    <m/>
    <m/>
    <m/>
    <x v="32"/>
    <s v="PCOM - Precommissioning"/>
    <s v="I"/>
    <x v="1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8"/>
    <s v="PS5-71-BI-0011B-CC03"/>
    <m/>
    <m/>
    <m/>
    <m/>
    <x v="32"/>
    <s v="PCOM - Precommissioning"/>
    <s v="I"/>
    <x v="1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19"/>
    <s v="PS5-71-BI-0011B-CC04"/>
    <m/>
    <m/>
    <m/>
    <m/>
    <x v="32"/>
    <s v="PCOM - Precommissioning"/>
    <s v="I"/>
    <x v="1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20"/>
    <s v="PS5-71-BI-0011B-CC05"/>
    <m/>
    <m/>
    <m/>
    <m/>
    <x v="32"/>
    <s v="PCOM - Precommissioning"/>
    <s v="I"/>
    <x v="1"/>
    <x v="1"/>
    <s v="Cable FROM PS5-71-IN-0004A TO PS5-71-BI-0011B"/>
    <s v="EACOP"/>
    <s v="CPP AGI"/>
    <m/>
    <m/>
    <s v="4"/>
    <m/>
    <m/>
    <s v="0"/>
    <s v="PS5 - TZA - PS5 - Tanzania"/>
    <s v="PS5-71-06 - Crude Fuel Separation Module"/>
    <m/>
    <s v="PS5-71-06"/>
    <x v="1"/>
    <x v="0"/>
    <s v="Multi/Single-Core Instrument Control Cable"/>
    <s v="I"/>
    <x v="0"/>
    <s v="PS5 - Milestone H"/>
    <s v="TM-00254"/>
    <m/>
    <m/>
  </r>
  <r>
    <s v="T-00254-5454"/>
    <s v="PS5-71-FCV-0019-CC01"/>
    <m/>
    <m/>
    <m/>
    <m/>
    <x v="32"/>
    <s v="PCOM - Precommissioning"/>
    <s v="I"/>
    <x v="1"/>
    <x v="1"/>
    <s v="Cable FROM PS5-71-FCV-0019-HPU TO PS5-71-FCV-0019"/>
    <s v="EACOP"/>
    <s v="CPP AGI"/>
    <m/>
    <m/>
    <s v="4"/>
    <m/>
    <m/>
    <s v="0"/>
    <s v="PS5 - TZA - PS5 - Tanzania"/>
    <s v="PS5-71-21 - Diesel Transfer Pump A/B"/>
    <m/>
    <s v="PS5-71-21"/>
    <x v="0"/>
    <x v="0"/>
    <s v="Multi/Single-Core Instrument Control Cable"/>
    <s v="I"/>
    <x v="0"/>
    <s v="PS5 - Milestone B"/>
    <s v="TM-00254"/>
    <m/>
    <m/>
  </r>
  <r>
    <s v="T-00254-5461"/>
    <s v="PS5-71-FIT-0019-CJ01"/>
    <m/>
    <m/>
    <m/>
    <m/>
    <x v="32"/>
    <s v="PCOM - Precommissioning"/>
    <s v="I"/>
    <x v="1"/>
    <x v="1"/>
    <s v="Cable FROM PS5-71-BI-1110 TO PS5-71-FIT-0019"/>
    <s v="EACOP"/>
    <s v="CPP AGI"/>
    <m/>
    <m/>
    <s v="4"/>
    <m/>
    <m/>
    <s v="TZ-MID-68-WPR2-161503"/>
    <s v="PS5 - TZA - PS5 - Tanzania"/>
    <s v="PS5-71-21 - Diesel Transfer Pump A/B"/>
    <d v="2026-06-14T10:28:08"/>
    <s v="PS5-71-21"/>
    <x v="0"/>
    <x v="0"/>
    <s v="Multi/Single-Core Instrument Control Cable"/>
    <s v="I"/>
    <x v="1"/>
    <s v="PS5 - Milestone B"/>
    <s v="TM-00254"/>
    <s v="Anwar, Zeeshan"/>
    <s v="TZ-MID-68-WPR2-161503"/>
  </r>
  <r>
    <s v="T-00254-5464"/>
    <s v="PS5-71-FXS-0019-CJ01"/>
    <m/>
    <m/>
    <m/>
    <m/>
    <x v="32"/>
    <s v="PCOM - Precommissioning"/>
    <s v="I"/>
    <x v="1"/>
    <x v="1"/>
    <s v="Cable FROM PS5-71-BI-2114 TO PS5-71-FCV-0019"/>
    <s v="EACOP"/>
    <s v="CPP AGI"/>
    <m/>
    <m/>
    <s v="4"/>
    <m/>
    <m/>
    <s v="TZ-MID-68-WPR2-161503"/>
    <s v="PS5 - TZA - PS5 - Tanzania"/>
    <s v="PS5-71-21 - Diesel Transfer Pump A/B"/>
    <d v="2026-07-02T06:20:23"/>
    <s v="PS5-71-21"/>
    <x v="0"/>
    <x v="0"/>
    <s v="Multi/Single-Core Instrument Control Cable"/>
    <s v="I"/>
    <x v="1"/>
    <s v="PS5 - Milestone B"/>
    <s v="TM-00254"/>
    <s v="Gawad, Mohamed"/>
    <s v="TZ-MID-68-WPR2-161503"/>
  </r>
  <r>
    <s v="T-00254-5467"/>
    <s v="PS5-71-FY-0019-CJ01"/>
    <m/>
    <m/>
    <m/>
    <m/>
    <x v="32"/>
    <s v="PCOM - Precommissioning"/>
    <s v="I"/>
    <x v="1"/>
    <x v="1"/>
    <s v="Cable FROM PS5-71-BI-1113 TO PS5-71-FCV-0019"/>
    <s v="EACOP"/>
    <s v="CPP AGI"/>
    <m/>
    <m/>
    <s v="4"/>
    <m/>
    <m/>
    <s v="TZ-MID-68-WPR2-161503"/>
    <s v="PS5 - TZA - PS5 - Tanzania"/>
    <s v="PS5-71-21 - Diesel Transfer Pump A/B"/>
    <d v="2026-07-02T06:25:50"/>
    <s v="PS5-71-21"/>
    <x v="0"/>
    <x v="0"/>
    <s v="Multi/Single-Core Instrument Control Cable"/>
    <s v="I"/>
    <x v="1"/>
    <s v="PS5 - Milestone B"/>
    <s v="TM-00254"/>
    <s v="Gawad, Mohamed"/>
    <s v="TZ-MID-68-WPR2-161503"/>
  </r>
  <r>
    <s v="T-00254-5486"/>
    <s v="PS5-71-IN-0003-CC01"/>
    <m/>
    <m/>
    <m/>
    <m/>
    <x v="32"/>
    <s v="PCOM - Precommissioning"/>
    <s v="I"/>
    <x v="1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d v="2026-07-08T05:57:19"/>
    <s v="PS5-71-23"/>
    <x v="0"/>
    <x v="0"/>
    <s v="Multi/Single-Core Instrument Control Cable"/>
    <s v="I"/>
    <x v="1"/>
    <s v="PS5 - Milestone B"/>
    <s v="TM-00254"/>
    <s v="Gawad, Mohamed"/>
    <m/>
  </r>
  <r>
    <s v="T-00254-5487"/>
    <s v="PS5-71-IN-0003-CC02"/>
    <m/>
    <m/>
    <m/>
    <m/>
    <x v="32"/>
    <s v="PCOM - Precommissioning"/>
    <s v="I"/>
    <x v="1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d v="2026-07-08T05:59:12"/>
    <s v="PS5-71-23"/>
    <x v="0"/>
    <x v="0"/>
    <s v="Multi/Single-Core Instrument Control Cable"/>
    <s v="I"/>
    <x v="1"/>
    <s v="PS5 - Milestone B"/>
    <s v="TM-00254"/>
    <s v="Gawad, Mohamed"/>
    <m/>
  </r>
  <r>
    <s v="T-00254-5488"/>
    <s v="PS5-71-IN-0003-CC03"/>
    <m/>
    <m/>
    <m/>
    <m/>
    <x v="32"/>
    <s v="PCOM - Precommissioning"/>
    <s v="I"/>
    <x v="1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254"/>
    <m/>
    <m/>
  </r>
  <r>
    <s v="T-00254-5489"/>
    <s v="PS5-71-IN-0003-CC04"/>
    <m/>
    <m/>
    <m/>
    <m/>
    <x v="32"/>
    <s v="PCOM - Precommissioning"/>
    <s v="I"/>
    <x v="1"/>
    <x v="1"/>
    <s v="Cable FROM PS5-60-IE-0004 TO PS5-71-IN-0003"/>
    <s v="EACOP"/>
    <s v="CPP AGI"/>
    <m/>
    <m/>
    <s v="4"/>
    <m/>
    <m/>
    <s v="0"/>
    <s v="PS5 - TZA - PS5 - Tanzania"/>
    <s v="PS5-71-23 - Diesel Fuel Pre Pressure Module (UCP)"/>
    <m/>
    <s v="PS5-71-23"/>
    <x v="0"/>
    <x v="0"/>
    <s v="Multi/Single-Core Instrument Control Cable"/>
    <s v="I"/>
    <x v="0"/>
    <s v="PS5 - Milestone B"/>
    <s v="TM-00254"/>
    <m/>
    <m/>
  </r>
  <r>
    <s v="T-00254-5493"/>
    <s v="PS5-71-IN-0004A-CC01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494"/>
    <s v="PS5-71-IN-0004A-CC02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495"/>
    <s v="PS5-71-IN-0004A-CC03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496"/>
    <s v="PS5-71-IN-0004A-CC04"/>
    <m/>
    <m/>
    <m/>
    <m/>
    <x v="32"/>
    <s v="PCOM - Precommissioning"/>
    <s v="I"/>
    <x v="1"/>
    <x v="1"/>
    <s v="Cable FROM PS5-71-BI-0011A TO PS5-71-IN-0004A"/>
    <s v="EACOP"/>
    <s v="CPP AGI"/>
    <m/>
    <m/>
    <s v="4"/>
    <m/>
    <m/>
    <s v="0"/>
    <s v="PS5 - TZA - PS5 - Tanzania"/>
    <s v="PS5-71-07 - Crude Fuel Separation Module (UCP)"/>
    <d v="2026-07-10T16:45:31"/>
    <s v="PS5-71-07"/>
    <x v="1"/>
    <x v="0"/>
    <s v="Multi/Single-Core Instrument Control Cable"/>
    <s v="I"/>
    <x v="1"/>
    <s v="PS5 - Milestone H"/>
    <s v="TM-00254"/>
    <s v="Gawad, Mohamed"/>
    <m/>
  </r>
  <r>
    <s v="T-00254-5497"/>
    <s v="PS5-71-IN-0004A-CC05"/>
    <m/>
    <m/>
    <m/>
    <m/>
    <x v="32"/>
    <s v="PCOM - Precommissioning"/>
    <s v="I"/>
    <x v="1"/>
    <x v="1"/>
    <s v="Cable FROM PS5-71-BI-0011A TO PS5-71-IN-0004A"/>
    <s v="EACOP"/>
    <s v="CPP AGI"/>
    <m/>
    <m/>
    <s v="4"/>
    <m/>
    <m/>
    <s v="0"/>
    <s v="PS5 - TZA - PS5 - Tanzania"/>
    <s v="PS5-71-07 - Crude Fuel Separation Module (UCP)"/>
    <d v="2026-07-10T16:45:09"/>
    <s v="PS5-71-07"/>
    <x v="1"/>
    <x v="0"/>
    <s v="Multi/Single-Core Instrument Control Cable"/>
    <s v="I"/>
    <x v="1"/>
    <s v="PS5 - Milestone H"/>
    <s v="TM-00254"/>
    <s v="Gawad, Mohamed"/>
    <m/>
  </r>
  <r>
    <s v="T-00254-5498"/>
    <s v="PS5-71-IN-0004A-CC06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499"/>
    <s v="PS5-71-IN-0004A-CC07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2"/>
    <s v="PS5-71-IN-0004A-CC11"/>
    <m/>
    <m/>
    <m/>
    <m/>
    <x v="32"/>
    <s v="PCOM - Precommissioning"/>
    <s v="I"/>
    <x v="1"/>
    <x v="1"/>
    <s v="Cable FROM PS5-60-IE-0004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4"/>
    <s v="PS5-71-IN-0004A-CC13"/>
    <m/>
    <m/>
    <m/>
    <m/>
    <x v="32"/>
    <s v="PCOM - Precommissioning"/>
    <s v="I"/>
    <x v="1"/>
    <x v="1"/>
    <s v="Cable FROM PS5-71-IN-0004B TO PS5-71-IN-0004A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5"/>
    <s v="PS5-71-IN-0004B-CC01"/>
    <m/>
    <m/>
    <m/>
    <m/>
    <x v="32"/>
    <s v="PCOM - Precommissioning"/>
    <s v="I"/>
    <x v="1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6"/>
    <s v="PS5-71-IN-0004B-CC02"/>
    <m/>
    <m/>
    <m/>
    <m/>
    <x v="32"/>
    <s v="PCOM - Precommissioning"/>
    <s v="I"/>
    <x v="1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7"/>
    <s v="PS5-71-IN-0004B-CC03"/>
    <m/>
    <m/>
    <m/>
    <m/>
    <x v="32"/>
    <s v="PCOM - Precommissioning"/>
    <s v="I"/>
    <x v="1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08"/>
    <s v="PS5-71-IN-0004B-CC04"/>
    <m/>
    <m/>
    <m/>
    <m/>
    <x v="32"/>
    <s v="PCOM - Precommissioning"/>
    <s v="I"/>
    <x v="1"/>
    <x v="1"/>
    <s v="Cable FROM PS5-71-BI-0011B TO PS5-71-IN-0004B"/>
    <s v="EACOP"/>
    <s v="CPP AGI"/>
    <m/>
    <m/>
    <s v="4"/>
    <m/>
    <m/>
    <s v="0"/>
    <s v="PS5 - TZA - PS5 - Tanzania"/>
    <s v="PS5-71-07 - Crude Fuel Separation Module (UCP)"/>
    <d v="2026-07-10T16:44:48"/>
    <s v="PS5-71-07"/>
    <x v="1"/>
    <x v="0"/>
    <s v="Multi/Single-Core Instrument Control Cable"/>
    <s v="I"/>
    <x v="1"/>
    <s v="PS5 - Milestone H"/>
    <s v="TM-00254"/>
    <s v="Gawad, Mohamed"/>
    <m/>
  </r>
  <r>
    <s v="T-00254-5509"/>
    <s v="PS5-71-IN-0004B-CC05"/>
    <m/>
    <m/>
    <m/>
    <m/>
    <x v="32"/>
    <s v="PCOM - Precommissioning"/>
    <s v="I"/>
    <x v="1"/>
    <x v="1"/>
    <s v="Cable FROM PS5-71-BI-0011B TO PS5-71-IN-0004B"/>
    <s v="EACOP"/>
    <s v="CPP AGI"/>
    <m/>
    <m/>
    <s v="4"/>
    <m/>
    <m/>
    <s v="0"/>
    <s v="PS5 - TZA - PS5 - Tanzania"/>
    <s v="PS5-71-07 - Crude Fuel Separation Module (UCP)"/>
    <d v="2026-07-10T16:55:58"/>
    <s v="PS5-71-07"/>
    <x v="1"/>
    <x v="0"/>
    <s v="Multi/Single-Core Instrument Control Cable"/>
    <s v="I"/>
    <x v="1"/>
    <s v="PS5 - Milestone H"/>
    <s v="TM-00254"/>
    <s v="Gawad, Mohamed"/>
    <m/>
  </r>
  <r>
    <s v="T-00254-5510"/>
    <s v="PS5-71-IN-0004B-CC06"/>
    <m/>
    <m/>
    <m/>
    <m/>
    <x v="32"/>
    <s v="PCOM - Precommissioning"/>
    <s v="I"/>
    <x v="1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11"/>
    <s v="PS5-71-IN-0004B-CC07"/>
    <m/>
    <m/>
    <m/>
    <m/>
    <x v="32"/>
    <s v="PCOM - Precommissioning"/>
    <s v="I"/>
    <x v="1"/>
    <x v="1"/>
    <s v="Cable FROM PS5-60-IE-0004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14"/>
    <s v="PS5-71-IN-0004B-CC11"/>
    <m/>
    <m/>
    <m/>
    <m/>
    <x v="32"/>
    <s v="PCOM - Precommissioning"/>
    <s v="I"/>
    <x v="1"/>
    <x v="1"/>
    <s v="Cable FROM PS5-71-IN-0001 TO PS5-71-IN-0004B"/>
    <s v="EACOP"/>
    <s v="CPP AGI"/>
    <m/>
    <m/>
    <s v="4"/>
    <m/>
    <m/>
    <s v="0"/>
    <s v="PS5 - TZA - PS5 - Tanzania"/>
    <s v="PS5-71-07 - Crude Fuel Separation Module (UCP)"/>
    <m/>
    <s v="PS5-71-07"/>
    <x v="1"/>
    <x v="0"/>
    <s v="Multi/Single-Core Instrument Control Cable"/>
    <s v="I"/>
    <x v="0"/>
    <s v="PS5 - Milestone H"/>
    <s v="TM-00254"/>
    <m/>
    <m/>
  </r>
  <r>
    <s v="T-00254-5518"/>
    <s v="PS5-71-LIT-1201-CJ01"/>
    <m/>
    <m/>
    <m/>
    <m/>
    <x v="32"/>
    <s v="PCOM - Precommissioning"/>
    <s v="I"/>
    <x v="1"/>
    <x v="1"/>
    <s v="Cable FROM PS5-71-BI-1113 TO PS5-71-LIT-1201"/>
    <s v="EACOP"/>
    <s v="CPP AGI"/>
    <m/>
    <m/>
    <s v="4"/>
    <m/>
    <m/>
    <s v="TZ-MID-68-WPR2-161503"/>
    <s v="PS5 - TZA - PS5 - Tanzania"/>
    <s v="PS5-71-20 - Diesel Fuel Day Tank"/>
    <d v="2026-07-02T06:25:27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519"/>
    <s v="PS5-71-LIT-1202-CJ01"/>
    <m/>
    <m/>
    <m/>
    <m/>
    <x v="32"/>
    <s v="PCOM - Precommissioning"/>
    <s v="I"/>
    <x v="1"/>
    <x v="1"/>
    <s v="Cable FROM PS5-28-BI-1307 TO PS5-71-LIT-1202"/>
    <s v="EACOP"/>
    <s v="CPP AGI"/>
    <m/>
    <m/>
    <s v="4"/>
    <m/>
    <m/>
    <s v="TZ-MID-68-WPR2-161503"/>
    <s v="PS5 - TZA - PS5 - Tanzania"/>
    <s v="PS5-71-20 - Diesel Fuel Day Tank"/>
    <d v="2026-07-02T06:26:49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528"/>
    <s v="PS5-71-MOV-0001-CC01"/>
    <m/>
    <m/>
    <m/>
    <m/>
    <x v="32"/>
    <s v="PCOM - Precommissioning"/>
    <s v="I"/>
    <x v="1"/>
    <x v="1"/>
    <s v="Cable FROM PS5-71-BI-2120 TO PS5-71-MOV-0001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29"/>
    <s v="PS5-71-MOV-0001-CC02"/>
    <m/>
    <m/>
    <m/>
    <m/>
    <x v="32"/>
    <s v="PCOM - Precommissioning"/>
    <s v="I"/>
    <x v="1"/>
    <x v="1"/>
    <s v="Cable FROM PS5-71-BI-2124 TO PS5-71-MOV-0001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30"/>
    <s v="PS5-71-MOV-0002-CC01"/>
    <m/>
    <m/>
    <m/>
    <m/>
    <x v="32"/>
    <s v="PCOM - Precommissioning"/>
    <s v="I"/>
    <x v="1"/>
    <x v="1"/>
    <s v="Cable FROM PS5-71-BI-2120 TO PS5-71-MOV-0002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31"/>
    <s v="PS5-71-MOV-0002-CC02"/>
    <m/>
    <m/>
    <m/>
    <m/>
    <x v="32"/>
    <s v="PCOM - Precommissioning"/>
    <s v="I"/>
    <x v="1"/>
    <x v="1"/>
    <s v="Cable FROM PS5-71-BI-2124 TO PS5-71-MOV-0002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32"/>
    <s v="PS5-71-MOV-0003-CC01"/>
    <m/>
    <m/>
    <m/>
    <m/>
    <x v="32"/>
    <s v="PCOM - Precommissioning"/>
    <s v="I"/>
    <x v="1"/>
    <x v="1"/>
    <s v="Cable FROM PS5-71-BI-2121 TO PS5-71-MOV-0003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33"/>
    <s v="PS5-71-MOV-0003-CC02"/>
    <m/>
    <m/>
    <m/>
    <m/>
    <x v="32"/>
    <s v="PCOM - Precommissioning"/>
    <s v="I"/>
    <x v="1"/>
    <x v="1"/>
    <s v="Cable FROM PS5-71-BI-2125 TO PS5-71-MOV-0003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34"/>
    <s v="PS5-71-MOV-0004-CC01"/>
    <m/>
    <m/>
    <m/>
    <m/>
    <x v="32"/>
    <s v="PCOM - Precommissioning"/>
    <s v="I"/>
    <x v="1"/>
    <x v="1"/>
    <s v="Cable FROM PS5-71-BI-2121 TO PS5-71-MOV-0004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35"/>
    <s v="PS5-71-MOV-0004-CC02"/>
    <m/>
    <m/>
    <m/>
    <m/>
    <x v="32"/>
    <s v="PCOM - Precommissioning"/>
    <s v="I"/>
    <x v="1"/>
    <x v="1"/>
    <s v="Cable FROM PS5-71-BI-2125 TO PS5-71-MOV-0004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36"/>
    <s v="PS5-71-MOV-0007-CC01"/>
    <m/>
    <m/>
    <m/>
    <m/>
    <x v="32"/>
    <s v="PCOM - Precommissioning"/>
    <s v="I"/>
    <x v="1"/>
    <x v="1"/>
    <s v="Cable FROM PS5-71-BI-2118 TO PS5-71-MOV-0007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37"/>
    <s v="PS5-71-MOV-0007-CC02"/>
    <m/>
    <m/>
    <m/>
    <m/>
    <x v="32"/>
    <s v="PCOM - Precommissioning"/>
    <s v="I"/>
    <x v="1"/>
    <x v="1"/>
    <s v="Cable FROM PS5-71-BI-2122 TO PS5-71-MOV-0007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38"/>
    <s v="PS5-71-MOV-0008-CC01"/>
    <m/>
    <m/>
    <m/>
    <m/>
    <x v="32"/>
    <s v="PCOM - Precommissioning"/>
    <s v="I"/>
    <x v="1"/>
    <x v="1"/>
    <s v="Cable FROM PS5-71-BI-2118 TO PS5-71-MOV-0008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39"/>
    <s v="PS5-71-MOV-0008-CC02"/>
    <m/>
    <m/>
    <m/>
    <m/>
    <x v="32"/>
    <s v="PCOM - Precommissioning"/>
    <s v="I"/>
    <x v="1"/>
    <x v="1"/>
    <s v="Cable FROM PS5-71-BI-2122 TO PS5-71-MOV-0008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40"/>
    <s v="PS5-71-MOV-0009-CC01"/>
    <m/>
    <m/>
    <m/>
    <m/>
    <x v="32"/>
    <s v="PCOM - Precommissioning"/>
    <s v="I"/>
    <x v="1"/>
    <x v="1"/>
    <s v="Cable FROM PS5-71-BI-2119 TO PS5-71-MOV-0009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41"/>
    <s v="PS5-71-MOV-0009-CC02"/>
    <m/>
    <m/>
    <m/>
    <m/>
    <x v="32"/>
    <s v="PCOM - Precommissioning"/>
    <s v="I"/>
    <x v="1"/>
    <x v="1"/>
    <s v="Cable FROM PS5-71-BI-2123 TO PS5-71-MOV-0009"/>
    <s v="EACOP"/>
    <s v="CPP AGI"/>
    <m/>
    <m/>
    <s v="4"/>
    <m/>
    <m/>
    <s v="TZ-MID-68-WPR2-161503"/>
    <s v="PS5 - TZA - PS5 - Tanzania"/>
    <s v="PS5-71-08 - CFO Pre-Pressure Modules"/>
    <m/>
    <s v="PS5-71-08"/>
    <x v="1"/>
    <x v="0"/>
    <s v="Multi/Single-Core Instrument Control Cable"/>
    <s v="I"/>
    <x v="0"/>
    <s v="PS5 - Milestone H"/>
    <s v="TM-00254"/>
    <m/>
    <s v="TZ-MID-68-WPR2-161503"/>
  </r>
  <r>
    <s v="T-00254-5542"/>
    <s v="PS5-71-MOV-0010-CC01"/>
    <m/>
    <m/>
    <m/>
    <m/>
    <x v="32"/>
    <s v="PCOM - Precommissioning"/>
    <s v="I"/>
    <x v="1"/>
    <x v="1"/>
    <s v="Cable FROM PS5-71-BI-2119 TO PS5-71-MOV-0010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43"/>
    <s v="PS5-71-MOV-0010-CC02"/>
    <m/>
    <m/>
    <m/>
    <m/>
    <x v="32"/>
    <s v="PCOM - Precommissioning"/>
    <s v="I"/>
    <x v="1"/>
    <x v="1"/>
    <s v="Cable FROM PS5-71-BI-2123 TO PS5-71-MOV-0010"/>
    <s v="EACOP"/>
    <s v="CPP AGI"/>
    <m/>
    <m/>
    <s v="4"/>
    <m/>
    <m/>
    <s v="TZ-MID-68-WPR2-161503"/>
    <s v="PS5 - TZA - PS5 - Tanzania"/>
    <s v="PS5-71-22 - Diesel Fuel Pre Pressure Module"/>
    <m/>
    <s v="PS5-71-22"/>
    <x v="0"/>
    <x v="0"/>
    <s v="Multi/Single-Core Instrument Control Cable"/>
    <s v="I"/>
    <x v="0"/>
    <s v="PS5 - Milestone B"/>
    <s v="TM-00254"/>
    <m/>
    <s v="TZ-MID-68-WPR2-161503"/>
  </r>
  <r>
    <s v="T-00254-5547"/>
    <s v="PS5-71-PIT-0001-CJ01"/>
    <m/>
    <m/>
    <m/>
    <m/>
    <x v="32"/>
    <s v="PCOM - Precommissioning"/>
    <s v="I"/>
    <x v="1"/>
    <x v="1"/>
    <s v="Cable FROM PS5-28-BI-1307 TO PS5-71-SDV-0001"/>
    <s v="EACOP"/>
    <s v="CPP AGI"/>
    <m/>
    <m/>
    <s v="4"/>
    <m/>
    <m/>
    <s v="TZ-MID-68-WPR2-161503"/>
    <s v="PS5 - TZA - PS5 - Tanzania"/>
    <s v="PS5-71-20 - Diesel Fuel Day Tank"/>
    <d v="2026-07-02T06:34:56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550"/>
    <s v="PS5-71-PIT-0019A-CJ01"/>
    <m/>
    <m/>
    <m/>
    <m/>
    <x v="32"/>
    <s v="PCOM - Precommissioning"/>
    <s v="I"/>
    <x v="1"/>
    <x v="1"/>
    <s v="Cable FROM PS5-71-BI-1113 TO PS5-71-FCV-0019"/>
    <s v="EACOP"/>
    <s v="CPP AGI"/>
    <m/>
    <m/>
    <s v="4"/>
    <m/>
    <m/>
    <s v="TZ-MID-68-WPR2-161503"/>
    <s v="PS5 - TZA - PS5 - Tanzania"/>
    <s v="PS5-71-21 - Diesel Transfer Pump A/B"/>
    <d v="2026-07-02T06:35:13"/>
    <s v="PS5-71-21"/>
    <x v="0"/>
    <x v="0"/>
    <s v="Multi/Single-Core Instrument Control Cable"/>
    <s v="I"/>
    <x v="1"/>
    <s v="PS5 - Milestone B"/>
    <s v="TM-00254"/>
    <s v="Gawad, Mohamed"/>
    <s v="TZ-MID-68-WPR2-161503"/>
  </r>
  <r>
    <s v="T-00254-5557"/>
    <s v="PS5-71-PIT-0091-CJ01"/>
    <m/>
    <m/>
    <m/>
    <m/>
    <x v="32"/>
    <s v="PCOM - Precommissioning"/>
    <s v="I"/>
    <x v="1"/>
    <x v="1"/>
    <s v="Cable FROM PS5-71-BI-1113 TO PS5-71-XV-0091"/>
    <s v="EACOP"/>
    <s v="CPP AGI"/>
    <m/>
    <m/>
    <s v="4"/>
    <m/>
    <m/>
    <s v="TZ-MID-68-WPR2-161503"/>
    <s v="PS5 - TZA - PS5 - Tanzania"/>
    <s v="PS5-71-18 - Diesel Separator Module"/>
    <d v="2026-07-02T06:39:51"/>
    <s v="PS5-71-18"/>
    <x v="1"/>
    <x v="0"/>
    <s v="Multi/Single-Core Instrument Control Cable"/>
    <s v="I"/>
    <x v="1"/>
    <s v="PS5 - Milestone F"/>
    <s v="TM-00254"/>
    <s v="Gawad, Mohamed"/>
    <s v="TZ-MID-68-WPR2-161503"/>
  </r>
  <r>
    <s v="T-00254-5558"/>
    <s v="PS5-71-PIT-0092-CJ01"/>
    <m/>
    <m/>
    <m/>
    <m/>
    <x v="32"/>
    <s v="PCOM - Precommissioning"/>
    <s v="I"/>
    <x v="1"/>
    <x v="1"/>
    <s v="Cable FROM PS5-71-BI-1113 TO PS5-71-XV-0092"/>
    <s v="EACOP"/>
    <s v="CPP AGI"/>
    <m/>
    <m/>
    <s v="4"/>
    <m/>
    <m/>
    <s v="TZ-MID-68-WPR2-161503"/>
    <s v="PS5 - TZA - PS5 - Tanzania"/>
    <s v="PS5-71-20 - Diesel Fuel Day Tank"/>
    <d v="2026-07-02T06:45:38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570"/>
    <s v="PS5-71-SDV-0001-CC01"/>
    <m/>
    <m/>
    <m/>
    <m/>
    <x v="32"/>
    <s v="PCOM - Precommissioning"/>
    <s v="I"/>
    <x v="1"/>
    <x v="1"/>
    <s v="Cable FROM PS5-25-BI-2315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254"/>
    <m/>
    <s v="TZ-MID-68-WPR2-161503"/>
  </r>
  <r>
    <s v="T-00254-5571"/>
    <s v="PS5-71-SDV-0001-CC02"/>
    <m/>
    <m/>
    <m/>
    <m/>
    <x v="32"/>
    <s v="PCOM - Precommissioning"/>
    <s v="I"/>
    <x v="1"/>
    <x v="1"/>
    <s v="Cable FROM PS5-71-SDV-0001-HPU TO PS5-71-SDV-0001"/>
    <s v="EACOP"/>
    <s v="CPP AGI"/>
    <m/>
    <m/>
    <s v="4"/>
    <m/>
    <m/>
    <s v="UT-MID-60-NBV3-160008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254"/>
    <m/>
    <s v="UT-MID-60-NBV3-160008"/>
  </r>
  <r>
    <s v="T-00254-5578"/>
    <s v="PS5-71-SXS-0001-CJ01"/>
    <m/>
    <m/>
    <m/>
    <m/>
    <x v="32"/>
    <s v="PCOM - Precommissioning"/>
    <s v="I"/>
    <x v="1"/>
    <x v="1"/>
    <s v="Cable FROM PS5-25-BI-2312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254"/>
    <m/>
    <s v="TZ-MID-68-WPR2-161503"/>
  </r>
  <r>
    <s v="T-00254-5582"/>
    <s v="PS5-71-SY-0001-CJ01"/>
    <m/>
    <m/>
    <m/>
    <m/>
    <x v="32"/>
    <s v="PCOM - Precommissioning"/>
    <s v="I"/>
    <x v="1"/>
    <x v="1"/>
    <s v="Cable FROM PS5-25-BI-2316 TO PS5-71-SDV-0001"/>
    <s v="EACOP"/>
    <s v="CPP AGI"/>
    <m/>
    <m/>
    <s v="4"/>
    <m/>
    <m/>
    <s v="TZ-MID-68-WPR2-161503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254"/>
    <m/>
    <s v="TZ-MID-68-WPR2-161503"/>
  </r>
  <r>
    <s v="T-00254-5604"/>
    <s v="PS5-71-XV-0091-CC01"/>
    <m/>
    <m/>
    <m/>
    <m/>
    <x v="32"/>
    <s v="PCOM - Precommissioning"/>
    <s v="I"/>
    <x v="1"/>
    <x v="1"/>
    <s v="Cable FROM PS5-71-BI-2113 TO PS5-71-XV-0091"/>
    <s v="EACOP"/>
    <s v="CPP AGI"/>
    <m/>
    <m/>
    <s v="4"/>
    <m/>
    <m/>
    <s v="TZ-MID-68-WPR2-161503"/>
    <s v="PS5 - TZA - PS5 - Tanzania"/>
    <s v="PS5-71-18 - Diesel Separator Module"/>
    <d v="2026-07-02T06:50:59"/>
    <s v="PS5-71-18"/>
    <x v="1"/>
    <x v="0"/>
    <s v="Multi/Single-Core Instrument Control Cable"/>
    <s v="I"/>
    <x v="1"/>
    <s v="PS5 - Milestone F"/>
    <s v="TM-00254"/>
    <s v="Gawad, Mohamed"/>
    <s v="TZ-MID-68-WPR2-161503"/>
  </r>
  <r>
    <s v="T-00254-5605"/>
    <s v="PS5-71-XV-0091-CC02"/>
    <m/>
    <m/>
    <m/>
    <m/>
    <x v="32"/>
    <s v="PCOM - Precommissioning"/>
    <s v="I"/>
    <x v="1"/>
    <x v="1"/>
    <s v="Cable FROM PS5-71-XV-0091-HPU TO PS5-71-XV-0091"/>
    <s v="EACOP"/>
    <s v="CPP AGI"/>
    <m/>
    <m/>
    <s v="4"/>
    <m/>
    <m/>
    <s v="UT-MID-60-NBV3-160008"/>
    <s v="PS5 - TZA - PS5 - Tanzania"/>
    <s v="PS5-71-18 - Diesel Separator Module"/>
    <m/>
    <s v="PS5-71-18"/>
    <x v="1"/>
    <x v="0"/>
    <s v="Multi/Single-Core Instrument Control Cable"/>
    <s v="I"/>
    <x v="0"/>
    <s v="PS5 - Milestone F"/>
    <s v="TM-00254"/>
    <m/>
    <s v="UT-MID-60-NBV3-160008"/>
  </r>
  <r>
    <s v="T-00254-5606"/>
    <s v="PS5-71-XV-0092-CC01"/>
    <m/>
    <m/>
    <m/>
    <m/>
    <x v="32"/>
    <s v="PCOM - Precommissioning"/>
    <s v="I"/>
    <x v="1"/>
    <x v="1"/>
    <s v="Cable FROM PS5-71-BI-2113 TO PS5-71-XV-0092"/>
    <s v="EACOP"/>
    <s v="CPP AGI"/>
    <m/>
    <m/>
    <s v="4"/>
    <m/>
    <m/>
    <s v="TZ-MID-68-WPR2-161503"/>
    <s v="PS5 - TZA - PS5 - Tanzania"/>
    <s v="PS5-71-20 - Diesel Fuel Day Tank"/>
    <d v="2026-07-02T06:52:41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607"/>
    <s v="PS5-71-XV-0092-CC02"/>
    <m/>
    <m/>
    <m/>
    <m/>
    <x v="32"/>
    <s v="PCOM - Precommissioning"/>
    <s v="I"/>
    <x v="1"/>
    <x v="1"/>
    <s v="Cable FROM PS5-71-XV-0092-HPU TO PS5-71-XV-0092"/>
    <s v="EACOP"/>
    <s v="CPP AGI"/>
    <m/>
    <m/>
    <s v="4"/>
    <m/>
    <m/>
    <s v="UT-MID-60-NBV3-160008"/>
    <s v="PS5 - TZA - PS5 - Tanzania"/>
    <s v="PS5-71-20 - Diesel Fuel Day Tank"/>
    <m/>
    <s v="PS5-71-20"/>
    <x v="0"/>
    <x v="0"/>
    <s v="Multi/Single-Core Instrument Control Cable"/>
    <s v="I"/>
    <x v="0"/>
    <s v="PS5 - Milestone B"/>
    <s v="TM-00254"/>
    <m/>
    <s v="UT-MID-60-NBV3-160008"/>
  </r>
  <r>
    <s v="T-00254-5610"/>
    <s v="PS5-71-XXS-0091-CJ01"/>
    <m/>
    <m/>
    <m/>
    <m/>
    <x v="32"/>
    <s v="PCOM - Precommissioning"/>
    <s v="I"/>
    <x v="1"/>
    <x v="1"/>
    <s v="Cable FROM PS5-71-BI-2114 TO PS5-71-XV-0091"/>
    <s v="EACOP"/>
    <s v="CPP AGI"/>
    <m/>
    <m/>
    <s v="4"/>
    <m/>
    <m/>
    <s v="TZ-MID-68-WPR2-161503"/>
    <s v="PS5 - TZA - PS5 - Tanzania"/>
    <s v="PS5-71-18 - Diesel Separator Module"/>
    <d v="2026-07-02T06:53:44"/>
    <s v="PS5-71-18"/>
    <x v="1"/>
    <x v="0"/>
    <s v="Multi/Single-Core Instrument Control Cable"/>
    <s v="I"/>
    <x v="1"/>
    <s v="PS5 - Milestone F"/>
    <s v="TM-00254"/>
    <s v="Gawad, Mohamed"/>
    <s v="TZ-MID-68-WPR2-161503"/>
  </r>
  <r>
    <s v="T-00254-5611"/>
    <s v="PS5-71-XXS-0092-CJ01"/>
    <m/>
    <m/>
    <m/>
    <m/>
    <x v="32"/>
    <s v="PCOM - Precommissioning"/>
    <s v="I"/>
    <x v="1"/>
    <x v="1"/>
    <s v="Cable FROM PS5-71-BI-2114 TO PS5-71-XV-0092"/>
    <s v="EACOP"/>
    <s v="CPP AGI"/>
    <m/>
    <m/>
    <s v="4"/>
    <m/>
    <m/>
    <s v="TZ-MID-68-WPR2-161503"/>
    <s v="PS5 - TZA - PS5 - Tanzania"/>
    <s v="PS5-71-20 - Diesel Fuel Day Tank"/>
    <d v="2026-07-02T06:51:17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5614"/>
    <s v="PS5-71-XY-0091-CJ01"/>
    <m/>
    <m/>
    <m/>
    <m/>
    <x v="32"/>
    <s v="PCOM - Precommissioning"/>
    <s v="I"/>
    <x v="1"/>
    <x v="1"/>
    <s v="Cable FROM PS5-71-BI-2115 TO PS5-71-XV-0091"/>
    <s v="EACOP"/>
    <s v="CPP AGI"/>
    <m/>
    <m/>
    <s v="4"/>
    <m/>
    <m/>
    <s v="TZ-MID-68-WPR2-161503"/>
    <s v="PS5 - TZA - PS5 - Tanzania"/>
    <s v="PS5-71-18 - Diesel Separator Module"/>
    <d v="2026-07-02T06:57:41"/>
    <s v="PS5-71-18"/>
    <x v="1"/>
    <x v="0"/>
    <s v="Multi/Single-Core Instrument Control Cable"/>
    <s v="I"/>
    <x v="1"/>
    <s v="PS5 - Milestone F"/>
    <s v="TM-00254"/>
    <s v="Gawad, Mohamed"/>
    <s v="TZ-MID-68-WPR2-161503"/>
  </r>
  <r>
    <s v="T-00254-5615"/>
    <s v="PS5-71-XY-0092-CJ01"/>
    <m/>
    <m/>
    <m/>
    <m/>
    <x v="32"/>
    <s v="PCOM - Precommissioning"/>
    <s v="I"/>
    <x v="1"/>
    <x v="1"/>
    <s v="Cable FROM PS5-71-BI-2115 TO PS5-71-XV-0092"/>
    <s v="EACOP"/>
    <s v="CPP AGI"/>
    <m/>
    <m/>
    <s v="4"/>
    <m/>
    <m/>
    <s v="TZ-MID-68-WPR2-161503"/>
    <s v="PS5 - TZA - PS5 - Tanzania"/>
    <s v="PS5-71-20 - Diesel Fuel Day Tank"/>
    <d v="2026-07-02T06:59:27"/>
    <s v="PS5-71-20"/>
    <x v="0"/>
    <x v="0"/>
    <s v="Multi/Single-Core Instrument Control Cable"/>
    <s v="I"/>
    <x v="1"/>
    <s v="PS5 - Milestone B"/>
    <s v="TM-00254"/>
    <s v="Gawad, Mohamed"/>
    <s v="TZ-MID-68-WPR2-161503"/>
  </r>
  <r>
    <s v="T-00254-9420"/>
    <s v="PS5-03-RMAC-1409-CJ01"/>
    <m/>
    <m/>
    <m/>
    <m/>
    <x v="32"/>
    <s v="PCOM - Precommissioning"/>
    <s v="I"/>
    <x v="1"/>
    <x v="1"/>
    <s v="Cable FROM PS5-03-SEA-0003 TO PS5-03-RMAC-1409"/>
    <s v="EACOP"/>
    <s v="CPP AGI"/>
    <m/>
    <m/>
    <s v="4"/>
    <m/>
    <m/>
    <m/>
    <s v="PS5 - TZA - PS5 - Tanzania"/>
    <s v="PS5-03-14 - FZ-14 - Power Generation Building - Switchgear Room"/>
    <m/>
    <s v="PS5-03-14"/>
    <x v="1"/>
    <x v="0"/>
    <s v="Multi/Single-Core Instrument Control Cable"/>
    <s v="I"/>
    <x v="0"/>
    <s v="PS5 - Milestone E"/>
    <s v="TM-00254"/>
    <m/>
    <m/>
  </r>
  <r>
    <s v="T-00256-0027"/>
    <s v="PS5-60-IE-0004-CX03"/>
    <m/>
    <m/>
    <m/>
    <m/>
    <x v="33"/>
    <s v="PCOM - Precommissioning"/>
    <s v="I"/>
    <x v="1"/>
    <x v="1"/>
    <s v="Cable FROM PS5-04-PNC-0001 TO PS5-60-IE-0004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256"/>
    <m/>
    <s v="TZ-MID-68-SSF1-161401"/>
  </r>
  <r>
    <s v="T-00256-0028"/>
    <s v="PS5-60-IE-0004-CX04"/>
    <m/>
    <m/>
    <m/>
    <m/>
    <x v="33"/>
    <s v="PCOM - Precommissioning"/>
    <s v="I"/>
    <x v="1"/>
    <x v="1"/>
    <s v="Cable FROM PS5-04-PNC-0001 TO PS5-60-IE-0004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256"/>
    <m/>
    <s v="TZ-MID-68-SSF1-161401"/>
  </r>
  <r>
    <s v="T-00256-0029"/>
    <s v="PS5-60-LA-0003-CX01"/>
    <m/>
    <m/>
    <m/>
    <m/>
    <x v="33"/>
    <s v="PCOM - Precommissioning"/>
    <s v="I"/>
    <x v="1"/>
    <x v="1"/>
    <s v="Cable FROM PS5-04-PNC-0001 TO PS5-60-LA-0003"/>
    <s v="EACOP"/>
    <s v="CPP AGI"/>
    <m/>
    <m/>
    <s v="1"/>
    <m/>
    <m/>
    <s v="TZ-MID-68-SSF1-161401"/>
    <s v="PS5 - TZA - PS5 - Tanzania"/>
    <s v="PS5-60-22 - Power Gen Master UCP"/>
    <m/>
    <s v="PS5-60-22"/>
    <x v="0"/>
    <x v="0"/>
    <s v="Optical Fibre Cable"/>
    <s v="I"/>
    <x v="0"/>
    <s v="PS5 - Milestone B"/>
    <s v="TM-00256"/>
    <m/>
    <s v="TZ-MID-68-SSF1-161401"/>
  </r>
  <r>
    <s v="T-00256-0090"/>
    <s v="PS5-60-LA-0003-CX02"/>
    <m/>
    <m/>
    <m/>
    <m/>
    <x v="33"/>
    <s v="PCOM - Precommissioning"/>
    <s v="I"/>
    <x v="1"/>
    <x v="1"/>
    <s v="Cable FROM PS5-04-PNC-0001 TO PS5-60-LA-0003"/>
    <s v="EACOP"/>
    <s v="CPP AGI"/>
    <m/>
    <m/>
    <s v="1"/>
    <m/>
    <s v="1"/>
    <m/>
    <s v="PS5 - TZA - PS5 - Tanzania"/>
    <s v="PS5-60-22 - Power Gen Master UCP"/>
    <m/>
    <s v="PS5-60-22"/>
    <x v="0"/>
    <x v="0"/>
    <s v="Optical Fibre Cable"/>
    <s v="I"/>
    <x v="0"/>
    <s v="PS5 - Milestone B"/>
    <s v="TM-00256"/>
    <m/>
    <m/>
  </r>
  <r>
    <s v="T-00257-0169"/>
    <s v="PS5-60-TW-0007C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257"/>
    <m/>
    <s v="TZ-MID-68-WPR2-135106"/>
  </r>
  <r>
    <s v="T-00257-0173"/>
    <s v="PS5-60-TW-0007B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257"/>
    <m/>
    <s v="TZ-MID-68-WPR2-135103"/>
  </r>
  <r>
    <s v="T-00257-0174"/>
    <s v="PS5-60-TW-0006C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257"/>
    <m/>
    <s v="TZ-MID-68-WPR2-135106"/>
  </r>
  <r>
    <s v="T-00257-0175"/>
    <s v="PS5-60-TW-0008A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257"/>
    <m/>
    <s v="TZ-MID-68-WPR2-135100"/>
  </r>
  <r>
    <s v="T-00257-0176"/>
    <s v="PS5-60-TW-0007D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257"/>
    <m/>
    <s v="TZ-MID-68-WPR2-135109"/>
  </r>
  <r>
    <s v="T-00257-0177"/>
    <s v="PS5-60-TW-0008C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257"/>
    <m/>
    <s v="TZ-MID-68-WPR2-135106"/>
  </r>
  <r>
    <s v="T-00257-0182"/>
    <s v="PS5-60-TW-0007A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257"/>
    <m/>
    <s v="TZ-MID-68-WPR2-135100"/>
  </r>
  <r>
    <s v="T-00257-0183"/>
    <s v="PS5-60-TW-0006D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257"/>
    <m/>
    <s v="TZ-MID-68-WPR2-135109"/>
  </r>
  <r>
    <s v="T-00257-0184"/>
    <s v="PS5-60-TW-0008B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257"/>
    <m/>
    <s v="TZ-MID-68-WPR2-135103"/>
  </r>
  <r>
    <s v="T-00257-0186"/>
    <s v="PS5-60-TW-0008D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257"/>
    <m/>
    <s v="TZ-MID-68-WPR2-135109"/>
  </r>
  <r>
    <s v="T-00257-0194"/>
    <s v="PS5-60-TW-0006B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257"/>
    <m/>
    <s v="TZ-MID-68-WPR2-135103"/>
  </r>
  <r>
    <s v="T-00257-0198"/>
    <s v="PS5-60-TW-0006A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257"/>
    <m/>
    <s v="TZ-MID-68-WPR2-135100"/>
  </r>
  <r>
    <s v="T-00257-0207"/>
    <s v="PS5-60-TW-0005A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0"/>
    <s v="PS5 - TZA - PS5 - Tanzania"/>
    <s v="PS5-60-70 - Engine A Cooling system"/>
    <m/>
    <s v="PS5-60-70"/>
    <x v="0"/>
    <x v="0"/>
    <s v="Thermowell"/>
    <s v="I"/>
    <x v="0"/>
    <s v="PS5 - Milestone B"/>
    <s v="TM-00257"/>
    <m/>
    <s v="TZ-MID-68-WPR2-135100"/>
  </r>
  <r>
    <s v="T-00257-0208"/>
    <s v="PS5-60-TW-0005B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3"/>
    <s v="PS5 - TZA - PS5 - Tanzania"/>
    <s v="PS5-60-71 - Engine B Cooling system"/>
    <m/>
    <s v="PS5-60-71"/>
    <x v="0"/>
    <x v="0"/>
    <s v="Thermowell"/>
    <s v="I"/>
    <x v="0"/>
    <s v="PS5 - Milestone B"/>
    <s v="TM-00257"/>
    <m/>
    <s v="TZ-MID-68-WPR2-135103"/>
  </r>
  <r>
    <s v="T-00257-0209"/>
    <s v="PS5-60-TW-0005C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6"/>
    <s v="PS5 - TZA - PS5 - Tanzania"/>
    <s v="PS5-60-72 - Engine C Cooling system"/>
    <m/>
    <s v="PS5-60-72"/>
    <x v="1"/>
    <x v="0"/>
    <s v="Thermowell"/>
    <s v="I"/>
    <x v="0"/>
    <s v="PS5 - Milestone D"/>
    <s v="TM-00257"/>
    <m/>
    <s v="TZ-MID-68-WPR2-135106"/>
  </r>
  <r>
    <s v="T-00257-0210"/>
    <s v="PS5-60-TW-0005D"/>
    <m/>
    <m/>
    <m/>
    <m/>
    <x v="34"/>
    <s v="PCOM - Precommissioning"/>
    <s v="I"/>
    <x v="1"/>
    <x v="1"/>
    <s v="Thermowell"/>
    <s v="EACOP"/>
    <s v="CPP AGI"/>
    <m/>
    <m/>
    <s v="1"/>
    <m/>
    <m/>
    <s v="TZ-MID-68-WPR2-135109"/>
    <s v="PS5 - TZA - PS5 - Tanzania"/>
    <s v="PS5-60-73 - Engine D Cooling system"/>
    <m/>
    <s v="PS5-60-73"/>
    <x v="1"/>
    <x v="0"/>
    <s v="Thermowell"/>
    <s v="I"/>
    <x v="0"/>
    <s v="PS5 - Milestone D"/>
    <s v="TM-00257"/>
    <m/>
    <s v="TZ-MID-68-WPR2-135109"/>
  </r>
  <r>
    <s v="T-00284-0085"/>
    <s v="PS5-71-FIT-0019"/>
    <m/>
    <m/>
    <m/>
    <m/>
    <x v="35"/>
    <s v="PCOM - Precommissioning"/>
    <s v="I"/>
    <x v="1"/>
    <x v="1"/>
    <s v="DP Flow Ind Transmitter"/>
    <s v="EACOP"/>
    <s v="CPP AGI"/>
    <m/>
    <m/>
    <s v="1"/>
    <m/>
    <m/>
    <s v="TZ-MID-68-WPR2-135008"/>
    <s v="PS5 - TZA - PS5 - Tanzania"/>
    <s v="PS5-71-21 - Diesel Transfer Pump A/B"/>
    <m/>
    <s v="PS5-71-21"/>
    <x v="0"/>
    <x v="0"/>
    <s v="Tubing Pressure Test"/>
    <s v="I"/>
    <x v="0"/>
    <s v="PS5 - Milestone B"/>
    <s v="TM-00284"/>
    <m/>
    <s v="TZ-MID-68-WPR2-135008"/>
  </r>
  <r>
    <s v="T-00284-0091"/>
    <s v="PS5-71-LIT-1202"/>
    <m/>
    <m/>
    <m/>
    <m/>
    <x v="35"/>
    <s v="PCOM - Precommissioning"/>
    <s v="I"/>
    <x v="1"/>
    <x v="1"/>
    <s v="DP Level Ind Transmitter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Tubing Pressure Test"/>
    <s v="I"/>
    <x v="0"/>
    <s v="PS5 - Milestone B"/>
    <s v="TM-00284"/>
    <m/>
    <s v="TZ-MID-68-WPR2-135205"/>
  </r>
  <r>
    <s v="T-00284-0096"/>
    <s v="PS5-71-LIT-1201"/>
    <m/>
    <m/>
    <m/>
    <m/>
    <x v="35"/>
    <s v="PCOM - Precommissioning"/>
    <s v="I"/>
    <x v="1"/>
    <x v="1"/>
    <s v="DP Level Ind Transmitter"/>
    <s v="EACOP"/>
    <s v="CPP AGI"/>
    <m/>
    <m/>
    <s v="1"/>
    <m/>
    <m/>
    <s v="TZ-MID-68-WPR2-135205"/>
    <s v="PS5 - TZA - PS5 - Tanzania"/>
    <s v="PS5-71-20 - Diesel Fuel Day Tank"/>
    <m/>
    <s v="PS5-71-20"/>
    <x v="0"/>
    <x v="0"/>
    <s v="Tubing Pressure Test"/>
    <s v="I"/>
    <x v="0"/>
    <s v="PS5 - Milestone B"/>
    <s v="TM-00284"/>
    <m/>
    <s v="TZ-MID-68-WPR2-135205"/>
  </r>
  <r>
    <s v="T-00284-0186"/>
    <s v="PS5-71-FCV-0019"/>
    <m/>
    <m/>
    <m/>
    <m/>
    <x v="35"/>
    <s v="PCOM - Precommissioning"/>
    <s v="I"/>
    <x v="1"/>
    <x v="1"/>
    <s v="Flow Control Valve"/>
    <s v="EACOP"/>
    <s v="CPP AGI"/>
    <m/>
    <m/>
    <s v="1"/>
    <m/>
    <m/>
    <m/>
    <s v="PS5 - TZA - PS5 - Tanzania"/>
    <s v="PS5-71-21 - Diesel Transfer Pump A/B"/>
    <m/>
    <s v="PS5-71-21"/>
    <x v="0"/>
    <x v="0"/>
    <s v="Tubing Pressure Test"/>
    <s v="I"/>
    <x v="0"/>
    <s v="PS5 - Milestone B"/>
    <s v="TM-00284"/>
    <m/>
    <m/>
  </r>
  <r>
    <s v="T-00614-0853"/>
    <s v="PS5-01-BI-1117-CC01"/>
    <m/>
    <m/>
    <m/>
    <m/>
    <x v="36"/>
    <s v="PCOM - Precommissioning"/>
    <s v="I"/>
    <x v="0"/>
    <x v="1"/>
    <s v="Cable FROM PS5-04-PMC-0002 TO PS5-01-BI-1117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854"/>
    <s v="PS5-01-BI-1118-CC01"/>
    <m/>
    <m/>
    <m/>
    <m/>
    <x v="36"/>
    <s v="PCOM - Precommissioning"/>
    <s v="I"/>
    <x v="0"/>
    <x v="1"/>
    <s v="Cable FROM PS5-04-PMC-0001 TO PS5-01-BI-1118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856"/>
    <s v="PS5-01-BI-1515-CC01"/>
    <m/>
    <m/>
    <m/>
    <m/>
    <x v="36"/>
    <s v="PCOM - Precommissioning"/>
    <s v="I"/>
    <x v="0"/>
    <x v="1"/>
    <s v="Cable FROM PS5-03-SFMC-0008 TO PS5-01-BI-151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859"/>
    <s v="PS5-01-BI-2110-CC01"/>
    <m/>
    <m/>
    <m/>
    <m/>
    <x v="36"/>
    <s v="PCOM - Precommissioning"/>
    <s v="I"/>
    <x v="0"/>
    <x v="1"/>
    <s v="Cable FROM PS5-04-PMC-0006 TO PS5-01-BI-2110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893"/>
    <s v="PS5-03-BI-2503-CC01"/>
    <m/>
    <m/>
    <m/>
    <m/>
    <x v="36"/>
    <s v="PCOM - Precommissioning"/>
    <s v="I"/>
    <x v="0"/>
    <x v="1"/>
    <s v="Cable FROM PS5-03-SFMC-0009 TO PS5-03-BI-2503"/>
    <s v="EACOP"/>
    <s v="CPP AGI"/>
    <m/>
    <m/>
    <s v="4"/>
    <m/>
    <s v="4"/>
    <m/>
    <s v="PS5 - TZA - PS5 - Tanzania"/>
    <s v="PS5-91-01 - Multicore cables &amp; JB"/>
    <d v="2026-07-04T10:57:39"/>
    <s v="PS5-91-01"/>
    <x v="0"/>
    <x v="0"/>
    <s v="Smart Form PLACEHOLDER (DO NOT DELETE)"/>
    <s v="I"/>
    <x v="1"/>
    <s v="PS5 - Milestone A"/>
    <s v="TM-00614"/>
    <s v="Gawad, Mohamed"/>
    <m/>
  </r>
  <r>
    <s v="T-00614-0896"/>
    <s v="PS5-03-BI-2506-CC01"/>
    <m/>
    <m/>
    <m/>
    <m/>
    <x v="36"/>
    <s v="PCOM - Precommissioning"/>
    <s v="I"/>
    <x v="0"/>
    <x v="1"/>
    <s v="Cable FROM PS5-03-SFMC-0010 TO PS5-03-BI-2506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899"/>
    <s v="PS5-03-BI-2509-CC01"/>
    <m/>
    <m/>
    <m/>
    <m/>
    <x v="36"/>
    <s v="PCOM - Precommissioning"/>
    <s v="I"/>
    <x v="0"/>
    <x v="1"/>
    <s v="Cable FROM PS5-03-SFMC-0010 TO PS5-03-BI-2509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03"/>
    <s v="PS5-03-BI-2514-CC01"/>
    <m/>
    <m/>
    <m/>
    <m/>
    <x v="36"/>
    <s v="PCOM - Precommissioning"/>
    <s v="I"/>
    <x v="0"/>
    <x v="1"/>
    <s v="Cable FROM PS5-03-SFMC-0009 TO PS5-03-BI-2514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04"/>
    <s v="PS5-03-BI-2515-CC01"/>
    <m/>
    <m/>
    <m/>
    <m/>
    <x v="36"/>
    <s v="PCOM - Precommissioning"/>
    <s v="I"/>
    <x v="0"/>
    <x v="1"/>
    <s v="Cable FROM PS5-03-SFMC-0009 TO PS5-03-BI-251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22"/>
    <s v="PS5-03-SEA-0003-CC01"/>
    <m/>
    <m/>
    <m/>
    <m/>
    <x v="36"/>
    <s v="PCOM - Precommissioning"/>
    <s v="I"/>
    <x v="0"/>
    <x v="1"/>
    <s v="Cable FROM PS5-03-SFMC-0010 TO PS5-03-SEA-0003"/>
    <s v="EACOP"/>
    <s v="CPP AGI"/>
    <m/>
    <m/>
    <s v="4"/>
    <m/>
    <s v="4"/>
    <m/>
    <s v="PS5 - TZA - PS5 - Tanzania"/>
    <s v="PS5-03-14 - FZ-14 - Power Generation Building - Switchgear Room"/>
    <m/>
    <s v="PS5-03-14"/>
    <x v="1"/>
    <x v="0"/>
    <m/>
    <s v="I"/>
    <x v="0"/>
    <s v="PS5 - Milestone E"/>
    <s v="TM-00614"/>
    <m/>
    <m/>
  </r>
  <r>
    <s v="T-00614-0923"/>
    <s v="PS5-03-SEA-0003-CJ01"/>
    <m/>
    <m/>
    <m/>
    <m/>
    <x v="36"/>
    <s v="PCOM - Precommissioning"/>
    <s v="I"/>
    <x v="0"/>
    <x v="1"/>
    <s v="Cable FROM PS5-04-PMC-0004 TO PS5-03-SEA-0003"/>
    <s v="EACOP"/>
    <s v="CPP AGI"/>
    <m/>
    <m/>
    <s v="4"/>
    <m/>
    <s v="4"/>
    <m/>
    <s v="PS5 - TZA - PS5 - Tanzania"/>
    <s v="PS5-03-14 - FZ-14 - Power Generation Building - Switchgear Room"/>
    <m/>
    <s v="PS5-03-14"/>
    <x v="1"/>
    <x v="0"/>
    <m/>
    <s v="I"/>
    <x v="0"/>
    <s v="PS5 - Milestone E"/>
    <s v="TM-00614"/>
    <m/>
    <m/>
  </r>
  <r>
    <s v="T-00614-0953"/>
    <s v="PS5-25-BI-1101-CC01"/>
    <m/>
    <m/>
    <m/>
    <m/>
    <x v="36"/>
    <s v="PCOM - Precommissioning"/>
    <s v="I"/>
    <x v="0"/>
    <x v="1"/>
    <s v="Cable FROM PS5-04-PMC-0001 TO PS5-25-BI-110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54"/>
    <s v="PS5-25-BI-1102-CC01"/>
    <m/>
    <m/>
    <m/>
    <m/>
    <x v="36"/>
    <s v="PCOM - Precommissioning"/>
    <s v="I"/>
    <x v="0"/>
    <x v="1"/>
    <s v="Cable FROM PS5-04-PMC-0002 TO PS5-25-BI-1102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55"/>
    <s v="PS5-25-BI-1103-CC01"/>
    <m/>
    <m/>
    <m/>
    <m/>
    <x v="36"/>
    <s v="PCOM - Precommissioning"/>
    <s v="I"/>
    <x v="0"/>
    <x v="1"/>
    <s v="Cable FROM PS5-04-PMC-0001 TO PS5-25-BI-1103"/>
    <s v="EACOP"/>
    <s v="CPP AGI"/>
    <m/>
    <m/>
    <s v="4"/>
    <m/>
    <s v="4"/>
    <m/>
    <s v="PS5 - TZA - PS5 - Tanzania"/>
    <s v="PS5-91-01 - Multicore cables &amp; JB"/>
    <d v="2026-06-27T08:36:00"/>
    <s v="PS5-91-01"/>
    <x v="0"/>
    <x v="0"/>
    <s v="Smart Form PLACEHOLDER (DO NOT DELETE)"/>
    <s v="I"/>
    <x v="1"/>
    <s v="PS5 - Milestone A"/>
    <s v="TM-00614"/>
    <s v="Gawad, Mohamed"/>
    <m/>
  </r>
  <r>
    <s v="T-00614-0956"/>
    <s v="PS5-25-BI-1104-CC01"/>
    <m/>
    <m/>
    <m/>
    <m/>
    <x v="36"/>
    <s v="PCOM - Precommissioning"/>
    <s v="I"/>
    <x v="0"/>
    <x v="1"/>
    <s v="Cable FROM PS5-04-PMC-0002 TO PS5-25-BI-1104"/>
    <s v="EACOP"/>
    <s v="CPP AGI"/>
    <m/>
    <m/>
    <s v="4"/>
    <m/>
    <s v="4"/>
    <m/>
    <s v="PS5 - TZA - PS5 - Tanzania"/>
    <s v="PS5-91-01 - Multicore cables &amp; JB"/>
    <d v="2026-06-27T08:32:38"/>
    <s v="PS5-91-01"/>
    <x v="0"/>
    <x v="0"/>
    <s v="Smart Form PLACEHOLDER (DO NOT DELETE)"/>
    <s v="I"/>
    <x v="1"/>
    <s v="PS5 - Milestone A"/>
    <s v="TM-00614"/>
    <s v="Gawad, Mohamed"/>
    <m/>
  </r>
  <r>
    <s v="T-00614-0957"/>
    <s v="PS5-25-BI-1115-CC01"/>
    <m/>
    <m/>
    <m/>
    <m/>
    <x v="36"/>
    <s v="PCOM - Precommissioning"/>
    <s v="I"/>
    <x v="0"/>
    <x v="1"/>
    <s v="Cable FROM PS5-04-PMC-0002 TO PS5-25-BI-111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61"/>
    <s v="PS5-25-BI-1201-CC01"/>
    <m/>
    <m/>
    <m/>
    <m/>
    <x v="36"/>
    <s v="PCOM - Precommissioning"/>
    <s v="I"/>
    <x v="0"/>
    <x v="1"/>
    <s v="Cable FROM PS5-03-SFMC-0001 TO PS5-25-BI-120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65"/>
    <s v="PS5-25-BI-1301-CC01"/>
    <m/>
    <m/>
    <m/>
    <m/>
    <x v="36"/>
    <s v="PCOM - Precommissioning"/>
    <s v="I"/>
    <x v="0"/>
    <x v="1"/>
    <s v="Cable FROM PS5-03-SFMC-0002 TO PS5-25-BI-130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66"/>
    <s v="PS5-25-BI-1302-CC01"/>
    <m/>
    <m/>
    <m/>
    <m/>
    <x v="36"/>
    <s v="PCOM - Precommissioning"/>
    <s v="I"/>
    <x v="0"/>
    <x v="1"/>
    <s v="Cable FROM PS5-03-SFMC-0002 TO PS5-25-BI-1302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67"/>
    <s v="PS5-25-BI-1310-CC01"/>
    <m/>
    <m/>
    <m/>
    <m/>
    <x v="36"/>
    <s v="PCOM - Precommissioning"/>
    <s v="I"/>
    <x v="0"/>
    <x v="1"/>
    <s v="Cable FROM PS5-03-SFMC-0002 TO PS5-25-BI-1310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2"/>
    <s v="PS5-25-BI-2103-CC01"/>
    <m/>
    <m/>
    <m/>
    <m/>
    <x v="36"/>
    <s v="PCOM - Precommissioning"/>
    <s v="I"/>
    <x v="0"/>
    <x v="1"/>
    <s v="Cable FROM PS5-04-PMC-0006 TO PS5-25-BI-210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3"/>
    <s v="PS5-25-BI-2104-CC01"/>
    <m/>
    <m/>
    <m/>
    <m/>
    <x v="36"/>
    <s v="PCOM - Precommissioning"/>
    <s v="I"/>
    <x v="0"/>
    <x v="1"/>
    <s v="Cable FROM PS5-04-PMC-0003 TO PS5-25-BI-2104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4"/>
    <s v="PS5-25-BI-2105-CC01"/>
    <m/>
    <m/>
    <m/>
    <m/>
    <x v="36"/>
    <s v="PCOM - Precommissioning"/>
    <s v="I"/>
    <x v="0"/>
    <x v="1"/>
    <s v="Cable FROM PS5-04-PMC-0006 TO PS5-25-BI-210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5"/>
    <s v="PS5-25-BI-2106-CC01"/>
    <m/>
    <m/>
    <m/>
    <m/>
    <x v="36"/>
    <s v="PCOM - Precommissioning"/>
    <s v="I"/>
    <x v="0"/>
    <x v="1"/>
    <s v="Cable FROM PS5-04-PMC-0006 TO PS5-25-BI-2106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6"/>
    <s v="PS5-25-BI-2108-CC01"/>
    <m/>
    <m/>
    <m/>
    <m/>
    <x v="36"/>
    <s v="PCOM - Precommissioning"/>
    <s v="I"/>
    <x v="0"/>
    <x v="1"/>
    <s v="Cable FROM PS5-04-PMC-0004 TO PS5-25-BI-2108"/>
    <s v="EACOP"/>
    <s v="CPP AGI"/>
    <m/>
    <m/>
    <s v="4"/>
    <m/>
    <s v="4"/>
    <m/>
    <s v="PS5 - TZA - PS5 - Tanzania"/>
    <s v="PS5-91-01 - Multicore cables &amp; JB"/>
    <d v="2026-06-27T08:27:19"/>
    <s v="PS5-91-01"/>
    <x v="0"/>
    <x v="0"/>
    <s v="Smart Form PLACEHOLDER (DO NOT DELETE)"/>
    <s v="I"/>
    <x v="1"/>
    <s v="PS5 - Milestone A"/>
    <s v="TM-00614"/>
    <s v="Gawad, Mohamed"/>
    <m/>
  </r>
  <r>
    <s v="T-00614-0987"/>
    <s v="PS5-25-BI-2109-CC01"/>
    <m/>
    <m/>
    <m/>
    <m/>
    <x v="36"/>
    <s v="PCOM - Precommissioning"/>
    <s v="I"/>
    <x v="0"/>
    <x v="1"/>
    <s v="Cable FROM PS5-04-PMC-0004 TO PS5-25-BI-2109"/>
    <s v="EACOP"/>
    <s v="CPP AGI"/>
    <m/>
    <m/>
    <s v="4"/>
    <m/>
    <s v="4"/>
    <m/>
    <s v="PS5 - TZA - PS5 - Tanzania"/>
    <s v="PS5-91-01 - Multicore cables &amp; JB"/>
    <d v="2026-06-27T08:29:17"/>
    <s v="PS5-91-01"/>
    <x v="0"/>
    <x v="0"/>
    <s v="Smart Form PLACEHOLDER (DO NOT DELETE)"/>
    <s v="I"/>
    <x v="1"/>
    <s v="PS5 - Milestone A"/>
    <s v="TM-00614"/>
    <s v="Gawad, Mohamed"/>
    <m/>
  </r>
  <r>
    <s v="T-00614-0988"/>
    <s v="PS5-25-BI-2201-CC01"/>
    <m/>
    <m/>
    <m/>
    <m/>
    <x v="36"/>
    <s v="PCOM - Precommissioning"/>
    <s v="I"/>
    <x v="0"/>
    <x v="1"/>
    <s v="Cable FROM PS5-03-SFMC-0001 TO PS5-25-BI-220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89"/>
    <s v="PS5-25-BI-2203-CC01"/>
    <m/>
    <m/>
    <m/>
    <m/>
    <x v="36"/>
    <s v="PCOM - Precommissioning"/>
    <s v="I"/>
    <x v="0"/>
    <x v="1"/>
    <s v="Cable FROM PS5-03-SFMC-0001 TO PS5-25-BI-220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91"/>
    <s v="PS5-25-BI-2301-CC01"/>
    <m/>
    <m/>
    <m/>
    <m/>
    <x v="36"/>
    <s v="PCOM - Precommissioning"/>
    <s v="I"/>
    <x v="0"/>
    <x v="1"/>
    <s v="Cable FROM PS5-03-SFMC-0003 TO PS5-25-BI-230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92"/>
    <s v="PS5-25-BI-2302-CC01"/>
    <m/>
    <m/>
    <m/>
    <m/>
    <x v="36"/>
    <s v="PCOM - Precommissioning"/>
    <s v="I"/>
    <x v="0"/>
    <x v="1"/>
    <s v="Cable FROM PS5-03-SFMC-0004 TO PS5-25-BI-2302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93"/>
    <s v="PS5-25-BI-2305-CC01"/>
    <m/>
    <m/>
    <m/>
    <m/>
    <x v="36"/>
    <s v="PCOM - Precommissioning"/>
    <s v="I"/>
    <x v="0"/>
    <x v="1"/>
    <s v="Cable FROM PS5-03-SFMC-0003 TO PS5-25-BI-230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94"/>
    <s v="PS5-25-BI-2308-CC01"/>
    <m/>
    <m/>
    <m/>
    <m/>
    <x v="36"/>
    <s v="PCOM - Precommissioning"/>
    <s v="I"/>
    <x v="0"/>
    <x v="1"/>
    <s v="Cable FROM PS5-03-SFMC-0005 TO PS5-25-BI-2308"/>
    <s v="EACOP"/>
    <s v="CPP AGI"/>
    <m/>
    <m/>
    <s v="4"/>
    <m/>
    <s v="4"/>
    <m/>
    <s v="PS5 - TZA - PS5 - Tanzania"/>
    <s v="PS5-91-01 - Multicore cables &amp; JB"/>
    <d v="2026-06-27T08:26:16"/>
    <s v="PS5-91-01"/>
    <x v="0"/>
    <x v="0"/>
    <s v="Smart Form PLACEHOLDER (DO NOT DELETE)"/>
    <s v="I"/>
    <x v="1"/>
    <s v="PS5 - Milestone A"/>
    <s v="TM-00614"/>
    <s v="Gawad, Mohamed"/>
    <m/>
  </r>
  <r>
    <s v="T-00614-0995"/>
    <s v="PS5-25-BI-2309-CC01"/>
    <m/>
    <m/>
    <m/>
    <m/>
    <x v="36"/>
    <s v="PCOM - Precommissioning"/>
    <s v="I"/>
    <x v="0"/>
    <x v="1"/>
    <s v="Cable FROM PS5-03-SFMC-0005 TO PS5-25-BI-2309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0996"/>
    <s v="PS5-25-BI-2312-CC01"/>
    <m/>
    <m/>
    <m/>
    <m/>
    <x v="36"/>
    <s v="PCOM - Precommissioning"/>
    <s v="I"/>
    <x v="0"/>
    <x v="1"/>
    <s v="Cable FROM PS5-03-SFMC-0003 TO PS5-25-BI-2312"/>
    <s v="EACOP"/>
    <s v="CPP AGI"/>
    <m/>
    <m/>
    <s v="4"/>
    <m/>
    <s v="4"/>
    <m/>
    <s v="PS5 - TZA - PS5 - Tanzania"/>
    <s v="PS5-91-01 - Multicore cables &amp; JB"/>
    <d v="2026-06-27T08:31:31"/>
    <s v="PS5-91-01"/>
    <x v="0"/>
    <x v="0"/>
    <s v="Smart Form PLACEHOLDER (DO NOT DELETE)"/>
    <s v="I"/>
    <x v="1"/>
    <s v="PS5 - Milestone A"/>
    <s v="TM-00614"/>
    <s v="Gawad, Mohamed"/>
    <m/>
  </r>
  <r>
    <s v="T-00614-0997"/>
    <s v="PS5-25-BI-2315-CC01"/>
    <m/>
    <m/>
    <m/>
    <m/>
    <x v="36"/>
    <s v="PCOM - Precommissioning"/>
    <s v="I"/>
    <x v="0"/>
    <x v="1"/>
    <s v="Cable FROM PS5-03-SFMC-0003 TO PS5-25-BI-2315"/>
    <s v="EACOP"/>
    <s v="CPP AGI"/>
    <m/>
    <m/>
    <s v="4"/>
    <m/>
    <s v="4"/>
    <m/>
    <s v="PS5 - TZA - PS5 - Tanzania"/>
    <s v="PS5-91-01 - Multicore cables &amp; JB"/>
    <d v="2026-06-27T08:28:20"/>
    <s v="PS5-91-01"/>
    <x v="0"/>
    <x v="0"/>
    <s v="Smart Form PLACEHOLDER (DO NOT DELETE)"/>
    <s v="I"/>
    <x v="1"/>
    <s v="PS5 - Milestone A"/>
    <s v="TM-00614"/>
    <s v="Gawad, Mohamed"/>
    <m/>
  </r>
  <r>
    <s v="T-00614-0998"/>
    <s v="PS5-25-BI-2316-CC01"/>
    <m/>
    <m/>
    <m/>
    <m/>
    <x v="36"/>
    <s v="PCOM - Precommissioning"/>
    <s v="I"/>
    <x v="0"/>
    <x v="1"/>
    <s v="Cable FROM PS5-03-SFMC-0006 TO PS5-25-BI-2316"/>
    <s v="EACOP"/>
    <s v="CPP AGI"/>
    <m/>
    <m/>
    <s v="4"/>
    <m/>
    <s v="4"/>
    <m/>
    <s v="PS5 - TZA - PS5 - Tanzania"/>
    <s v="PS5-91-01 - Multicore cables &amp; JB"/>
    <d v="2026-06-27T08:30:23"/>
    <s v="PS5-91-01"/>
    <x v="0"/>
    <x v="0"/>
    <s v="Smart Form PLACEHOLDER (DO NOT DELETE)"/>
    <s v="I"/>
    <x v="1"/>
    <s v="PS5 - Milestone A"/>
    <s v="TM-00614"/>
    <s v="Gawad, Mohamed"/>
    <m/>
  </r>
  <r>
    <s v="T-00614-1014"/>
    <s v="PS5-28-BI-1105-CC01"/>
    <m/>
    <m/>
    <m/>
    <m/>
    <x v="36"/>
    <s v="PCOM - Precommissioning"/>
    <s v="I"/>
    <x v="0"/>
    <x v="1"/>
    <s v="Cable FROM PS5-04-PMC-0001 TO PS5-28-BI-110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17"/>
    <s v="PS5-28-BI-1303-CC01"/>
    <m/>
    <m/>
    <m/>
    <m/>
    <x v="36"/>
    <s v="PCOM - Precommissioning"/>
    <s v="I"/>
    <x v="0"/>
    <x v="1"/>
    <s v="Cable FROM PS5-03-SFMC-0001 TO PS5-28-BI-130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18"/>
    <s v="PS5-28-BI-1307-CC01"/>
    <m/>
    <m/>
    <m/>
    <m/>
    <x v="36"/>
    <s v="PCOM - Precommissioning"/>
    <s v="I"/>
    <x v="0"/>
    <x v="1"/>
    <s v="Cable FROM PS5-03-SFMC-0001 TO PS5-28-BI-1307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23"/>
    <s v="PS5-50-BI-1107-CC01"/>
    <m/>
    <m/>
    <m/>
    <m/>
    <x v="36"/>
    <s v="PCOM - Precommissioning"/>
    <s v="I"/>
    <x v="0"/>
    <x v="1"/>
    <s v="Cable FROM PS5-04-PMC-0002 TO PS5-50-BI-1107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30"/>
    <s v="PS5-53-BI-1108-CC01"/>
    <m/>
    <m/>
    <m/>
    <m/>
    <x v="36"/>
    <s v="PCOM - Precommissioning"/>
    <s v="I"/>
    <x v="0"/>
    <x v="1"/>
    <s v="Cable FROM PS5-04-PMC-0002 TO PS5-53-BI-1108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34"/>
    <s v="PS5-60-IE-0003A-CC21"/>
    <m/>
    <m/>
    <m/>
    <m/>
    <x v="36"/>
    <s v="PCOM - Precommissioning"/>
    <s v="I"/>
    <x v="0"/>
    <x v="1"/>
    <s v="Cable FROM PS5-04-PMC-0004 TO PS5-60-IE-0003A"/>
    <s v="EACOP"/>
    <s v="CPP AGI"/>
    <m/>
    <m/>
    <s v="4"/>
    <m/>
    <s v="4"/>
    <m/>
    <s v="PS5 - TZA - PS5 - Tanzania"/>
    <s v="PS5-60-02 - Power Gen Package A (UCP)"/>
    <m/>
    <s v="PS5-60-02"/>
    <x v="0"/>
    <x v="0"/>
    <m/>
    <s v="I"/>
    <x v="0"/>
    <s v="PS5 - Milestone B"/>
    <s v="TM-00614"/>
    <m/>
    <m/>
  </r>
  <r>
    <s v="T-00614-1035"/>
    <s v="PS5-60-IE-0003A-CC22"/>
    <m/>
    <m/>
    <m/>
    <m/>
    <x v="36"/>
    <s v="PCOM - Precommissioning"/>
    <s v="I"/>
    <x v="0"/>
    <x v="1"/>
    <s v="Cable FROM PS5-04-PMC-0005 TO PS5-60-IE-0003A"/>
    <s v="EACOP"/>
    <s v="CPP AGI"/>
    <m/>
    <m/>
    <s v="4"/>
    <m/>
    <s v="4"/>
    <m/>
    <s v="PS5 - TZA - PS5 - Tanzania"/>
    <s v="PS5-60-02 - Power Gen Package A (UCP)"/>
    <m/>
    <s v="PS5-60-02"/>
    <x v="0"/>
    <x v="0"/>
    <m/>
    <s v="I"/>
    <x v="0"/>
    <s v="PS5 - Milestone B"/>
    <s v="TM-00614"/>
    <m/>
    <m/>
  </r>
  <r>
    <s v="T-00614-1036"/>
    <s v="PS5-60-IE-0003A-CC23"/>
    <m/>
    <m/>
    <m/>
    <m/>
    <x v="36"/>
    <s v="PCOM - Precommissioning"/>
    <s v="I"/>
    <x v="0"/>
    <x v="1"/>
    <s v="Cable FROM PS5-03-SFMC-0003 TO PS5-60-IE-0003A"/>
    <s v="EACOP"/>
    <s v="CPP AGI"/>
    <m/>
    <m/>
    <s v="4"/>
    <m/>
    <s v="4"/>
    <m/>
    <s v="PS5 - TZA - PS5 - Tanzania"/>
    <s v="PS5-60-02 - Power Gen Package A (UCP)"/>
    <m/>
    <s v="PS5-60-02"/>
    <x v="0"/>
    <x v="0"/>
    <m/>
    <s v="I"/>
    <x v="0"/>
    <s v="PS5 - Milestone B"/>
    <s v="TM-00614"/>
    <m/>
    <m/>
  </r>
  <r>
    <s v="T-00614-1037"/>
    <s v="PS5-60-IE-0003A-CC24"/>
    <m/>
    <m/>
    <m/>
    <m/>
    <x v="36"/>
    <s v="PCOM - Precommissioning"/>
    <s v="I"/>
    <x v="0"/>
    <x v="1"/>
    <s v="Cable FROM PS5-03-SFMC-0005 TO PS5-60-IE-0003A"/>
    <s v="EACOP"/>
    <s v="CPP AGI"/>
    <m/>
    <m/>
    <s v="4"/>
    <m/>
    <s v="4"/>
    <m/>
    <s v="PS5 - TZA - PS5 - Tanzania"/>
    <s v="PS5-60-02 - Power Gen Package A (UCP)"/>
    <m/>
    <s v="PS5-60-02"/>
    <x v="0"/>
    <x v="0"/>
    <m/>
    <s v="I"/>
    <x v="0"/>
    <s v="PS5 - Milestone B"/>
    <s v="TM-00614"/>
    <m/>
    <m/>
  </r>
  <r>
    <s v="T-00614-1038"/>
    <s v="PS5-60-IE-0003B-CC21"/>
    <m/>
    <m/>
    <m/>
    <m/>
    <x v="36"/>
    <s v="PCOM - Precommissioning"/>
    <s v="I"/>
    <x v="0"/>
    <x v="1"/>
    <s v="Cable FROM PS5-04-PMC-0004 TO PS5-60-IE-0003B"/>
    <s v="EACOP"/>
    <s v="CPP AGI"/>
    <m/>
    <m/>
    <s v="4"/>
    <m/>
    <s v="4"/>
    <m/>
    <s v="PS5 - TZA - PS5 - Tanzania"/>
    <s v="PS5-60-05 - Power Gen Package B (UCP)"/>
    <m/>
    <s v="PS5-60-05"/>
    <x v="0"/>
    <x v="0"/>
    <m/>
    <s v="I"/>
    <x v="0"/>
    <s v="PS5 - Milestone B"/>
    <s v="TM-00614"/>
    <m/>
    <m/>
  </r>
  <r>
    <s v="T-00614-1039"/>
    <s v="PS5-60-IE-0003B-CC22"/>
    <m/>
    <m/>
    <m/>
    <m/>
    <x v="36"/>
    <s v="PCOM - Precommissioning"/>
    <s v="I"/>
    <x v="0"/>
    <x v="1"/>
    <s v="Cable FROM PS5-04-PMC-0005 TO PS5-60-IE-0003B"/>
    <s v="EACOP"/>
    <s v="CPP AGI"/>
    <m/>
    <m/>
    <s v="4"/>
    <m/>
    <s v="4"/>
    <m/>
    <s v="PS5 - TZA - PS5 - Tanzania"/>
    <s v="PS5-60-05 - Power Gen Package B (UCP)"/>
    <m/>
    <s v="PS5-60-05"/>
    <x v="0"/>
    <x v="0"/>
    <m/>
    <s v="I"/>
    <x v="0"/>
    <s v="PS5 - Milestone B"/>
    <s v="TM-00614"/>
    <m/>
    <m/>
  </r>
  <r>
    <s v="T-00614-1040"/>
    <s v="PS5-60-IE-0003B-CC23"/>
    <m/>
    <m/>
    <m/>
    <m/>
    <x v="36"/>
    <s v="PCOM - Precommissioning"/>
    <s v="I"/>
    <x v="0"/>
    <x v="1"/>
    <s v="Cable FROM PS5-03-SFMC-0003 TO PS5-60-IE-0003B"/>
    <s v="EACOP"/>
    <s v="CPP AGI"/>
    <m/>
    <m/>
    <s v="4"/>
    <m/>
    <s v="4"/>
    <m/>
    <s v="PS5 - TZA - PS5 - Tanzania"/>
    <s v="PS5-60-05 - Power Gen Package B (UCP)"/>
    <m/>
    <s v="PS5-60-05"/>
    <x v="0"/>
    <x v="0"/>
    <m/>
    <s v="I"/>
    <x v="0"/>
    <s v="PS5 - Milestone B"/>
    <s v="TM-00614"/>
    <m/>
    <m/>
  </r>
  <r>
    <s v="T-00614-1041"/>
    <s v="PS5-60-IE-0003B-CC24"/>
    <m/>
    <m/>
    <m/>
    <m/>
    <x v="36"/>
    <s v="PCOM - Precommissioning"/>
    <s v="I"/>
    <x v="0"/>
    <x v="1"/>
    <s v="Cable FROM PS5-03-SFMC-0005 TO PS5-60-IE-0003B"/>
    <s v="EACOP"/>
    <s v="CPP AGI"/>
    <m/>
    <m/>
    <s v="4"/>
    <m/>
    <s v="4"/>
    <m/>
    <s v="PS5 - TZA - PS5 - Tanzania"/>
    <s v="PS5-60-05 - Power Gen Package B (UCP)"/>
    <m/>
    <s v="PS5-60-05"/>
    <x v="0"/>
    <x v="0"/>
    <m/>
    <s v="I"/>
    <x v="0"/>
    <s v="PS5 - Milestone B"/>
    <s v="TM-00614"/>
    <m/>
    <m/>
  </r>
  <r>
    <s v="T-00614-1042"/>
    <s v="PS5-60-IE-0003C-CC21"/>
    <m/>
    <m/>
    <m/>
    <m/>
    <x v="36"/>
    <s v="PCOM - Precommissioning"/>
    <s v="I"/>
    <x v="0"/>
    <x v="1"/>
    <s v="Cable FROM PS5-04-PMC-0004 TO PS5-60-IE-0003C"/>
    <s v="EACOP"/>
    <s v="CPP AGI"/>
    <m/>
    <m/>
    <s v="4"/>
    <m/>
    <s v="4"/>
    <m/>
    <s v="PS5 - TZA - PS5 - Tanzania"/>
    <s v="PS5-60-08 - Power Gen Package C (UCP)"/>
    <m/>
    <s v="PS5-60-08"/>
    <x v="1"/>
    <x v="0"/>
    <m/>
    <s v="I"/>
    <x v="0"/>
    <s v="PS5 - Milestone D"/>
    <s v="TM-00614"/>
    <m/>
    <m/>
  </r>
  <r>
    <s v="T-00614-1043"/>
    <s v="PS5-60-IE-0003C-CC22"/>
    <m/>
    <m/>
    <m/>
    <m/>
    <x v="36"/>
    <s v="PCOM - Precommissioning"/>
    <s v="I"/>
    <x v="0"/>
    <x v="1"/>
    <s v="Cable FROM PS5-04-PMC-0005 TO PS5-60-IE-0003C"/>
    <s v="EACOP"/>
    <s v="CPP AGI"/>
    <m/>
    <m/>
    <s v="4"/>
    <m/>
    <s v="4"/>
    <m/>
    <s v="PS5 - TZA - PS5 - Tanzania"/>
    <s v="PS5-60-08 - Power Gen Package C (UCP)"/>
    <m/>
    <s v="PS5-60-08"/>
    <x v="1"/>
    <x v="0"/>
    <m/>
    <s v="I"/>
    <x v="0"/>
    <s v="PS5 - Milestone D"/>
    <s v="TM-00614"/>
    <m/>
    <m/>
  </r>
  <r>
    <s v="T-00614-1044"/>
    <s v="PS5-60-IE-0003C-CC23"/>
    <m/>
    <m/>
    <m/>
    <m/>
    <x v="36"/>
    <s v="PCOM - Precommissioning"/>
    <s v="I"/>
    <x v="0"/>
    <x v="1"/>
    <s v="Cable FROM PS5-03-SFMC-0003 TO PS5-60-IE-0003C"/>
    <s v="EACOP"/>
    <s v="CPP AGI"/>
    <m/>
    <m/>
    <s v="4"/>
    <m/>
    <s v="4"/>
    <m/>
    <s v="PS5 - TZA - PS5 - Tanzania"/>
    <s v="PS5-60-08 - Power Gen Package C (UCP)"/>
    <m/>
    <s v="PS5-60-08"/>
    <x v="1"/>
    <x v="0"/>
    <m/>
    <s v="I"/>
    <x v="0"/>
    <s v="PS5 - Milestone D"/>
    <s v="TM-00614"/>
    <m/>
    <m/>
  </r>
  <r>
    <s v="T-00614-1045"/>
    <s v="PS5-60-IE-0003C-CC24"/>
    <m/>
    <m/>
    <m/>
    <m/>
    <x v="36"/>
    <s v="PCOM - Precommissioning"/>
    <s v="I"/>
    <x v="0"/>
    <x v="1"/>
    <s v="Cable FROM PS5-03-SFMC-0006 TO PS5-60-IE-0003C"/>
    <s v="EACOP"/>
    <s v="CPP AGI"/>
    <m/>
    <m/>
    <s v="4"/>
    <m/>
    <s v="4"/>
    <m/>
    <s v="PS5 - TZA - PS5 - Tanzania"/>
    <s v="PS5-60-08 - Power Gen Package C (UCP)"/>
    <m/>
    <s v="PS5-60-08"/>
    <x v="1"/>
    <x v="0"/>
    <m/>
    <s v="I"/>
    <x v="0"/>
    <s v="PS5 - Milestone D"/>
    <s v="TM-00614"/>
    <m/>
    <m/>
  </r>
  <r>
    <s v="T-00614-1046"/>
    <s v="PS5-60-IE-0003D-CC21"/>
    <m/>
    <m/>
    <m/>
    <m/>
    <x v="36"/>
    <s v="PCOM - Precommissioning"/>
    <s v="I"/>
    <x v="0"/>
    <x v="1"/>
    <s v="Cable FROM PS5-04-PMC-0004 TO PS5-60-IE-0003D"/>
    <s v="EACOP"/>
    <s v="CPP AGI"/>
    <m/>
    <m/>
    <s v="4"/>
    <m/>
    <s v="4"/>
    <m/>
    <s v="PS5 - TZA - PS5 - Tanzania"/>
    <s v="PS5-60-11 - Power Gen Package D (UCP)"/>
    <m/>
    <s v="PS5-60-11"/>
    <x v="1"/>
    <x v="0"/>
    <m/>
    <s v="I"/>
    <x v="0"/>
    <s v="PS5 - Milestone D"/>
    <s v="TM-00614"/>
    <m/>
    <m/>
  </r>
  <r>
    <s v="T-00614-1047"/>
    <s v="PS5-60-IE-0003D-CC22"/>
    <m/>
    <m/>
    <m/>
    <m/>
    <x v="36"/>
    <s v="PCOM - Precommissioning"/>
    <s v="I"/>
    <x v="0"/>
    <x v="1"/>
    <s v="Cable FROM PS5-04-PMC-0005 TO PS5-60-IE-0003D"/>
    <s v="EACOP"/>
    <s v="CPP AGI"/>
    <m/>
    <m/>
    <s v="4"/>
    <m/>
    <s v="4"/>
    <m/>
    <s v="PS5 - TZA - PS5 - Tanzania"/>
    <s v="PS5-60-11 - Power Gen Package D (UCP)"/>
    <m/>
    <s v="PS5-60-11"/>
    <x v="1"/>
    <x v="0"/>
    <m/>
    <s v="I"/>
    <x v="0"/>
    <s v="PS5 - Milestone D"/>
    <s v="TM-00614"/>
    <m/>
    <m/>
  </r>
  <r>
    <s v="T-00614-1048"/>
    <s v="PS5-60-IE-0003D-CC23"/>
    <m/>
    <m/>
    <m/>
    <m/>
    <x v="36"/>
    <s v="PCOM - Precommissioning"/>
    <s v="I"/>
    <x v="0"/>
    <x v="1"/>
    <s v="Cable FROM PS5-03-SFMC-0003 TO PS5-60-IE-0003D"/>
    <s v="EACOP"/>
    <s v="CPP AGI"/>
    <m/>
    <m/>
    <s v="4"/>
    <m/>
    <s v="4"/>
    <m/>
    <s v="PS5 - TZA - PS5 - Tanzania"/>
    <s v="PS5-60-11 - Power Gen Package D (UCP)"/>
    <m/>
    <s v="PS5-60-11"/>
    <x v="1"/>
    <x v="0"/>
    <m/>
    <s v="I"/>
    <x v="0"/>
    <s v="PS5 - Milestone D"/>
    <s v="TM-00614"/>
    <m/>
    <m/>
  </r>
  <r>
    <s v="T-00614-1049"/>
    <s v="PS5-60-IE-0003D-CC24"/>
    <m/>
    <m/>
    <m/>
    <m/>
    <x v="36"/>
    <s v="PCOM - Precommissioning"/>
    <s v="I"/>
    <x v="0"/>
    <x v="1"/>
    <s v="Cable FROM PS5-03-SFMC-0005 TO PS5-60-IE-0003D"/>
    <s v="EACOP"/>
    <s v="CPP AGI"/>
    <m/>
    <m/>
    <s v="4"/>
    <m/>
    <s v="4"/>
    <m/>
    <s v="PS5 - TZA - PS5 - Tanzania"/>
    <s v="PS5-60-11 - Power Gen Package D (UCP)"/>
    <m/>
    <s v="PS5-60-11"/>
    <x v="1"/>
    <x v="0"/>
    <m/>
    <s v="I"/>
    <x v="0"/>
    <s v="PS5 - Milestone D"/>
    <s v="TM-00614"/>
    <m/>
    <m/>
  </r>
  <r>
    <s v="T-00614-1062"/>
    <s v="PS5-60-IE-0004-CC08"/>
    <m/>
    <m/>
    <m/>
    <m/>
    <x v="36"/>
    <s v="PCOM - Precommissioning"/>
    <s v="I"/>
    <x v="0"/>
    <x v="1"/>
    <s v="Cable FROM PS5-04-PMC-0004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m/>
    <s v="I"/>
    <x v="0"/>
    <s v="PS5 - Milestone B"/>
    <s v="TM-00614"/>
    <m/>
    <m/>
  </r>
  <r>
    <s v="T-00614-1063"/>
    <s v="PS5-60-IE-0004-CC11"/>
    <m/>
    <m/>
    <m/>
    <m/>
    <x v="36"/>
    <s v="PCOM - Precommissioning"/>
    <s v="I"/>
    <x v="0"/>
    <x v="1"/>
    <s v="Cable FROM PS5-03-SFMC-0004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m/>
    <s v="I"/>
    <x v="0"/>
    <s v="PS5 - Milestone B"/>
    <s v="TM-00614"/>
    <m/>
    <m/>
  </r>
  <r>
    <s v="T-00614-1064"/>
    <s v="PS5-60-IE-0004-CC12"/>
    <m/>
    <m/>
    <m/>
    <m/>
    <x v="36"/>
    <s v="PCOM - Precommissioning"/>
    <s v="I"/>
    <x v="0"/>
    <x v="1"/>
    <s v="Cable FROM PS5-03-SFMC-0005 TO PS5-60-IE-0004"/>
    <s v="EACOP"/>
    <s v="CPP AGI"/>
    <m/>
    <m/>
    <s v="4"/>
    <m/>
    <s v="4"/>
    <m/>
    <s v="PS5 - TZA - PS5 - Tanzania"/>
    <s v="PS5-60-22 - Power Gen Master UCP"/>
    <m/>
    <s v="PS5-60-22"/>
    <x v="0"/>
    <x v="0"/>
    <m/>
    <s v="I"/>
    <x v="0"/>
    <s v="PS5 - Milestone B"/>
    <s v="TM-00614"/>
    <m/>
    <m/>
  </r>
  <r>
    <s v="T-00614-1065"/>
    <s v="PS5-60-SEA-0001-CC18"/>
    <m/>
    <m/>
    <m/>
    <m/>
    <x v="36"/>
    <s v="PCOM - Precommissioning"/>
    <s v="I"/>
    <x v="0"/>
    <x v="1"/>
    <s v="Cable FROM PS5-03-SFMC-0009 TO PS5-60-SEA-0001"/>
    <s v="EACOP"/>
    <s v="CPP AGI"/>
    <m/>
    <m/>
    <s v="4"/>
    <m/>
    <s v="4"/>
    <m/>
    <s v="PS5 - TZA - PS5 - Tanzania"/>
    <s v="PS5-03-14 - FZ-14 - Power Generation Building - Switchgear Room"/>
    <m/>
    <s v="PS5-03-14"/>
    <x v="1"/>
    <x v="0"/>
    <m/>
    <s v="I"/>
    <x v="0"/>
    <s v="PS5 - Milestone E"/>
    <s v="TM-00614"/>
    <m/>
    <m/>
  </r>
  <r>
    <s v="T-00614-1078"/>
    <s v="PS5-71-BI-1109-CC01"/>
    <m/>
    <m/>
    <m/>
    <m/>
    <x v="36"/>
    <s v="PCOM - Precommissioning"/>
    <s v="I"/>
    <x v="0"/>
    <x v="1"/>
    <s v="Cable FROM PS5-04-PMC-0002 TO PS5-71-BI-1109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79"/>
    <s v="PS5-71-BI-1110-CC01"/>
    <m/>
    <m/>
    <m/>
    <m/>
    <x v="36"/>
    <s v="PCOM - Precommissioning"/>
    <s v="I"/>
    <x v="0"/>
    <x v="1"/>
    <s v="Cable FROM PS5-04-PMC-0001 TO PS5-71-BI-1110"/>
    <s v="EACOP"/>
    <s v="CPP AGI"/>
    <m/>
    <m/>
    <s v="4"/>
    <m/>
    <s v="4"/>
    <m/>
    <s v="PS5 - TZA - PS5 - Tanzania"/>
    <s v="PS5-91-01 - Multicore cables &amp; JB"/>
    <d v="2026-06-27T08:21:37"/>
    <s v="PS5-91-01"/>
    <x v="0"/>
    <x v="0"/>
    <s v="Smart Form PLACEHOLDER (DO NOT DELETE)"/>
    <s v="I"/>
    <x v="1"/>
    <s v="PS5 - Milestone A"/>
    <s v="TM-00614"/>
    <s v="Gawad, Mohamed"/>
    <m/>
  </r>
  <r>
    <s v="T-00614-1080"/>
    <s v="PS5-71-BI-1111-CC01"/>
    <m/>
    <m/>
    <m/>
    <m/>
    <x v="36"/>
    <s v="PCOM - Precommissioning"/>
    <s v="I"/>
    <x v="0"/>
    <x v="1"/>
    <s v="Cable FROM PS5-04-PMC-0002 TO PS5-71-BI-111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82"/>
    <s v="PS5-71-BI-1113-CC01"/>
    <m/>
    <m/>
    <m/>
    <m/>
    <x v="36"/>
    <s v="PCOM - Precommissioning"/>
    <s v="I"/>
    <x v="0"/>
    <x v="1"/>
    <s v="Cable FROM PS5-04-PMC-0002 TO PS5-71-BI-111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83"/>
    <s v="PS5-71-BI-1116-CC01"/>
    <m/>
    <m/>
    <m/>
    <m/>
    <x v="36"/>
    <s v="PCOM - Precommissioning"/>
    <s v="I"/>
    <x v="0"/>
    <x v="1"/>
    <s v="Cable FROM PS5-04-PMC-0002 TO PS5-71-BI-1116"/>
    <s v="EACOP"/>
    <s v="CPP AGI"/>
    <m/>
    <m/>
    <s v="4"/>
    <m/>
    <s v="4"/>
    <m/>
    <s v="PS5 - TZA - PS5 - Tanzania"/>
    <s v="PS5-91-01 - Multicore cables &amp; JB"/>
    <d v="2026-06-27T08:23:15"/>
    <s v="PS5-91-01"/>
    <x v="0"/>
    <x v="0"/>
    <s v="Smart Form PLACEHOLDER (DO NOT DELETE)"/>
    <s v="I"/>
    <x v="1"/>
    <s v="PS5 - Milestone A"/>
    <s v="TM-00614"/>
    <s v="Gawad, Mohamed"/>
    <m/>
  </r>
  <r>
    <s v="T-00614-1084"/>
    <s v="PS5-71-BI-1117-CC01"/>
    <m/>
    <m/>
    <m/>
    <m/>
    <x v="36"/>
    <s v="PCOM - Precommissioning"/>
    <s v="I"/>
    <x v="0"/>
    <x v="1"/>
    <s v="Cable FROM PS5-04-PMC-0001 TO PS5-71-BI-1117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85"/>
    <s v="PS5-71-BI-2101-CC01"/>
    <m/>
    <m/>
    <m/>
    <m/>
    <x v="36"/>
    <s v="PCOM - Precommissioning"/>
    <s v="I"/>
    <x v="0"/>
    <x v="1"/>
    <s v="Cable FROM PS5-04-PMC-0004 TO PS5-71-BI-2101"/>
    <s v="EACOP"/>
    <s v="CPP AGI"/>
    <m/>
    <m/>
    <s v="4"/>
    <m/>
    <s v="4"/>
    <m/>
    <s v="PS5 - TZA - PS5 - Tanzania"/>
    <s v="PS5-91-01 - Multicore cables &amp; JB"/>
    <d v="2026-07-04T11:27:41"/>
    <s v="PS5-91-01"/>
    <x v="0"/>
    <x v="0"/>
    <s v="Smart Form PLACEHOLDER (DO NOT DELETE)"/>
    <s v="I"/>
    <x v="1"/>
    <s v="PS5 - Milestone A"/>
    <s v="TM-00614"/>
    <s v="Gawad, Mohamed"/>
    <m/>
  </r>
  <r>
    <s v="T-00614-1086"/>
    <s v="PS5-71-BI-1305-CC01"/>
    <m/>
    <m/>
    <m/>
    <m/>
    <x v="36"/>
    <s v="PCOM - Precommissioning"/>
    <s v="I"/>
    <x v="0"/>
    <x v="1"/>
    <s v="Cable FROM PS5-03-SFMC-0002 TO PS5-71-BI-130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87"/>
    <s v="PS5-71-BI-1306-CC01"/>
    <m/>
    <m/>
    <m/>
    <m/>
    <x v="36"/>
    <s v="PCOM - Precommissioning"/>
    <s v="I"/>
    <x v="0"/>
    <x v="1"/>
    <s v="Cable FROM PS5-03-SFMC-0002 TO PS5-71-BI-1306"/>
    <s v="EACOP"/>
    <s v="CPP AGI"/>
    <m/>
    <m/>
    <s v="4"/>
    <m/>
    <s v="4"/>
    <m/>
    <s v="PS5 - TZA - PS5 - Tanzania"/>
    <s v="PS5-91-01 - Multicore cables &amp; JB"/>
    <d v="2026-06-27T08:24:54"/>
    <s v="PS5-91-01"/>
    <x v="0"/>
    <x v="0"/>
    <s v="Smart Form PLACEHOLDER (DO NOT DELETE)"/>
    <s v="I"/>
    <x v="1"/>
    <s v="PS5 - Milestone A"/>
    <s v="TM-00614"/>
    <s v="Gawad, Mohamed"/>
    <m/>
  </r>
  <r>
    <s v="T-00614-1089"/>
    <s v="PS5-71-BI-2107-CC01"/>
    <m/>
    <m/>
    <m/>
    <m/>
    <x v="36"/>
    <s v="PCOM - Precommissioning"/>
    <s v="I"/>
    <x v="0"/>
    <x v="1"/>
    <s v="Cable FROM PS5-04-PMC-0006 TO PS5-71-BI-2107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0"/>
    <s v="PS5-71-BI-2113-CC01"/>
    <m/>
    <m/>
    <m/>
    <m/>
    <x v="36"/>
    <s v="PCOM - Precommissioning"/>
    <s v="I"/>
    <x v="0"/>
    <x v="1"/>
    <s v="Cable FROM PS5-04-PMC-0003 TO PS5-71-BI-211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1"/>
    <s v="PS5-71-BI-2114-CC01"/>
    <m/>
    <m/>
    <m/>
    <m/>
    <x v="36"/>
    <s v="PCOM - Precommissioning"/>
    <s v="I"/>
    <x v="0"/>
    <x v="1"/>
    <s v="Cable FROM PS5-04-PMC-0006 TO PS5-71-BI-2114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2"/>
    <s v="PS5-71-BI-2115-CC01"/>
    <m/>
    <m/>
    <m/>
    <m/>
    <x v="36"/>
    <s v="PCOM - Precommissioning"/>
    <s v="I"/>
    <x v="0"/>
    <x v="1"/>
    <s v="Cable FROM PS5-04-PMC-0004 TO PS5-71-BI-211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3"/>
    <s v="PS5-71-BI-2116-CC01"/>
    <m/>
    <m/>
    <m/>
    <m/>
    <x v="36"/>
    <s v="PCOM - Precommissioning"/>
    <s v="I"/>
    <x v="0"/>
    <x v="1"/>
    <s v="Cable FROM PS5-04-PMC-0003 TO PS5-71-BI-2116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4"/>
    <s v="PS5-71-BI-2118-CC01"/>
    <m/>
    <m/>
    <m/>
    <m/>
    <x v="36"/>
    <s v="PCOM - Precommissioning"/>
    <s v="I"/>
    <x v="0"/>
    <x v="1"/>
    <s v="Cable FROM PS5-04-PMC-0005 TO PS5-71-BI-2118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5"/>
    <s v="PS5-71-BI-2119-CC01"/>
    <m/>
    <m/>
    <m/>
    <m/>
    <x v="36"/>
    <s v="PCOM - Precommissioning"/>
    <s v="I"/>
    <x v="0"/>
    <x v="1"/>
    <s v="Cable FROM PS5-04-PMC-0005 TO PS5-71-BI-2119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6"/>
    <s v="PS5-71-BI-2120-CC01"/>
    <m/>
    <m/>
    <m/>
    <m/>
    <x v="36"/>
    <s v="PCOM - Precommissioning"/>
    <s v="I"/>
    <x v="0"/>
    <x v="1"/>
    <s v="Cable FROM PS5-04-PMC-0005 TO PS5-71-BI-2120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7"/>
    <s v="PS5-71-BI-2121-CC01"/>
    <m/>
    <m/>
    <m/>
    <m/>
    <x v="36"/>
    <s v="PCOM - Precommissioning"/>
    <s v="I"/>
    <x v="0"/>
    <x v="1"/>
    <s v="Cable FROM PS5-04-PMC-0005 TO PS5-71-BI-2121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8"/>
    <s v="PS5-71-BI-2122-CC01"/>
    <m/>
    <m/>
    <m/>
    <m/>
    <x v="36"/>
    <s v="PCOM - Precommissioning"/>
    <s v="I"/>
    <x v="0"/>
    <x v="1"/>
    <s v="Cable FROM PS5-04-PMC-0004 TO PS5-71-BI-2122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099"/>
    <s v="PS5-71-BI-2123-CC01"/>
    <m/>
    <m/>
    <m/>
    <m/>
    <x v="36"/>
    <s v="PCOM - Precommissioning"/>
    <s v="I"/>
    <x v="0"/>
    <x v="1"/>
    <s v="Cable FROM PS5-04-PMC-0006 TO PS5-71-BI-2123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100"/>
    <s v="PS5-71-BI-2124-CC01"/>
    <m/>
    <m/>
    <m/>
    <m/>
    <x v="36"/>
    <s v="PCOM - Precommissioning"/>
    <s v="I"/>
    <x v="0"/>
    <x v="1"/>
    <s v="Cable FROM PS5-04-PMC-0006 TO PS5-71-BI-2124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101"/>
    <s v="PS5-71-BI-2125-CC01"/>
    <m/>
    <m/>
    <m/>
    <m/>
    <x v="36"/>
    <s v="PCOM - Precommissioning"/>
    <s v="I"/>
    <x v="0"/>
    <x v="1"/>
    <s v="Cable FROM PS5-04-PMC-0006 TO PS5-71-BI-2125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102"/>
    <s v="PS5-71-BI-2306-CC01"/>
    <m/>
    <m/>
    <m/>
    <m/>
    <x v="36"/>
    <s v="PCOM - Precommissioning"/>
    <s v="I"/>
    <x v="0"/>
    <x v="1"/>
    <s v="Cable FROM PS5-03-SFMC-0004 TO PS5-71-BI-2306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104"/>
    <s v="PS5-71-BI-2310-CC01"/>
    <m/>
    <m/>
    <m/>
    <m/>
    <x v="36"/>
    <s v="PCOM - Precommissioning"/>
    <s v="I"/>
    <x v="0"/>
    <x v="1"/>
    <s v="Cable FROM PS5-03-SFMC-0006 TO PS5-71-BI-2310"/>
    <s v="EACOP"/>
    <s v="CPP AGI"/>
    <m/>
    <m/>
    <s v="4"/>
    <m/>
    <s v="4"/>
    <m/>
    <s v="PS5 - TZA - PS5 - Tanzania"/>
    <s v="PS5-91-01 - Multicore cables &amp; JB"/>
    <m/>
    <s v="PS5-91-01"/>
    <x v="0"/>
    <x v="0"/>
    <m/>
    <s v="I"/>
    <x v="0"/>
    <s v="PS5 - Milestone A"/>
    <s v="TM-00614"/>
    <m/>
    <m/>
  </r>
  <r>
    <s v="T-00614-1106"/>
    <s v="PS5-71-BI-2314-CC01"/>
    <m/>
    <m/>
    <m/>
    <m/>
    <x v="36"/>
    <s v="PCOM - Precommissioning"/>
    <s v="I"/>
    <x v="0"/>
    <x v="1"/>
    <s v="Cable FROM PS5-03-SFMC-0004 TO PS5-71-BI-2314"/>
    <s v="EACOP"/>
    <s v="CPP AGI"/>
    <m/>
    <m/>
    <s v="4"/>
    <m/>
    <s v="4"/>
    <m/>
    <s v="PS5 - TZA - PS5 - Tanzania"/>
    <s v="PS5-91-01 - Multicore cables &amp; JB"/>
    <d v="2026-06-27T08:39:10"/>
    <s v="PS5-91-01"/>
    <x v="0"/>
    <x v="0"/>
    <s v="Smart Form PLACEHOLDER (DO NOT DELETE)"/>
    <s v="I"/>
    <x v="1"/>
    <s v="PS5 - Milestone A"/>
    <s v="TM-00614"/>
    <s v="Gawad, Mohamed"/>
    <m/>
  </r>
  <r>
    <s v="T-00614-1114"/>
    <s v="PS5-71-IN-0003-CC05"/>
    <m/>
    <m/>
    <m/>
    <m/>
    <x v="36"/>
    <s v="PCOM - Precommissioning"/>
    <s v="I"/>
    <x v="0"/>
    <x v="1"/>
    <s v="Cable FROM PS5-04-PMC-0004 TO PS5-71-IN-0003"/>
    <s v="EACOP"/>
    <s v="CPP AGI"/>
    <m/>
    <m/>
    <s v="4"/>
    <m/>
    <s v="4"/>
    <m/>
    <s v="PS5 - TZA - PS5 - Tanzania"/>
    <s v="PS5-71-23 - Diesel Fuel Pre Pressure Module (UCP)"/>
    <m/>
    <s v="PS5-71-23"/>
    <x v="0"/>
    <x v="0"/>
    <m/>
    <s v="I"/>
    <x v="0"/>
    <s v="PS5 - Milestone B"/>
    <s v="TM-00614"/>
    <m/>
    <m/>
  </r>
  <r>
    <s v="T-00614-1115"/>
    <s v="PS5-71-IN-0003-CC06"/>
    <m/>
    <m/>
    <m/>
    <m/>
    <x v="36"/>
    <s v="PCOM - Precommissioning"/>
    <s v="I"/>
    <x v="0"/>
    <x v="1"/>
    <s v="Cable FROM PS5-03-SFMC-0004 TO PS5-71-IN-0003"/>
    <s v="EACOP"/>
    <s v="CPP AGI"/>
    <m/>
    <m/>
    <s v="4"/>
    <m/>
    <s v="4"/>
    <m/>
    <s v="PS5 - TZA - PS5 - Tanzania"/>
    <s v="PS5-71-23 - Diesel Fuel Pre Pressure Module (UCP)"/>
    <m/>
    <s v="PS5-71-23"/>
    <x v="0"/>
    <x v="0"/>
    <m/>
    <s v="I"/>
    <x v="0"/>
    <s v="PS5 - Milestone B"/>
    <s v="TM-00614"/>
    <m/>
    <m/>
  </r>
  <r>
    <s v="T-00614-1116"/>
    <s v="PS5-71-IN-0003-CC07"/>
    <m/>
    <m/>
    <m/>
    <m/>
    <x v="36"/>
    <s v="PCOM - Precommissioning"/>
    <s v="I"/>
    <x v="0"/>
    <x v="1"/>
    <s v="Cable FROM PS5-03-SFMC-0006 TO PS5-71-IN-0003"/>
    <s v="EACOP"/>
    <s v="CPP AGI"/>
    <m/>
    <m/>
    <s v="4"/>
    <m/>
    <s v="4"/>
    <m/>
    <s v="PS5 - TZA - PS5 - Tanzania"/>
    <s v="PS5-71-23 - Diesel Fuel Pre Pressure Module (UCP)"/>
    <m/>
    <s v="PS5-71-23"/>
    <x v="0"/>
    <x v="0"/>
    <m/>
    <s v="I"/>
    <x v="0"/>
    <s v="PS5 - Milestone B"/>
    <s v="TM-00614"/>
    <m/>
    <m/>
  </r>
  <r>
    <s v="T-00614-1117"/>
    <s v="PS5-71-IN-0004A-CC08"/>
    <m/>
    <m/>
    <m/>
    <m/>
    <x v="36"/>
    <s v="PCOM - Precommissioning"/>
    <s v="I"/>
    <x v="0"/>
    <x v="1"/>
    <s v="Cable FROM PS5-04-PMC-0004 TO PS5-71-IN-0004A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614-1118"/>
    <s v="PS5-71-IN-0004A-CC09"/>
    <m/>
    <m/>
    <m/>
    <m/>
    <x v="36"/>
    <s v="PCOM - Precommissioning"/>
    <s v="I"/>
    <x v="0"/>
    <x v="1"/>
    <s v="Cable FROM PS5-03-SFMC-0003 TO PS5-71-IN-0004A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614-1119"/>
    <s v="PS5-71-IN-0004A-CC12"/>
    <m/>
    <m/>
    <m/>
    <m/>
    <x v="36"/>
    <s v="PCOM - Precommissioning"/>
    <s v="I"/>
    <x v="0"/>
    <x v="1"/>
    <s v="Cable FROM PS5-03-SFMC-0005 TO PS5-71-IN-0004A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614-1120"/>
    <s v="PS5-71-IN-0004B-CC08"/>
    <m/>
    <m/>
    <m/>
    <m/>
    <x v="36"/>
    <s v="PCOM - Precommissioning"/>
    <s v="I"/>
    <x v="0"/>
    <x v="1"/>
    <s v="Cable FROM PS5-04-PMC-0004 TO PS5-71-IN-0004B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614-1121"/>
    <s v="PS5-71-IN-0004B-CC09"/>
    <m/>
    <m/>
    <m/>
    <m/>
    <x v="36"/>
    <s v="PCOM - Precommissioning"/>
    <s v="I"/>
    <x v="0"/>
    <x v="1"/>
    <s v="Cable FROM PS5-03-SFMC-0003 TO PS5-71-IN-0004B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614-1122"/>
    <s v="PS5-71-IN-0004B-CC12"/>
    <m/>
    <m/>
    <m/>
    <m/>
    <x v="36"/>
    <s v="PCOM - Precommissioning"/>
    <s v="I"/>
    <x v="0"/>
    <x v="1"/>
    <s v="Cable FROM PS5-03-SFMC-0005 TO PS5-71-IN-0004B"/>
    <s v="EACOP"/>
    <s v="CPP AGI"/>
    <m/>
    <m/>
    <s v="4"/>
    <m/>
    <s v="4"/>
    <m/>
    <s v="PS5 - TZA - PS5 - Tanzania"/>
    <s v="PS5-71-07 - Crude Fuel Separation Module (UCP)"/>
    <m/>
    <s v="PS5-71-07"/>
    <x v="1"/>
    <x v="0"/>
    <m/>
    <s v="I"/>
    <x v="0"/>
    <s v="PS5 - Milestone H"/>
    <s v="TM-00614"/>
    <m/>
    <m/>
  </r>
  <r>
    <s v="T-00171-4342"/>
    <s v="PS5-60-IE-0003B-CA02"/>
    <m/>
    <m/>
    <m/>
    <m/>
    <x v="37"/>
    <s v="PCOM - Precommissioning"/>
    <s v="T"/>
    <x v="0"/>
    <x v="2"/>
    <s v="Cable FROM PS5-60-IE-0003A TO PS5-60-IE-0003B"/>
    <s v="EACOP"/>
    <s v="CPP AGI"/>
    <m/>
    <m/>
    <s v="1"/>
    <m/>
    <m/>
    <s v="0"/>
    <s v="PS5 - TZA - PS5 - Tanzania"/>
    <s v="PS5-60-05 - Power Gen Package B (UCP)"/>
    <m/>
    <s v="PS5-60-05"/>
    <x v="0"/>
    <x v="0"/>
    <s v="Telecom Cable Power/Control/Multicore"/>
    <s v="T"/>
    <x v="0"/>
    <s v="PS5 - Milestone B"/>
    <s v="TM-00171"/>
    <m/>
    <m/>
  </r>
  <r>
    <s v="T-00171-4343"/>
    <s v="PS5-60-IE-0003B-CA03"/>
    <m/>
    <m/>
    <m/>
    <m/>
    <x v="37"/>
    <s v="PCOM - Precommissioning"/>
    <s v="T"/>
    <x v="0"/>
    <x v="2"/>
    <s v="Cable FROM PS5-60-IE-0003A TO PS5-60-IE-0003B"/>
    <s v="EACOP"/>
    <s v="CPP AGI"/>
    <m/>
    <m/>
    <s v="1"/>
    <m/>
    <m/>
    <s v="0"/>
    <s v="PS5 - TZA - PS5 - Tanzania"/>
    <s v="PS5-60-05 - Power Gen Package B (UCP)"/>
    <m/>
    <s v="PS5-60-05"/>
    <x v="0"/>
    <x v="0"/>
    <s v="Telecom Cable Power/Control/Multicore"/>
    <s v="T"/>
    <x v="0"/>
    <s v="PS5 - Milestone B"/>
    <s v="TM-00171"/>
    <m/>
    <m/>
  </r>
  <r>
    <s v="T-00171-4344"/>
    <s v="PS5-60-IE-0003B-CA04"/>
    <m/>
    <m/>
    <m/>
    <m/>
    <x v="37"/>
    <s v="PCOM - Precommissioning"/>
    <s v="T"/>
    <x v="0"/>
    <x v="2"/>
    <s v="Cable FROM PS5-60-IE-0003A TO PS5-60-IE-0003B"/>
    <s v="EACOP"/>
    <s v="CPP AGI"/>
    <m/>
    <m/>
    <s v="1"/>
    <m/>
    <m/>
    <s v="0"/>
    <s v="PS5 - TZA - PS5 - Tanzania"/>
    <s v="PS5-60-05 - Power Gen Package B (UCP)"/>
    <m/>
    <s v="PS5-60-05"/>
    <x v="0"/>
    <x v="0"/>
    <s v="Telecom Cable Power/Control/Multicore"/>
    <s v="T"/>
    <x v="0"/>
    <s v="PS5 - Milestone B"/>
    <s v="TM-00171"/>
    <m/>
    <m/>
  </r>
  <r>
    <s v="T-00171-4345"/>
    <s v="PS5-60-IE-0003B-CA05"/>
    <m/>
    <m/>
    <m/>
    <m/>
    <x v="37"/>
    <s v="PCOM - Precommissioning"/>
    <s v="T"/>
    <x v="0"/>
    <x v="2"/>
    <s v="Cable FROM PS5-60-IE-0003A TO PS5-60-IE-0003B"/>
    <s v="EACOP"/>
    <s v="CPP AGI"/>
    <m/>
    <m/>
    <s v="1"/>
    <m/>
    <m/>
    <s v="0"/>
    <s v="PS5 - TZA - PS5 - Tanzania"/>
    <s v="PS5-60-05 - Power Gen Package B (UCP)"/>
    <m/>
    <s v="PS5-60-05"/>
    <x v="0"/>
    <x v="0"/>
    <s v="Telecom Cable Power/Control/Multicore"/>
    <s v="T"/>
    <x v="0"/>
    <s v="PS5 - Milestone B"/>
    <s v="TM-00171"/>
    <m/>
    <m/>
  </r>
  <r>
    <s v="T-00171-4346"/>
    <s v="PS5-60-IE-0003C-CA02"/>
    <m/>
    <m/>
    <m/>
    <m/>
    <x v="37"/>
    <s v="PCOM - Precommissioning"/>
    <s v="T"/>
    <x v="0"/>
    <x v="2"/>
    <s v="Cable FROM PS5-60-IE-0003B TO PS5-60-IE-0003C"/>
    <s v="EACOP"/>
    <s v="CPP AGI"/>
    <m/>
    <m/>
    <s v="1"/>
    <m/>
    <m/>
    <s v="0"/>
    <s v="PS5 - TZA - PS5 - Tanzania"/>
    <s v="PS5-60-08 - Power Gen Package C (UCP)"/>
    <m/>
    <s v="PS5-60-08"/>
    <x v="1"/>
    <x v="0"/>
    <s v="Telecom Cable Power/Control/Multicore"/>
    <s v="T"/>
    <x v="0"/>
    <s v="PS5 - Milestone D"/>
    <s v="TM-00171"/>
    <m/>
    <m/>
  </r>
  <r>
    <s v="T-00171-4347"/>
    <s v="PS5-60-IE-0003C-CA03"/>
    <m/>
    <m/>
    <m/>
    <m/>
    <x v="37"/>
    <s v="PCOM - Precommissioning"/>
    <s v="T"/>
    <x v="0"/>
    <x v="2"/>
    <s v="Cable FROM PS5-60-IE-0003B TO PS5-60-IE-0003C"/>
    <s v="EACOP"/>
    <s v="CPP AGI"/>
    <m/>
    <m/>
    <s v="1"/>
    <m/>
    <m/>
    <s v="0"/>
    <s v="PS5 - TZA - PS5 - Tanzania"/>
    <s v="PS5-60-08 - Power Gen Package C (UCP)"/>
    <m/>
    <s v="PS5-60-08"/>
    <x v="1"/>
    <x v="0"/>
    <s v="Telecom Cable Power/Control/Multicore"/>
    <s v="T"/>
    <x v="0"/>
    <s v="PS5 - Milestone D"/>
    <s v="TM-00171"/>
    <m/>
    <m/>
  </r>
  <r>
    <s v="T-00171-4348"/>
    <s v="PS5-60-IE-0003C-CA04"/>
    <m/>
    <m/>
    <m/>
    <m/>
    <x v="37"/>
    <s v="PCOM - Precommissioning"/>
    <s v="T"/>
    <x v="0"/>
    <x v="2"/>
    <s v="Cable FROM PS5-60-IE-0003B TO PS5-60-IE-0003C"/>
    <s v="EACOP"/>
    <s v="CPP AGI"/>
    <m/>
    <m/>
    <s v="1"/>
    <m/>
    <m/>
    <s v="0"/>
    <s v="PS5 - TZA - PS5 - Tanzania"/>
    <s v="PS5-60-08 - Power Gen Package C (UCP)"/>
    <m/>
    <s v="PS5-60-08"/>
    <x v="1"/>
    <x v="0"/>
    <s v="Telecom Cable Power/Control/Multicore"/>
    <s v="T"/>
    <x v="0"/>
    <s v="PS5 - Milestone D"/>
    <s v="TM-00171"/>
    <m/>
    <m/>
  </r>
  <r>
    <s v="T-00171-4349"/>
    <s v="PS5-60-IE-0003C-CA05"/>
    <m/>
    <m/>
    <m/>
    <m/>
    <x v="37"/>
    <s v="PCOM - Precommissioning"/>
    <s v="T"/>
    <x v="0"/>
    <x v="2"/>
    <s v="Cable FROM PS5-60-IE-0003B TO PS5-60-IE-0003C"/>
    <s v="EACOP"/>
    <s v="CPP AGI"/>
    <m/>
    <m/>
    <s v="1"/>
    <m/>
    <m/>
    <s v="0"/>
    <s v="PS5 - TZA - PS5 - Tanzania"/>
    <s v="PS5-60-08 - Power Gen Package C (UCP)"/>
    <m/>
    <s v="PS5-60-08"/>
    <x v="1"/>
    <x v="0"/>
    <s v="Telecom Cable Power/Control/Multicore"/>
    <s v="T"/>
    <x v="0"/>
    <s v="PS5 - Milestone D"/>
    <s v="TM-00171"/>
    <m/>
    <m/>
  </r>
  <r>
    <s v="T-00171-4350"/>
    <s v="PS5-60-IE-0003D-CA02"/>
    <m/>
    <m/>
    <m/>
    <m/>
    <x v="37"/>
    <s v="PCOM - Precommissioning"/>
    <s v="T"/>
    <x v="0"/>
    <x v="2"/>
    <s v="Cable FROM PS5-60-IE-0003C TO PS5-60-IE-0003D"/>
    <s v="EACOP"/>
    <s v="CPP AGI"/>
    <m/>
    <m/>
    <s v="1"/>
    <m/>
    <m/>
    <s v="0"/>
    <s v="PS5 - TZA - PS5 - Tanzania"/>
    <s v="PS5-60-11 - Power Gen Package D (UCP)"/>
    <m/>
    <s v="PS5-60-11"/>
    <x v="1"/>
    <x v="0"/>
    <s v="Telecom Cable Power/Control/Multicore"/>
    <s v="T"/>
    <x v="0"/>
    <s v="PS5 - Milestone D"/>
    <s v="TM-00171"/>
    <m/>
    <m/>
  </r>
  <r>
    <s v="T-00171-4351"/>
    <s v="PS5-60-IE-0003D-CA03"/>
    <m/>
    <m/>
    <m/>
    <m/>
    <x v="37"/>
    <s v="PCOM - Precommissioning"/>
    <s v="T"/>
    <x v="0"/>
    <x v="2"/>
    <s v="Cable FROM PS5-60-IE-0003C TO PS5-60-IE-0003D"/>
    <s v="EACOP"/>
    <s v="CPP AGI"/>
    <m/>
    <m/>
    <s v="1"/>
    <m/>
    <m/>
    <s v="0"/>
    <s v="PS5 - TZA - PS5 - Tanzania"/>
    <s v="PS5-60-11 - Power Gen Package D (UCP)"/>
    <m/>
    <s v="PS5-60-11"/>
    <x v="1"/>
    <x v="0"/>
    <s v="Telecom Cable Power/Control/Multicore"/>
    <s v="T"/>
    <x v="0"/>
    <s v="PS5 - Milestone D"/>
    <s v="TM-00171"/>
    <m/>
    <m/>
  </r>
  <r>
    <s v="T-00171-4352"/>
    <s v="PS5-60-IE-0003D-CA04"/>
    <m/>
    <m/>
    <m/>
    <m/>
    <x v="37"/>
    <s v="PCOM - Precommissioning"/>
    <s v="T"/>
    <x v="0"/>
    <x v="2"/>
    <s v="Cable FROM PS5-60-IE-0003C TO PS5-60-IE-0003D"/>
    <s v="EACOP"/>
    <s v="CPP AGI"/>
    <m/>
    <m/>
    <s v="1"/>
    <m/>
    <m/>
    <s v="0"/>
    <s v="PS5 - TZA - PS5 - Tanzania"/>
    <s v="PS5-60-11 - Power Gen Package D (UCP)"/>
    <m/>
    <s v="PS5-60-11"/>
    <x v="1"/>
    <x v="0"/>
    <s v="Telecom Cable Power/Control/Multicore"/>
    <s v="T"/>
    <x v="0"/>
    <s v="PS5 - Milestone D"/>
    <s v="TM-00171"/>
    <m/>
    <m/>
  </r>
  <r>
    <s v="T-00171-4353"/>
    <s v="PS5-60-IE-0003D-CA05"/>
    <m/>
    <m/>
    <m/>
    <m/>
    <x v="37"/>
    <s v="PCOM - Precommissioning"/>
    <s v="T"/>
    <x v="0"/>
    <x v="2"/>
    <s v="Cable FROM PS5-60-IE-0003C TO PS5-60-IE-0003D"/>
    <s v="EACOP"/>
    <s v="CPP AGI"/>
    <m/>
    <m/>
    <s v="1"/>
    <m/>
    <m/>
    <s v="0"/>
    <s v="PS5 - TZA - PS5 - Tanzania"/>
    <s v="PS5-60-11 - Power Gen Package D (UCP)"/>
    <m/>
    <s v="PS5-60-11"/>
    <x v="1"/>
    <x v="0"/>
    <s v="Telecom Cable Power/Control/Multicore"/>
    <s v="T"/>
    <x v="0"/>
    <s v="PS5 - Milestone D"/>
    <s v="TM-00171"/>
    <m/>
    <m/>
  </r>
  <r>
    <s v="T-00171-4365"/>
    <s v="PS5-60-IE-0004-CA01"/>
    <m/>
    <m/>
    <m/>
    <m/>
    <x v="37"/>
    <s v="PCOM - Precommissioning"/>
    <s v="T"/>
    <x v="0"/>
    <x v="2"/>
    <s v="Cable FROM PS5-60-IE-0003A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66"/>
    <s v="PS5-60-IE-0004-CA07"/>
    <m/>
    <m/>
    <m/>
    <m/>
    <x v="37"/>
    <s v="PCOM - Precommissioning"/>
    <s v="T"/>
    <x v="0"/>
    <x v="2"/>
    <s v="Cable FROM PS5-60-IE-0003G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67"/>
    <s v="PS5-60-IE-0004-CA08"/>
    <m/>
    <m/>
    <m/>
    <m/>
    <x v="37"/>
    <s v="PCOM - Precommissioning"/>
    <s v="T"/>
    <x v="0"/>
    <x v="2"/>
    <s v="Cable FROM PS5-60-IE-0003A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68"/>
    <s v="PS5-60-IE-0004-CA14"/>
    <m/>
    <m/>
    <m/>
    <m/>
    <x v="37"/>
    <s v="PCOM - Precommissioning"/>
    <s v="T"/>
    <x v="0"/>
    <x v="2"/>
    <s v="Cable FROM PS5-60-IE-0003G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69"/>
    <s v="PS5-60-IE-0004-CA15"/>
    <m/>
    <m/>
    <m/>
    <m/>
    <x v="37"/>
    <s v="PCOM - Precommissioning"/>
    <s v="T"/>
    <x v="0"/>
    <x v="2"/>
    <s v="Cable FROM PS5-60-IE-0003A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70"/>
    <s v="PS5-60-IE-0004-CA21"/>
    <m/>
    <m/>
    <m/>
    <m/>
    <x v="37"/>
    <s v="PCOM - Precommissioning"/>
    <s v="T"/>
    <x v="0"/>
    <x v="2"/>
    <s v="Cable FROM PS5-60-IE-0003G TO PS5-60-IE-0004"/>
    <s v="EACOP"/>
    <s v="CPP AGI"/>
    <m/>
    <m/>
    <s v="1"/>
    <m/>
    <m/>
    <s v="0"/>
    <s v="PS5 - TZA - PS5 - Tanzania"/>
    <s v="PS5-60-22 - Power Gen Master UCP"/>
    <m/>
    <s v="PS5-60-22"/>
    <x v="0"/>
    <x v="0"/>
    <s v="Telecom Cable Power/Control/Multicore"/>
    <s v="T"/>
    <x v="0"/>
    <s v="PS5 - Milestone B"/>
    <s v="TM-00171"/>
    <m/>
    <m/>
  </r>
  <r>
    <s v="T-00171-4371"/>
    <s v="PS5-60-IH-0001A-CA01"/>
    <m/>
    <m/>
    <m/>
    <m/>
    <x v="37"/>
    <s v="PCOM - Precommissioning"/>
    <s v="T"/>
    <x v="0"/>
    <x v="2"/>
    <s v="Cable FROM PS5-60-IE-0003G TO PS5-60-IH-0001A"/>
    <s v="EACOP"/>
    <s v="CPP AGI"/>
    <m/>
    <m/>
    <s v="1"/>
    <m/>
    <m/>
    <s v="0"/>
    <s v="PS5 - TZA - PS5 - Tanzania"/>
    <s v="PS5-60-03 - Power Gen Package A Generator Auxiliary MCCs &amp; DBs"/>
    <m/>
    <s v="PS5-60-03"/>
    <x v="0"/>
    <x v="0"/>
    <s v="Telecom Cable Power/Control/Multicore"/>
    <s v="T"/>
    <x v="0"/>
    <s v="PS5 - Milestone B"/>
    <s v="TM-00171"/>
    <m/>
    <m/>
  </r>
  <r>
    <s v="T-00171-4372"/>
    <s v="PS5-60-IH-0001B-CA01"/>
    <m/>
    <m/>
    <m/>
    <m/>
    <x v="37"/>
    <s v="PCOM - Precommissioning"/>
    <s v="T"/>
    <x v="0"/>
    <x v="2"/>
    <s v="Cable FROM PS5-60-IE-0001B TO PS5-60-IH-0001B"/>
    <s v="EACOP"/>
    <s v="CPP AGI"/>
    <m/>
    <m/>
    <s v="1"/>
    <m/>
    <m/>
    <s v="0"/>
    <s v="PS5 - TZA - PS5 - Tanzania"/>
    <s v="PS5-60-06 - Power Gen Package B Generator Auxiliary MCCs &amp; DBs"/>
    <m/>
    <s v="PS5-60-06"/>
    <x v="0"/>
    <x v="0"/>
    <s v="Telecom Cable Power/Control/Multicore"/>
    <s v="T"/>
    <x v="0"/>
    <s v="PS5 - Milestone B"/>
    <s v="TM-00171"/>
    <m/>
    <m/>
  </r>
  <r>
    <s v="T-00171-4373"/>
    <s v="PS5-60-IH-0001C-CA01"/>
    <m/>
    <m/>
    <m/>
    <m/>
    <x v="37"/>
    <s v="PCOM - Precommissioning"/>
    <s v="T"/>
    <x v="0"/>
    <x v="2"/>
    <s v="Cable FROM PS5-60-IE-0001C TO PS5-60-IH-0001C"/>
    <s v="EACOP"/>
    <s v="CPP AGI"/>
    <m/>
    <m/>
    <s v="1"/>
    <m/>
    <m/>
    <s v="0"/>
    <s v="PS5 - TZA - PS5 - Tanzania"/>
    <s v="PS5-60-09 - Power Gen Package C Generator Auxiliary MCCs &amp; DBs"/>
    <m/>
    <s v="PS5-60-09"/>
    <x v="1"/>
    <x v="0"/>
    <s v="Telecom Cable Power/Control/Multicore"/>
    <s v="T"/>
    <x v="0"/>
    <s v="PS5 - Milestone D"/>
    <s v="TM-00171"/>
    <m/>
    <m/>
  </r>
  <r>
    <s v="T-00171-4374"/>
    <s v="PS5-60-IH-0001D-CA01"/>
    <m/>
    <m/>
    <m/>
    <m/>
    <x v="37"/>
    <s v="PCOM - Precommissioning"/>
    <s v="T"/>
    <x v="0"/>
    <x v="2"/>
    <s v="Cable FROM PS5-60-IE-0001D TO PS5-60-IH-0001D"/>
    <s v="EACOP"/>
    <s v="CPP AGI"/>
    <m/>
    <m/>
    <s v="1"/>
    <m/>
    <m/>
    <s v="0"/>
    <s v="PS5 - TZA - PS5 - Tanzania"/>
    <s v="PS5-60-12 - Power Gen Package D Generator Auxiliary MCCs &amp; DBs"/>
    <m/>
    <s v="PS5-60-12"/>
    <x v="1"/>
    <x v="0"/>
    <s v="Telecom Cable Power/Control/Multicore"/>
    <s v="T"/>
    <x v="0"/>
    <s v="PS5 - Milestone D"/>
    <s v="TM-00171"/>
    <m/>
    <m/>
  </r>
  <r>
    <s v="T-00171-4378"/>
    <s v="PS5-60-IN-0001A-CA01"/>
    <m/>
    <m/>
    <m/>
    <m/>
    <x v="37"/>
    <s v="PCOM - Precommissioning"/>
    <s v="T"/>
    <x v="0"/>
    <x v="2"/>
    <s v="Cable FROM PS5-60-IE-0003A TO PS5-60-IN-0001A"/>
    <s v="EACOP"/>
    <s v="CPP AGI"/>
    <m/>
    <m/>
    <s v="1"/>
    <m/>
    <m/>
    <s v="0"/>
    <s v="PS5 - TZA - PS5 - Tanzania"/>
    <s v="PS5-60-49 - Lube Oil Separator Module PS5-60-UO-81100A"/>
    <m/>
    <s v="PS5-60-49"/>
    <x v="0"/>
    <x v="0"/>
    <s v="Telecom Cable Power/Control/Multicore"/>
    <s v="T"/>
    <x v="0"/>
    <s v="PS5 - Milestone B"/>
    <s v="TM-00171"/>
    <m/>
    <m/>
  </r>
  <r>
    <s v="T-00171-4379"/>
    <s v="PS5-60-IN-0001B-CA01"/>
    <m/>
    <m/>
    <m/>
    <m/>
    <x v="37"/>
    <s v="PCOM - Precommissioning"/>
    <s v="T"/>
    <x v="0"/>
    <x v="2"/>
    <s v="Cable FROM PS5-60-IE-0003B TO PS5-60-IN-0001B"/>
    <s v="EACOP"/>
    <s v="CPP AGI"/>
    <m/>
    <m/>
    <s v="1"/>
    <m/>
    <m/>
    <s v="0"/>
    <s v="PS5 - TZA - PS5 - Tanzania"/>
    <s v="PS5-60-50 - Lube Oil Separator Module PS5-60-UO-81100B"/>
    <m/>
    <s v="PS5-60-50"/>
    <x v="0"/>
    <x v="0"/>
    <s v="Telecom Cable Power/Control/Multicore"/>
    <s v="T"/>
    <x v="0"/>
    <s v="PS5 - Milestone B"/>
    <s v="TM-00171"/>
    <m/>
    <m/>
  </r>
  <r>
    <s v="T-00171-4380"/>
    <s v="PS5-60-IN-0001C-CA01"/>
    <m/>
    <m/>
    <m/>
    <m/>
    <x v="37"/>
    <s v="PCOM - Precommissioning"/>
    <s v="T"/>
    <x v="0"/>
    <x v="2"/>
    <s v="Cable FROM PS5-60-IE-0003C TO PS5-60-IN-0001C"/>
    <s v="EACOP"/>
    <s v="CPP AGI"/>
    <m/>
    <m/>
    <s v="1"/>
    <m/>
    <m/>
    <s v="0"/>
    <s v="PS5 - TZA - PS5 - Tanzania"/>
    <s v="PS5-60-51 - Lube Oil Separator Module PS5-60-UO-81100C"/>
    <m/>
    <s v="PS5-60-51"/>
    <x v="1"/>
    <x v="0"/>
    <s v="Telecom Cable Power/Control/Multicore"/>
    <s v="T"/>
    <x v="0"/>
    <s v="PS5 - Milestone D"/>
    <s v="TM-00171"/>
    <m/>
    <m/>
  </r>
  <r>
    <s v="T-00171-4381"/>
    <s v="PS5-60-IN-0001D-CA01"/>
    <m/>
    <m/>
    <m/>
    <m/>
    <x v="37"/>
    <s v="PCOM - Precommissioning"/>
    <s v="T"/>
    <x v="0"/>
    <x v="2"/>
    <s v="Cable FROM PS5-60-IE-0003D TO PS5-60-IN-0001D"/>
    <s v="EACOP"/>
    <s v="CPP AGI"/>
    <m/>
    <m/>
    <s v="1"/>
    <m/>
    <m/>
    <s v="0"/>
    <s v="PS5 - TZA - PS5 - Tanzania"/>
    <s v="PS5-60-52 - Lube Oil Separator Module PS5-60-UO-81100D"/>
    <m/>
    <s v="PS5-60-52"/>
    <x v="1"/>
    <x v="0"/>
    <s v="Telecom Cable Power/Control/Multicore"/>
    <s v="T"/>
    <x v="0"/>
    <s v="PS5 - Milestone D"/>
    <s v="TM-00171"/>
    <m/>
    <m/>
  </r>
  <r>
    <s v="T-00171-4385"/>
    <s v="PS5-60-IN-0002A-CA01"/>
    <m/>
    <m/>
    <m/>
    <m/>
    <x v="37"/>
    <s v="PCOM - Precommissioning"/>
    <s v="T"/>
    <x v="0"/>
    <x v="2"/>
    <s v="Cable FROM PS5-60-IE-0003A TO PS5-60-IN-0002A"/>
    <s v="EACOP"/>
    <s v="CPP AGI"/>
    <m/>
    <m/>
    <s v="1"/>
    <m/>
    <m/>
    <s v="0"/>
    <s v="PS5 - TZA - PS5 - Tanzania"/>
    <s v="PS5-60-57 - Fuel Conditioning Module PS5-60-UZ-8900A (UCP)"/>
    <m/>
    <s v="PS5-60-57"/>
    <x v="0"/>
    <x v="0"/>
    <s v="Telecom Cable Power/Control/Multicore"/>
    <s v="T"/>
    <x v="0"/>
    <s v="PS5 - Milestone B"/>
    <s v="TM-00171"/>
    <m/>
    <m/>
  </r>
  <r>
    <s v="T-00171-4386"/>
    <s v="PS5-60-IN-0002B-CA01"/>
    <m/>
    <m/>
    <m/>
    <m/>
    <x v="37"/>
    <s v="PCOM - Precommissioning"/>
    <s v="T"/>
    <x v="0"/>
    <x v="2"/>
    <s v="Cable FROM PS5-60-IE-0003B TO PS5-60-IN-0002B"/>
    <s v="EACOP"/>
    <s v="CPP AGI"/>
    <m/>
    <m/>
    <s v="1"/>
    <m/>
    <m/>
    <s v="0"/>
    <s v="PS5 - TZA - PS5 - Tanzania"/>
    <s v="PS5-60-59 - Fuel Conditioning Module PS5-60-UZ-8900B (UCP)"/>
    <m/>
    <s v="PS5-60-59"/>
    <x v="0"/>
    <x v="0"/>
    <s v="Telecom Cable Power/Control/Multicore"/>
    <s v="T"/>
    <x v="0"/>
    <s v="PS5 - Milestone B"/>
    <s v="TM-00171"/>
    <m/>
    <m/>
  </r>
  <r>
    <s v="T-00171-4387"/>
    <s v="PS5-60-IN-0002C-CA01"/>
    <m/>
    <m/>
    <m/>
    <m/>
    <x v="37"/>
    <s v="PCOM - Precommissioning"/>
    <s v="T"/>
    <x v="0"/>
    <x v="2"/>
    <s v="Cable FROM PS5-60-IE-0003C TO PS5-60-IN-0002C"/>
    <s v="EACOP"/>
    <s v="CPP AGI"/>
    <m/>
    <m/>
    <s v="1"/>
    <m/>
    <m/>
    <s v="0"/>
    <s v="PS5 - TZA - PS5 - Tanzania"/>
    <s v="PS5-60-61 - Fuel Conditioning Module PS5-60-UZ-8900C (UCP)"/>
    <m/>
    <s v="PS5-60-61"/>
    <x v="1"/>
    <x v="0"/>
    <s v="Telecom Cable Power/Control/Multicore"/>
    <s v="T"/>
    <x v="0"/>
    <s v="PS5 - Milestone D"/>
    <s v="TM-00171"/>
    <m/>
    <m/>
  </r>
  <r>
    <s v="T-00171-4388"/>
    <s v="PS5-60-IN-0002D-CA01"/>
    <m/>
    <m/>
    <m/>
    <m/>
    <x v="37"/>
    <s v="PCOM - Precommissioning"/>
    <s v="T"/>
    <x v="0"/>
    <x v="2"/>
    <s v="Cable FROM PS5-60-IE-0003D TO PS5-60-IN-0002D"/>
    <s v="EACOP"/>
    <s v="CPP AGI"/>
    <m/>
    <m/>
    <s v="1"/>
    <m/>
    <m/>
    <s v="0"/>
    <s v="PS5 - TZA - PS5 - Tanzania"/>
    <s v="PS5-60-63 - Fuel Conditioning Module PS5-60-UZ-8900D (UCP)"/>
    <m/>
    <s v="PS5-60-63"/>
    <x v="1"/>
    <x v="0"/>
    <s v="Telecom Cable Power/Control/Multicore"/>
    <s v="T"/>
    <x v="0"/>
    <s v="PS5 - Milestone D"/>
    <s v="TM-00171"/>
    <m/>
    <m/>
  </r>
  <r>
    <s v="T-00171-4392"/>
    <s v="PS5-60-LA-0002B-CA01"/>
    <m/>
    <m/>
    <m/>
    <m/>
    <x v="37"/>
    <s v="PCOM - Precommissioning"/>
    <s v="T"/>
    <x v="0"/>
    <x v="2"/>
    <s v="Cable FROM PS5-60-IE-0004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393"/>
    <s v="PS5-60-LA-0002B-CA02"/>
    <m/>
    <m/>
    <m/>
    <m/>
    <x v="37"/>
    <s v="PCOM - Precommissioning"/>
    <s v="T"/>
    <x v="0"/>
    <x v="2"/>
    <s v="Cable FROM PS5-60-LA-0002A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394"/>
    <s v="PS5-60-LA-0002B-CA03"/>
    <m/>
    <m/>
    <m/>
    <m/>
    <x v="37"/>
    <s v="PCOM - Precommissioning"/>
    <s v="T"/>
    <x v="0"/>
    <x v="2"/>
    <s v="Cable FROM PS5-60-LA-0002A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395"/>
    <s v="PS5-60-LA-0002B-CA04"/>
    <m/>
    <m/>
    <m/>
    <m/>
    <x v="37"/>
    <s v="PCOM - Precommissioning"/>
    <s v="T"/>
    <x v="0"/>
    <x v="2"/>
    <s v="Cable FROM PS5-60-LA-0002A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396"/>
    <s v="PS5-60-LA-0002B-CA05"/>
    <m/>
    <m/>
    <m/>
    <m/>
    <x v="37"/>
    <s v="PCOM - Precommissioning"/>
    <s v="T"/>
    <x v="0"/>
    <x v="2"/>
    <s v="Cable FROM PS5-60-LA-0002C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397"/>
    <s v="PS5-60-LA-0002B-CA06"/>
    <m/>
    <m/>
    <m/>
    <m/>
    <x v="37"/>
    <s v="PCOM - Precommissioning"/>
    <s v="T"/>
    <x v="0"/>
    <x v="2"/>
    <s v="Cable FROM PS5-60-LA-0002C TO PS5-60-LA-0002B"/>
    <s v="EACOP"/>
    <s v="CPP AGI"/>
    <m/>
    <m/>
    <s v="1"/>
    <m/>
    <m/>
    <s v="0"/>
    <s v="PS5 - TZA - PS5 - Tanzania"/>
    <s v="PS5-60-10 - Power Generation Package D"/>
    <m/>
    <s v="PS5-60-10"/>
    <x v="1"/>
    <x v="0"/>
    <s v="Telecom Cable Power/Control/Multicore"/>
    <s v="T"/>
    <x v="0"/>
    <s v="PS5 - Milestone D"/>
    <s v="TM-00171"/>
    <m/>
    <m/>
  </r>
  <r>
    <s v="T-00171-4404"/>
    <s v="PS5-60-SEA-0001-CA01"/>
    <m/>
    <m/>
    <m/>
    <m/>
    <x v="37"/>
    <s v="PCOM - Precommissioning"/>
    <s v="T"/>
    <x v="0"/>
    <x v="2"/>
    <s v="Cable FROM PS5-60-IE-0004 TO PS5-60-SEA-0001"/>
    <s v="EACOP"/>
    <s v="CPP AGI"/>
    <m/>
    <m/>
    <s v="1"/>
    <m/>
    <m/>
    <s v="0"/>
    <s v="PS5 - TZA - PS5 - Tanzania"/>
    <s v="PS5-03-14 - FZ-14 - Power Generation Building - Switchgear Room"/>
    <m/>
    <s v="PS5-03-14"/>
    <x v="1"/>
    <x v="0"/>
    <s v="Telecom Cable Power/Control/Multicore"/>
    <s v="T"/>
    <x v="0"/>
    <s v="PS5 - Milestone E"/>
    <s v="TM-00171"/>
    <m/>
    <m/>
  </r>
  <r>
    <s v="T-00171-4408"/>
    <s v="PS5-71-IN-0003-CA01"/>
    <m/>
    <m/>
    <m/>
    <m/>
    <x v="37"/>
    <s v="PCOM - Precommissioning"/>
    <s v="T"/>
    <x v="0"/>
    <x v="2"/>
    <s v="Cable FROM PS5-60-IE-0004 TO PS5-71-IN-0003"/>
    <s v="EACOP"/>
    <s v="CPP AGI"/>
    <m/>
    <m/>
    <s v="1"/>
    <m/>
    <m/>
    <s v="0"/>
    <s v="PS5 - TZA - PS5 - Tanzania"/>
    <s v="PS5-71-23 - Diesel Fuel Pre Pressure Module (UCP)"/>
    <m/>
    <s v="PS5-71-23"/>
    <x v="0"/>
    <x v="0"/>
    <s v="Telecom Cable Power/Control/Multicore"/>
    <s v="T"/>
    <x v="0"/>
    <s v="PS5 - Milestone B"/>
    <s v="TM-00171"/>
    <m/>
    <m/>
  </r>
  <r>
    <s v="T-00171-4409"/>
    <s v="PS5-71-IN-0004A-CA01"/>
    <m/>
    <m/>
    <m/>
    <m/>
    <x v="37"/>
    <s v="PCOM - Precommissioning"/>
    <s v="T"/>
    <x v="0"/>
    <x v="2"/>
    <s v="Cable FROM PS5-60-IE-0004 TO PS5-71-IN-0004A"/>
    <s v="EACOP"/>
    <s v="CPP AGI"/>
    <m/>
    <m/>
    <s v="1"/>
    <m/>
    <m/>
    <s v="0"/>
    <s v="PS5 - TZA - PS5 - Tanzania"/>
    <s v="PS5-71-07 - Crude Fuel Separation Module (UCP)"/>
    <m/>
    <s v="PS5-71-07"/>
    <x v="1"/>
    <x v="0"/>
    <s v="Telecom Cable Power/Control/Multicore"/>
    <s v="T"/>
    <x v="0"/>
    <s v="PS5 - Milestone H"/>
    <s v="TM-00171"/>
    <m/>
    <m/>
  </r>
  <r>
    <s v="T-00171-4410"/>
    <s v="PS5-71-IN-0004B-CA01"/>
    <m/>
    <m/>
    <m/>
    <m/>
    <x v="37"/>
    <s v="PCOM - Precommissioning"/>
    <s v="T"/>
    <x v="0"/>
    <x v="2"/>
    <s v="Cable FROM PS5-60-IE-0004 TO PS5-71-IN-0004B"/>
    <s v="EACOP"/>
    <s v="CPP AGI"/>
    <m/>
    <m/>
    <s v="1"/>
    <m/>
    <m/>
    <s v="0"/>
    <s v="PS5 - TZA - PS5 - Tanzania"/>
    <s v="PS5-71-07 - Crude Fuel Separation Module (UCP)"/>
    <m/>
    <s v="PS5-71-07"/>
    <x v="1"/>
    <x v="0"/>
    <s v="Telecom Cable Power/Control/Multicore"/>
    <s v="T"/>
    <x v="0"/>
    <s v="PS5 - Milestone H"/>
    <s v="TM-00171"/>
    <m/>
    <m/>
  </r>
  <r>
    <s v="T-00275-1945"/>
    <s v="PS5-60-IE-0003B-CA02"/>
    <m/>
    <m/>
    <m/>
    <m/>
    <x v="38"/>
    <s v="PCOM - Precommissioning"/>
    <s v="T"/>
    <x v="1"/>
    <x v="2"/>
    <s v="Cable FROM PS5-60-IE-0003A TO PS5-60-IE-0003B"/>
    <s v="EACOP"/>
    <s v="CPP AGI"/>
    <m/>
    <m/>
    <s v="6"/>
    <m/>
    <m/>
    <s v="0"/>
    <s v="PS5 - TZA - PS5 - Tanzania"/>
    <s v="PS5-60-05 - Power Gen Package B (UCP)"/>
    <m/>
    <s v="PS5-60-05"/>
    <x v="0"/>
    <x v="0"/>
    <s v="RJ45 Cable"/>
    <s v="T"/>
    <x v="0"/>
    <s v="PS5 - Milestone B"/>
    <s v="TM-00275"/>
    <m/>
    <m/>
  </r>
  <r>
    <s v="T-00275-1946"/>
    <s v="PS5-60-IE-0003B-CA03"/>
    <m/>
    <m/>
    <m/>
    <m/>
    <x v="38"/>
    <s v="PCOM - Precommissioning"/>
    <s v="T"/>
    <x v="1"/>
    <x v="2"/>
    <s v="Cable FROM PS5-60-IE-0003A TO PS5-60-IE-0003B"/>
    <s v="EACOP"/>
    <s v="CPP AGI"/>
    <m/>
    <m/>
    <s v="6"/>
    <m/>
    <m/>
    <s v="0"/>
    <s v="PS5 - TZA - PS5 - Tanzania"/>
    <s v="PS5-60-05 - Power Gen Package B (UCP)"/>
    <m/>
    <s v="PS5-60-05"/>
    <x v="0"/>
    <x v="0"/>
    <s v="RJ45 Cable"/>
    <s v="T"/>
    <x v="0"/>
    <s v="PS5 - Milestone B"/>
    <s v="TM-00275"/>
    <m/>
    <m/>
  </r>
  <r>
    <s v="T-00275-1947"/>
    <s v="PS5-60-IE-0003B-CA04"/>
    <m/>
    <m/>
    <m/>
    <m/>
    <x v="38"/>
    <s v="PCOM - Precommissioning"/>
    <s v="T"/>
    <x v="1"/>
    <x v="2"/>
    <s v="Cable FROM PS5-60-IE-0003A TO PS5-60-IE-0003B"/>
    <s v="EACOP"/>
    <s v="CPP AGI"/>
    <m/>
    <m/>
    <s v="6"/>
    <m/>
    <m/>
    <s v="0"/>
    <s v="PS5 - TZA - PS5 - Tanzania"/>
    <s v="PS5-60-05 - Power Gen Package B (UCP)"/>
    <m/>
    <s v="PS5-60-05"/>
    <x v="0"/>
    <x v="0"/>
    <s v="RJ45 Cable"/>
    <s v="T"/>
    <x v="0"/>
    <s v="PS5 - Milestone B"/>
    <s v="TM-00275"/>
    <m/>
    <m/>
  </r>
  <r>
    <s v="T-00275-1948"/>
    <s v="PS5-60-IE-0003B-CA05"/>
    <m/>
    <m/>
    <m/>
    <m/>
    <x v="38"/>
    <s v="PCOM - Precommissioning"/>
    <s v="T"/>
    <x v="1"/>
    <x v="2"/>
    <s v="Cable FROM PS5-60-IE-0003A TO PS5-60-IE-0003B"/>
    <s v="EACOP"/>
    <s v="CPP AGI"/>
    <m/>
    <m/>
    <s v="6"/>
    <m/>
    <m/>
    <s v="0"/>
    <s v="PS5 - TZA - PS5 - Tanzania"/>
    <s v="PS5-60-05 - Power Gen Package B (UCP)"/>
    <m/>
    <s v="PS5-60-05"/>
    <x v="0"/>
    <x v="0"/>
    <s v="RJ45 Cable"/>
    <s v="T"/>
    <x v="0"/>
    <s v="PS5 - Milestone B"/>
    <s v="TM-00275"/>
    <m/>
    <m/>
  </r>
  <r>
    <s v="T-00275-1949"/>
    <s v="PS5-60-IE-0003C-CA02"/>
    <m/>
    <m/>
    <m/>
    <m/>
    <x v="38"/>
    <s v="PCOM - Precommissioning"/>
    <s v="T"/>
    <x v="1"/>
    <x v="2"/>
    <s v="Cable FROM PS5-60-IE-0003B TO PS5-60-IE-0003C"/>
    <s v="EACOP"/>
    <s v="CPP AGI"/>
    <m/>
    <m/>
    <s v="6"/>
    <m/>
    <m/>
    <s v="0"/>
    <s v="PS5 - TZA - PS5 - Tanzania"/>
    <s v="PS5-60-08 - Power Gen Package C (UCP)"/>
    <m/>
    <s v="PS5-60-08"/>
    <x v="1"/>
    <x v="0"/>
    <s v="RJ45 Cable"/>
    <s v="T"/>
    <x v="0"/>
    <s v="PS5 - Milestone D"/>
    <s v="TM-00275"/>
    <m/>
    <m/>
  </r>
  <r>
    <s v="T-00275-1950"/>
    <s v="PS5-60-IE-0003C-CA03"/>
    <m/>
    <m/>
    <m/>
    <m/>
    <x v="38"/>
    <s v="PCOM - Precommissioning"/>
    <s v="T"/>
    <x v="1"/>
    <x v="2"/>
    <s v="Cable FROM PS5-60-IE-0003B TO PS5-60-IE-0003C"/>
    <s v="EACOP"/>
    <s v="CPP AGI"/>
    <m/>
    <m/>
    <s v="6"/>
    <m/>
    <m/>
    <s v="0"/>
    <s v="PS5 - TZA - PS5 - Tanzania"/>
    <s v="PS5-60-08 - Power Gen Package C (UCP)"/>
    <m/>
    <s v="PS5-60-08"/>
    <x v="1"/>
    <x v="0"/>
    <s v="RJ45 Cable"/>
    <s v="T"/>
    <x v="0"/>
    <s v="PS5 - Milestone D"/>
    <s v="TM-00275"/>
    <m/>
    <m/>
  </r>
  <r>
    <s v="T-00275-1951"/>
    <s v="PS5-60-IE-0003C-CA04"/>
    <m/>
    <m/>
    <m/>
    <m/>
    <x v="38"/>
    <s v="PCOM - Precommissioning"/>
    <s v="T"/>
    <x v="1"/>
    <x v="2"/>
    <s v="Cable FROM PS5-60-IE-0003B TO PS5-60-IE-0003C"/>
    <s v="EACOP"/>
    <s v="CPP AGI"/>
    <m/>
    <m/>
    <s v="6"/>
    <m/>
    <m/>
    <s v="0"/>
    <s v="PS5 - TZA - PS5 - Tanzania"/>
    <s v="PS5-60-08 - Power Gen Package C (UCP)"/>
    <m/>
    <s v="PS5-60-08"/>
    <x v="1"/>
    <x v="0"/>
    <s v="RJ45 Cable"/>
    <s v="T"/>
    <x v="0"/>
    <s v="PS5 - Milestone D"/>
    <s v="TM-00275"/>
    <m/>
    <m/>
  </r>
  <r>
    <s v="T-00275-1952"/>
    <s v="PS5-60-IE-0003C-CA05"/>
    <m/>
    <m/>
    <m/>
    <m/>
    <x v="38"/>
    <s v="PCOM - Precommissioning"/>
    <s v="T"/>
    <x v="1"/>
    <x v="2"/>
    <s v="Cable FROM PS5-60-IE-0003B TO PS5-60-IE-0003C"/>
    <s v="EACOP"/>
    <s v="CPP AGI"/>
    <m/>
    <m/>
    <s v="6"/>
    <m/>
    <m/>
    <s v="0"/>
    <s v="PS5 - TZA - PS5 - Tanzania"/>
    <s v="PS5-60-08 - Power Gen Package C (UCP)"/>
    <m/>
    <s v="PS5-60-08"/>
    <x v="1"/>
    <x v="0"/>
    <s v="RJ45 Cable"/>
    <s v="T"/>
    <x v="0"/>
    <s v="PS5 - Milestone D"/>
    <s v="TM-00275"/>
    <m/>
    <m/>
  </r>
  <r>
    <s v="T-00275-1953"/>
    <s v="PS5-60-IE-0003D-CA02"/>
    <m/>
    <m/>
    <m/>
    <m/>
    <x v="38"/>
    <s v="PCOM - Precommissioning"/>
    <s v="T"/>
    <x v="1"/>
    <x v="2"/>
    <s v="Cable FROM PS5-60-IE-0003C TO PS5-60-IE-0003D"/>
    <s v="EACOP"/>
    <s v="CPP AGI"/>
    <m/>
    <m/>
    <s v="6"/>
    <m/>
    <m/>
    <s v="0"/>
    <s v="PS5 - TZA - PS5 - Tanzania"/>
    <s v="PS5-60-11 - Power Gen Package D (UCP)"/>
    <m/>
    <s v="PS5-60-11"/>
    <x v="1"/>
    <x v="0"/>
    <s v="RJ45 Cable"/>
    <s v="T"/>
    <x v="0"/>
    <s v="PS5 - Milestone D"/>
    <s v="TM-00275"/>
    <m/>
    <m/>
  </r>
  <r>
    <s v="T-00275-1954"/>
    <s v="PS5-60-IE-0003D-CA03"/>
    <m/>
    <m/>
    <m/>
    <m/>
    <x v="38"/>
    <s v="PCOM - Precommissioning"/>
    <s v="T"/>
    <x v="1"/>
    <x v="2"/>
    <s v="Cable FROM PS5-60-IE-0003C TO PS5-60-IE-0003D"/>
    <s v="EACOP"/>
    <s v="CPP AGI"/>
    <m/>
    <m/>
    <s v="6"/>
    <m/>
    <m/>
    <s v="0"/>
    <s v="PS5 - TZA - PS5 - Tanzania"/>
    <s v="PS5-60-11 - Power Gen Package D (UCP)"/>
    <m/>
    <s v="PS5-60-11"/>
    <x v="1"/>
    <x v="0"/>
    <s v="RJ45 Cable"/>
    <s v="T"/>
    <x v="0"/>
    <s v="PS5 - Milestone D"/>
    <s v="TM-00275"/>
    <m/>
    <m/>
  </r>
  <r>
    <s v="T-00275-1955"/>
    <s v="PS5-60-IE-0003D-CA04"/>
    <m/>
    <m/>
    <m/>
    <m/>
    <x v="38"/>
    <s v="PCOM - Precommissioning"/>
    <s v="T"/>
    <x v="1"/>
    <x v="2"/>
    <s v="Cable FROM PS5-60-IE-0003C TO PS5-60-IE-0003D"/>
    <s v="EACOP"/>
    <s v="CPP AGI"/>
    <m/>
    <m/>
    <s v="6"/>
    <m/>
    <m/>
    <s v="0"/>
    <s v="PS5 - TZA - PS5 - Tanzania"/>
    <s v="PS5-60-11 - Power Gen Package D (UCP)"/>
    <m/>
    <s v="PS5-60-11"/>
    <x v="1"/>
    <x v="0"/>
    <s v="RJ45 Cable"/>
    <s v="T"/>
    <x v="0"/>
    <s v="PS5 - Milestone D"/>
    <s v="TM-00275"/>
    <m/>
    <m/>
  </r>
  <r>
    <s v="T-00275-1956"/>
    <s v="PS5-60-IE-0003D-CA05"/>
    <m/>
    <m/>
    <m/>
    <m/>
    <x v="38"/>
    <s v="PCOM - Precommissioning"/>
    <s v="T"/>
    <x v="1"/>
    <x v="2"/>
    <s v="Cable FROM PS5-60-IE-0003C TO PS5-60-IE-0003D"/>
    <s v="EACOP"/>
    <s v="CPP AGI"/>
    <m/>
    <m/>
    <s v="6"/>
    <m/>
    <m/>
    <s v="0"/>
    <s v="PS5 - TZA - PS5 - Tanzania"/>
    <s v="PS5-60-11 - Power Gen Package D (UCP)"/>
    <m/>
    <s v="PS5-60-11"/>
    <x v="1"/>
    <x v="0"/>
    <s v="RJ45 Cable"/>
    <s v="T"/>
    <x v="0"/>
    <s v="PS5 - Milestone D"/>
    <s v="TM-00275"/>
    <m/>
    <m/>
  </r>
  <r>
    <s v="T-00275-1968"/>
    <s v="PS5-60-IE-0004-CA01"/>
    <m/>
    <m/>
    <m/>
    <m/>
    <x v="38"/>
    <s v="PCOM - Precommissioning"/>
    <s v="T"/>
    <x v="1"/>
    <x v="2"/>
    <s v="Cable FROM PS5-60-IE-0003A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69"/>
    <s v="PS5-60-IE-0004-CA07"/>
    <m/>
    <m/>
    <m/>
    <m/>
    <x v="38"/>
    <s v="PCOM - Precommissioning"/>
    <s v="T"/>
    <x v="1"/>
    <x v="2"/>
    <s v="Cable FROM PS5-60-IE-0003G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70"/>
    <s v="PS5-60-IE-0004-CA08"/>
    <m/>
    <m/>
    <m/>
    <m/>
    <x v="38"/>
    <s v="PCOM - Precommissioning"/>
    <s v="T"/>
    <x v="1"/>
    <x v="2"/>
    <s v="Cable FROM PS5-60-IE-0003A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71"/>
    <s v="PS5-60-IE-0004-CA14"/>
    <m/>
    <m/>
    <m/>
    <m/>
    <x v="38"/>
    <s v="PCOM - Precommissioning"/>
    <s v="T"/>
    <x v="1"/>
    <x v="2"/>
    <s v="Cable FROM PS5-60-IE-0003G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72"/>
    <s v="PS5-60-IE-0004-CA15"/>
    <m/>
    <m/>
    <m/>
    <m/>
    <x v="38"/>
    <s v="PCOM - Precommissioning"/>
    <s v="T"/>
    <x v="1"/>
    <x v="2"/>
    <s v="Cable FROM PS5-60-IE-0003A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73"/>
    <s v="PS5-60-IE-0004-CA21"/>
    <m/>
    <m/>
    <m/>
    <m/>
    <x v="38"/>
    <s v="PCOM - Precommissioning"/>
    <s v="T"/>
    <x v="1"/>
    <x v="2"/>
    <s v="Cable FROM PS5-60-IE-0003G TO PS5-60-IE-0004"/>
    <s v="EACOP"/>
    <s v="CPP AGI"/>
    <m/>
    <m/>
    <s v="6"/>
    <m/>
    <m/>
    <s v="0"/>
    <s v="PS5 - TZA - PS5 - Tanzania"/>
    <s v="PS5-60-22 - Power Gen Master UCP"/>
    <m/>
    <s v="PS5-60-22"/>
    <x v="0"/>
    <x v="0"/>
    <s v="RJ45 Cable"/>
    <s v="T"/>
    <x v="0"/>
    <s v="PS5 - Milestone B"/>
    <s v="TM-00275"/>
    <m/>
    <m/>
  </r>
  <r>
    <s v="T-00275-1974"/>
    <s v="PS5-60-IH-0001A-CA01"/>
    <m/>
    <m/>
    <m/>
    <m/>
    <x v="38"/>
    <s v="PCOM - Precommissioning"/>
    <s v="T"/>
    <x v="1"/>
    <x v="2"/>
    <s v="Cable FROM PS5-60-IE-0003G TO PS5-60-IH-0001A"/>
    <s v="EACOP"/>
    <s v="CPP AGI"/>
    <m/>
    <m/>
    <s v="6"/>
    <m/>
    <m/>
    <s v="0"/>
    <s v="PS5 - TZA - PS5 - Tanzania"/>
    <s v="PS5-60-03 - Power Gen Package A Generator Auxiliary MCCs &amp; DBs"/>
    <m/>
    <s v="PS5-60-03"/>
    <x v="0"/>
    <x v="0"/>
    <s v="RJ45 Cable"/>
    <s v="T"/>
    <x v="0"/>
    <s v="PS5 - Milestone B"/>
    <s v="TM-00275"/>
    <m/>
    <m/>
  </r>
  <r>
    <s v="T-00275-1975"/>
    <s v="PS5-60-IH-0001B-CA01"/>
    <m/>
    <m/>
    <m/>
    <m/>
    <x v="38"/>
    <s v="PCOM - Precommissioning"/>
    <s v="T"/>
    <x v="1"/>
    <x v="2"/>
    <s v="Cable FROM PS5-60-IE-0001B TO PS5-60-IH-0001B"/>
    <s v="EACOP"/>
    <s v="CPP AGI"/>
    <m/>
    <m/>
    <s v="6"/>
    <m/>
    <m/>
    <s v="0"/>
    <s v="PS5 - TZA - PS5 - Tanzania"/>
    <s v="PS5-60-06 - Power Gen Package B Generator Auxiliary MCCs &amp; DBs"/>
    <m/>
    <s v="PS5-60-06"/>
    <x v="0"/>
    <x v="0"/>
    <s v="RJ45 Cable"/>
    <s v="T"/>
    <x v="0"/>
    <s v="PS5 - Milestone B"/>
    <s v="TM-00275"/>
    <m/>
    <m/>
  </r>
  <r>
    <s v="T-00275-1976"/>
    <s v="PS5-60-IH-0001C-CA01"/>
    <m/>
    <m/>
    <m/>
    <m/>
    <x v="38"/>
    <s v="PCOM - Precommissioning"/>
    <s v="T"/>
    <x v="1"/>
    <x v="2"/>
    <s v="Cable FROM PS5-60-IE-0001C TO PS5-60-IH-0001C"/>
    <s v="EACOP"/>
    <s v="CPP AGI"/>
    <m/>
    <m/>
    <s v="6"/>
    <m/>
    <m/>
    <s v="0"/>
    <s v="PS5 - TZA - PS5 - Tanzania"/>
    <s v="PS5-60-09 - Power Gen Package C Generator Auxiliary MCCs &amp; DBs"/>
    <m/>
    <s v="PS5-60-09"/>
    <x v="1"/>
    <x v="0"/>
    <s v="RJ45 Cable"/>
    <s v="T"/>
    <x v="0"/>
    <s v="PS5 - Milestone D"/>
    <s v="TM-00275"/>
    <m/>
    <m/>
  </r>
  <r>
    <s v="T-00275-1977"/>
    <s v="PS5-60-IH-0001D-CA01"/>
    <m/>
    <m/>
    <m/>
    <m/>
    <x v="38"/>
    <s v="PCOM - Precommissioning"/>
    <s v="T"/>
    <x v="1"/>
    <x v="2"/>
    <s v="Cable FROM PS5-60-IE-0001D TO PS5-60-IH-0001D"/>
    <s v="EACOP"/>
    <s v="CPP AGI"/>
    <m/>
    <m/>
    <s v="6"/>
    <m/>
    <m/>
    <s v="0"/>
    <s v="PS5 - TZA - PS5 - Tanzania"/>
    <s v="PS5-60-12 - Power Gen Package D Generator Auxiliary MCCs &amp; DBs"/>
    <m/>
    <s v="PS5-60-12"/>
    <x v="1"/>
    <x v="0"/>
    <s v="RJ45 Cable"/>
    <s v="T"/>
    <x v="0"/>
    <s v="PS5 - Milestone D"/>
    <s v="TM-00275"/>
    <m/>
    <m/>
  </r>
  <r>
    <s v="T-00275-1981"/>
    <s v="PS5-60-IN-0001A-CA01"/>
    <m/>
    <m/>
    <m/>
    <m/>
    <x v="38"/>
    <s v="PCOM - Precommissioning"/>
    <s v="T"/>
    <x v="1"/>
    <x v="2"/>
    <s v="Cable FROM PS5-60-IE-0003A TO PS5-60-IN-0001A"/>
    <s v="EACOP"/>
    <s v="CPP AGI"/>
    <m/>
    <m/>
    <s v="6"/>
    <m/>
    <m/>
    <s v="0"/>
    <s v="PS5 - TZA - PS5 - Tanzania"/>
    <s v="PS5-60-49 - Lube Oil Separator Module PS5-60-UO-81100A"/>
    <m/>
    <s v="PS5-60-49"/>
    <x v="0"/>
    <x v="0"/>
    <s v="RJ45 Cable"/>
    <s v="T"/>
    <x v="0"/>
    <s v="PS5 - Milestone B"/>
    <s v="TM-00275"/>
    <m/>
    <m/>
  </r>
  <r>
    <s v="T-00275-1982"/>
    <s v="PS5-60-IN-0001B-CA01"/>
    <m/>
    <m/>
    <m/>
    <m/>
    <x v="38"/>
    <s v="PCOM - Precommissioning"/>
    <s v="T"/>
    <x v="1"/>
    <x v="2"/>
    <s v="Cable FROM PS5-60-IE-0003B TO PS5-60-IN-0001B"/>
    <s v="EACOP"/>
    <s v="CPP AGI"/>
    <m/>
    <m/>
    <s v="6"/>
    <m/>
    <m/>
    <s v="0"/>
    <s v="PS5 - TZA - PS5 - Tanzania"/>
    <s v="PS5-60-50 - Lube Oil Separator Module PS5-60-UO-81100B"/>
    <m/>
    <s v="PS5-60-50"/>
    <x v="0"/>
    <x v="0"/>
    <s v="RJ45 Cable"/>
    <s v="T"/>
    <x v="0"/>
    <s v="PS5 - Milestone B"/>
    <s v="TM-00275"/>
    <m/>
    <m/>
  </r>
  <r>
    <s v="T-00275-1983"/>
    <s v="PS5-60-IN-0001C-CA01"/>
    <m/>
    <m/>
    <m/>
    <m/>
    <x v="38"/>
    <s v="PCOM - Precommissioning"/>
    <s v="T"/>
    <x v="1"/>
    <x v="2"/>
    <s v="Cable FROM PS5-60-IE-0003C TO PS5-60-IN-0001C"/>
    <s v="EACOP"/>
    <s v="CPP AGI"/>
    <m/>
    <m/>
    <s v="6"/>
    <m/>
    <m/>
    <s v="0"/>
    <s v="PS5 - TZA - PS5 - Tanzania"/>
    <s v="PS5-60-51 - Lube Oil Separator Module PS5-60-UO-81100C"/>
    <m/>
    <s v="PS5-60-51"/>
    <x v="1"/>
    <x v="0"/>
    <s v="RJ45 Cable"/>
    <s v="T"/>
    <x v="0"/>
    <s v="PS5 - Milestone D"/>
    <s v="TM-00275"/>
    <m/>
    <m/>
  </r>
  <r>
    <s v="T-00275-1984"/>
    <s v="PS5-60-IN-0001D-CA01"/>
    <m/>
    <m/>
    <m/>
    <m/>
    <x v="38"/>
    <s v="PCOM - Precommissioning"/>
    <s v="T"/>
    <x v="1"/>
    <x v="2"/>
    <s v="Cable FROM PS5-60-IE-0003D TO PS5-60-IN-0001D"/>
    <s v="EACOP"/>
    <s v="CPP AGI"/>
    <m/>
    <m/>
    <s v="6"/>
    <m/>
    <m/>
    <s v="0"/>
    <s v="PS5 - TZA - PS5 - Tanzania"/>
    <s v="PS5-60-52 - Lube Oil Separator Module PS5-60-UO-81100D"/>
    <m/>
    <s v="PS5-60-52"/>
    <x v="1"/>
    <x v="0"/>
    <s v="RJ45 Cable"/>
    <s v="T"/>
    <x v="0"/>
    <s v="PS5 - Milestone D"/>
    <s v="TM-00275"/>
    <m/>
    <m/>
  </r>
  <r>
    <s v="T-00275-1988"/>
    <s v="PS5-60-IN-0002A-CA01"/>
    <m/>
    <m/>
    <m/>
    <m/>
    <x v="38"/>
    <s v="PCOM - Precommissioning"/>
    <s v="T"/>
    <x v="1"/>
    <x v="2"/>
    <s v="Cable FROM PS5-60-IE-0003A TO PS5-60-IN-0002A"/>
    <s v="EACOP"/>
    <s v="CPP AGI"/>
    <m/>
    <m/>
    <s v="6"/>
    <m/>
    <m/>
    <s v="0"/>
    <s v="PS5 - TZA - PS5 - Tanzania"/>
    <s v="PS5-60-57 - Fuel Conditioning Module PS5-60-UZ-8900A (UCP)"/>
    <m/>
    <s v="PS5-60-57"/>
    <x v="0"/>
    <x v="0"/>
    <s v="RJ45 Cable"/>
    <s v="T"/>
    <x v="0"/>
    <s v="PS5 - Milestone B"/>
    <s v="TM-00275"/>
    <m/>
    <m/>
  </r>
  <r>
    <s v="T-00275-1989"/>
    <s v="PS5-60-IN-0002B-CA01"/>
    <m/>
    <m/>
    <m/>
    <m/>
    <x v="38"/>
    <s v="PCOM - Precommissioning"/>
    <s v="T"/>
    <x v="1"/>
    <x v="2"/>
    <s v="Cable FROM PS5-60-IE-0003B TO PS5-60-IN-0002B"/>
    <s v="EACOP"/>
    <s v="CPP AGI"/>
    <m/>
    <m/>
    <s v="6"/>
    <m/>
    <m/>
    <s v="0"/>
    <s v="PS5 - TZA - PS5 - Tanzania"/>
    <s v="PS5-60-59 - Fuel Conditioning Module PS5-60-UZ-8900B (UCP)"/>
    <m/>
    <s v="PS5-60-59"/>
    <x v="0"/>
    <x v="0"/>
    <s v="RJ45 Cable"/>
    <s v="T"/>
    <x v="0"/>
    <s v="PS5 - Milestone B"/>
    <s v="TM-00275"/>
    <m/>
    <m/>
  </r>
  <r>
    <s v="T-00275-1990"/>
    <s v="PS5-60-IN-0002C-CA01"/>
    <m/>
    <m/>
    <m/>
    <m/>
    <x v="38"/>
    <s v="PCOM - Precommissioning"/>
    <s v="T"/>
    <x v="1"/>
    <x v="2"/>
    <s v="Cable FROM PS5-60-IE-0003C TO PS5-60-IN-0002C"/>
    <s v="EACOP"/>
    <s v="CPP AGI"/>
    <m/>
    <m/>
    <s v="6"/>
    <m/>
    <m/>
    <s v="0"/>
    <s v="PS5 - TZA - PS5 - Tanzania"/>
    <s v="PS5-60-61 - Fuel Conditioning Module PS5-60-UZ-8900C (UCP)"/>
    <m/>
    <s v="PS5-60-61"/>
    <x v="1"/>
    <x v="0"/>
    <s v="RJ45 Cable"/>
    <s v="T"/>
    <x v="0"/>
    <s v="PS5 - Milestone D"/>
    <s v="TM-00275"/>
    <m/>
    <m/>
  </r>
  <r>
    <s v="T-00275-1991"/>
    <s v="PS5-60-IN-0002D-CA01"/>
    <m/>
    <m/>
    <m/>
    <m/>
    <x v="38"/>
    <s v="PCOM - Precommissioning"/>
    <s v="T"/>
    <x v="1"/>
    <x v="2"/>
    <s v="Cable FROM PS5-60-IE-0003D TO PS5-60-IN-0002D"/>
    <s v="EACOP"/>
    <s v="CPP AGI"/>
    <m/>
    <m/>
    <s v="6"/>
    <m/>
    <m/>
    <s v="0"/>
    <s v="PS5 - TZA - PS5 - Tanzania"/>
    <s v="PS5-60-63 - Fuel Conditioning Module PS5-60-UZ-8900D (UCP)"/>
    <m/>
    <s v="PS5-60-63"/>
    <x v="1"/>
    <x v="0"/>
    <s v="RJ45 Cable"/>
    <s v="T"/>
    <x v="0"/>
    <s v="PS5 - Milestone D"/>
    <s v="TM-00275"/>
    <m/>
    <m/>
  </r>
  <r>
    <s v="T-00275-1995"/>
    <s v="PS5-60-LA-0002B-CA01"/>
    <m/>
    <m/>
    <m/>
    <m/>
    <x v="38"/>
    <s v="PCOM - Precommissioning"/>
    <s v="T"/>
    <x v="1"/>
    <x v="2"/>
    <s v="Cable FROM PS5-60-IE-0004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1996"/>
    <s v="PS5-60-LA-0002B-CA02"/>
    <m/>
    <m/>
    <m/>
    <m/>
    <x v="38"/>
    <s v="PCOM - Precommissioning"/>
    <s v="T"/>
    <x v="1"/>
    <x v="2"/>
    <s v="Cable FROM PS5-60-LA-0002A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1997"/>
    <s v="PS5-60-LA-0002B-CA03"/>
    <m/>
    <m/>
    <m/>
    <m/>
    <x v="38"/>
    <s v="PCOM - Precommissioning"/>
    <s v="T"/>
    <x v="1"/>
    <x v="2"/>
    <s v="Cable FROM PS5-60-LA-0002A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1998"/>
    <s v="PS5-60-LA-0002B-CA04"/>
    <m/>
    <m/>
    <m/>
    <m/>
    <x v="38"/>
    <s v="PCOM - Precommissioning"/>
    <s v="T"/>
    <x v="1"/>
    <x v="2"/>
    <s v="Cable FROM PS5-60-LA-0002A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1999"/>
    <s v="PS5-60-LA-0002B-CA05"/>
    <m/>
    <m/>
    <m/>
    <m/>
    <x v="38"/>
    <s v="PCOM - Precommissioning"/>
    <s v="T"/>
    <x v="1"/>
    <x v="2"/>
    <s v="Cable FROM PS5-60-LA-0002C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2000"/>
    <s v="PS5-60-LA-0002B-CA06"/>
    <m/>
    <m/>
    <m/>
    <m/>
    <x v="38"/>
    <s v="PCOM - Precommissioning"/>
    <s v="T"/>
    <x v="1"/>
    <x v="2"/>
    <s v="Cable FROM PS5-60-LA-0002C TO PS5-60-LA-0002B"/>
    <s v="EACOP"/>
    <s v="CPP AGI"/>
    <m/>
    <m/>
    <s v="6"/>
    <m/>
    <m/>
    <s v="0"/>
    <s v="PS5 - TZA - PS5 - Tanzania"/>
    <s v="PS5-60-10 - Power Generation Package D"/>
    <m/>
    <s v="PS5-60-10"/>
    <x v="1"/>
    <x v="0"/>
    <s v="RJ45 Cable"/>
    <s v="T"/>
    <x v="0"/>
    <s v="PS5 - Milestone D"/>
    <s v="TM-00275"/>
    <m/>
    <m/>
  </r>
  <r>
    <s v="T-00275-2007"/>
    <s v="PS5-60-SEA-0001-CA01"/>
    <m/>
    <m/>
    <m/>
    <m/>
    <x v="38"/>
    <s v="PCOM - Precommissioning"/>
    <s v="T"/>
    <x v="1"/>
    <x v="2"/>
    <s v="Cable FROM PS5-60-IE-0004 TO PS5-60-SEA-0001"/>
    <s v="EACOP"/>
    <s v="CPP AGI"/>
    <m/>
    <m/>
    <s v="6"/>
    <m/>
    <m/>
    <s v="0"/>
    <s v="PS5 - TZA - PS5 - Tanzania"/>
    <s v="PS5-03-14 - FZ-14 - Power Generation Building - Switchgear Room"/>
    <m/>
    <s v="PS5-03-14"/>
    <x v="1"/>
    <x v="0"/>
    <s v="RJ45 Cable"/>
    <s v="T"/>
    <x v="0"/>
    <s v="PS5 - Milestone E"/>
    <s v="TM-00275"/>
    <m/>
    <m/>
  </r>
  <r>
    <s v="T-00275-2011"/>
    <s v="PS5-71-IN-0003-CA01"/>
    <m/>
    <m/>
    <m/>
    <m/>
    <x v="38"/>
    <s v="PCOM - Precommissioning"/>
    <s v="T"/>
    <x v="1"/>
    <x v="2"/>
    <s v="Cable FROM PS5-60-IE-0004 TO PS5-71-IN-0003"/>
    <s v="EACOP"/>
    <s v="CPP AGI"/>
    <m/>
    <m/>
    <s v="6"/>
    <m/>
    <m/>
    <s v="0"/>
    <s v="PS5 - TZA - PS5 - Tanzania"/>
    <s v="PS5-71-23 - Diesel Fuel Pre Pressure Module (UCP)"/>
    <m/>
    <s v="PS5-71-23"/>
    <x v="0"/>
    <x v="0"/>
    <s v="RJ45 Cable"/>
    <s v="T"/>
    <x v="0"/>
    <s v="PS5 - Milestone B"/>
    <s v="TM-00275"/>
    <m/>
    <m/>
  </r>
  <r>
    <s v="T-00275-2012"/>
    <s v="PS5-71-IN-0004A-CA01"/>
    <m/>
    <m/>
    <m/>
    <m/>
    <x v="38"/>
    <s v="PCOM - Precommissioning"/>
    <s v="T"/>
    <x v="1"/>
    <x v="2"/>
    <s v="Cable FROM PS5-60-IE-0004 TO PS5-71-IN-0004A"/>
    <s v="EACOP"/>
    <s v="CPP AGI"/>
    <m/>
    <m/>
    <s v="6"/>
    <m/>
    <m/>
    <s v="0"/>
    <s v="PS5 - TZA - PS5 - Tanzania"/>
    <s v="PS5-71-07 - Crude Fuel Separation Module (UCP)"/>
    <m/>
    <s v="PS5-71-07"/>
    <x v="1"/>
    <x v="0"/>
    <s v="RJ45 Cable"/>
    <s v="T"/>
    <x v="0"/>
    <s v="PS5 - Milestone H"/>
    <s v="TM-00275"/>
    <m/>
    <m/>
  </r>
  <r>
    <s v="T-00275-2013"/>
    <s v="PS5-71-IN-0004B-CA01"/>
    <m/>
    <m/>
    <m/>
    <m/>
    <x v="38"/>
    <s v="PCOM - Precommissioning"/>
    <s v="T"/>
    <x v="1"/>
    <x v="2"/>
    <s v="Cable FROM PS5-60-IE-0004 TO PS5-71-IN-0004B"/>
    <s v="EACOP"/>
    <s v="CPP AGI"/>
    <m/>
    <m/>
    <s v="6"/>
    <m/>
    <m/>
    <s v="0"/>
    <s v="PS5 - TZA - PS5 - Tanzania"/>
    <s v="PS5-71-07 - Crude Fuel Separation Module (UCP)"/>
    <m/>
    <s v="PS5-71-07"/>
    <x v="1"/>
    <x v="0"/>
    <s v="RJ45 Cable"/>
    <s v="T"/>
    <x v="0"/>
    <s v="PS5 - Milestone H"/>
    <s v="TM-0027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DEC2F-722C-4A23-8AD3-F5B4AFDB59C7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C12" firstHeaderRow="1" firstDataRow="1" firstDataCol="2" rowPageCount="3" colPageCount="1"/>
  <pivotFields count="3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0">
        <item x="37"/>
        <item x="19"/>
        <item x="20"/>
        <item x="21"/>
        <item x="36"/>
        <item x="22"/>
        <item x="23"/>
        <item x="24"/>
        <item x="25"/>
        <item x="26"/>
        <item x="27"/>
        <item x="28"/>
        <item x="29"/>
        <item x="30"/>
        <item x="0"/>
        <item x="1"/>
        <item x="2"/>
        <item x="17"/>
        <item x="3"/>
        <item x="18"/>
        <item x="4"/>
        <item x="5"/>
        <item x="6"/>
        <item x="7"/>
        <item x="8"/>
        <item x="31"/>
        <item x="38"/>
        <item x="35"/>
        <item x="32"/>
        <item x="33"/>
        <item x="34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24"/>
    <field x="9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pageFields count="3">
    <pageField fld="6" hier="-1"/>
    <pageField fld="28" hier="-1"/>
    <pageField fld="10" hier="-1"/>
  </pageFields>
  <dataFields count="1">
    <dataField name="Count of Task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535A-2A86-403A-AFE3-40C61C9AE733}">
  <dimension ref="B1:AD31"/>
  <sheetViews>
    <sheetView showGridLines="0" tabSelected="1" zoomScale="85" zoomScaleNormal="85" workbookViewId="0">
      <pane ySplit="5" topLeftCell="A6" activePane="bottomLeft" state="frozen"/>
      <selection pane="bottomLeft" activeCell="U26" sqref="U26"/>
    </sheetView>
  </sheetViews>
  <sheetFormatPr defaultRowHeight="14.4" x14ac:dyDescent="0.3"/>
  <cols>
    <col min="1" max="1" width="4.44140625" customWidth="1"/>
    <col min="2" max="2" width="11.77734375" customWidth="1"/>
    <col min="5" max="6" width="9.33203125" customWidth="1"/>
    <col min="11" max="11" width="8.88671875" style="58"/>
    <col min="15" max="15" width="10.88671875" customWidth="1"/>
    <col min="16" max="16" width="13.21875" customWidth="1"/>
    <col min="17" max="17" width="11.77734375" customWidth="1"/>
    <col min="20" max="21" width="9.33203125" customWidth="1"/>
    <col min="26" max="26" width="8.77734375" style="58"/>
    <col min="30" max="30" width="14.5546875" customWidth="1"/>
  </cols>
  <sheetData>
    <row r="1" spans="2:30" ht="15" thickBot="1" x14ac:dyDescent="0.35">
      <c r="B1" s="124" t="s">
        <v>4338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  <c r="P1" s="52"/>
      <c r="Q1" s="124" t="s">
        <v>4339</v>
      </c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6"/>
    </row>
    <row r="2" spans="2:30" ht="15" thickBot="1" x14ac:dyDescent="0.35">
      <c r="B2" s="50"/>
      <c r="C2" s="112">
        <v>186</v>
      </c>
      <c r="D2" s="112"/>
      <c r="E2" s="112">
        <v>471</v>
      </c>
      <c r="F2" s="112"/>
      <c r="G2" s="112">
        <v>75</v>
      </c>
      <c r="H2" s="112"/>
      <c r="I2" s="112">
        <v>82</v>
      </c>
      <c r="J2" s="112"/>
      <c r="K2" s="112">
        <v>28</v>
      </c>
      <c r="L2" s="112"/>
      <c r="M2" s="51"/>
      <c r="N2" s="51"/>
      <c r="O2" s="49"/>
      <c r="P2" s="48"/>
      <c r="Q2" s="50"/>
      <c r="R2" s="112">
        <v>320</v>
      </c>
      <c r="S2" s="112"/>
      <c r="T2" s="112">
        <v>452</v>
      </c>
      <c r="U2" s="112"/>
      <c r="V2" s="112">
        <v>62</v>
      </c>
      <c r="W2" s="112"/>
      <c r="X2" s="112">
        <v>90</v>
      </c>
      <c r="Y2" s="112"/>
      <c r="Z2" s="112">
        <v>23</v>
      </c>
      <c r="AA2" s="112"/>
      <c r="AB2" s="51"/>
      <c r="AC2" s="51"/>
      <c r="AD2" s="49"/>
    </row>
    <row r="3" spans="2:30" ht="27.6" customHeight="1" thickBot="1" x14ac:dyDescent="0.35">
      <c r="B3" s="117" t="s">
        <v>38</v>
      </c>
      <c r="C3" s="120" t="s">
        <v>9</v>
      </c>
      <c r="D3" s="121"/>
      <c r="E3" s="121" t="s">
        <v>12</v>
      </c>
      <c r="F3" s="121"/>
      <c r="G3" s="122" t="s">
        <v>26</v>
      </c>
      <c r="H3" s="123"/>
      <c r="I3" s="109" t="s">
        <v>40</v>
      </c>
      <c r="J3" s="109"/>
      <c r="K3" s="110" t="s">
        <v>39</v>
      </c>
      <c r="L3" s="111"/>
      <c r="M3" s="110" t="s">
        <v>4323</v>
      </c>
      <c r="N3" s="113"/>
      <c r="O3" s="114" t="s">
        <v>37</v>
      </c>
      <c r="P3" s="48"/>
      <c r="Q3" s="117" t="s">
        <v>38</v>
      </c>
      <c r="R3" s="120" t="s">
        <v>9</v>
      </c>
      <c r="S3" s="121"/>
      <c r="T3" s="121" t="s">
        <v>12</v>
      </c>
      <c r="U3" s="121"/>
      <c r="V3" s="122" t="s">
        <v>26</v>
      </c>
      <c r="W3" s="123"/>
      <c r="X3" s="109" t="s">
        <v>40</v>
      </c>
      <c r="Y3" s="109"/>
      <c r="Z3" s="110" t="s">
        <v>39</v>
      </c>
      <c r="AA3" s="111"/>
      <c r="AB3" s="110" t="s">
        <v>4324</v>
      </c>
      <c r="AC3" s="113"/>
      <c r="AD3" s="114" t="s">
        <v>37</v>
      </c>
    </row>
    <row r="4" spans="2:30" ht="15" thickBot="1" x14ac:dyDescent="0.35">
      <c r="B4" s="118"/>
      <c r="C4" s="82">
        <f>SUM(C6:C30)</f>
        <v>186</v>
      </c>
      <c r="D4" s="83">
        <f t="shared" ref="D4:N4" si="0">SUM(D6:D30)</f>
        <v>0</v>
      </c>
      <c r="E4" s="83">
        <f t="shared" si="0"/>
        <v>471</v>
      </c>
      <c r="F4" s="83">
        <f t="shared" si="0"/>
        <v>0</v>
      </c>
      <c r="G4" s="83">
        <f t="shared" si="0"/>
        <v>75</v>
      </c>
      <c r="H4" s="83">
        <f t="shared" si="0"/>
        <v>0</v>
      </c>
      <c r="I4" s="83">
        <f t="shared" si="0"/>
        <v>82</v>
      </c>
      <c r="J4" s="83">
        <f t="shared" si="0"/>
        <v>0</v>
      </c>
      <c r="K4" s="83">
        <f t="shared" si="0"/>
        <v>28</v>
      </c>
      <c r="L4" s="83">
        <f t="shared" si="0"/>
        <v>0</v>
      </c>
      <c r="M4" s="83">
        <f t="shared" si="0"/>
        <v>842</v>
      </c>
      <c r="N4" s="84">
        <f t="shared" si="0"/>
        <v>0</v>
      </c>
      <c r="O4" s="115"/>
      <c r="P4" s="48"/>
      <c r="Q4" s="118"/>
      <c r="R4" s="82">
        <f>SUM(R6:R30)</f>
        <v>320</v>
      </c>
      <c r="S4" s="83">
        <f t="shared" ref="S4:AC4" si="1">SUM(S6:S30)</f>
        <v>0</v>
      </c>
      <c r="T4" s="83">
        <f t="shared" si="1"/>
        <v>452</v>
      </c>
      <c r="U4" s="83">
        <f t="shared" si="1"/>
        <v>0</v>
      </c>
      <c r="V4" s="83">
        <f t="shared" si="1"/>
        <v>62</v>
      </c>
      <c r="W4" s="83">
        <f t="shared" si="1"/>
        <v>0</v>
      </c>
      <c r="X4" s="83">
        <f t="shared" si="1"/>
        <v>90</v>
      </c>
      <c r="Y4" s="83">
        <f t="shared" si="1"/>
        <v>0</v>
      </c>
      <c r="Z4" s="83">
        <f t="shared" si="1"/>
        <v>23</v>
      </c>
      <c r="AA4" s="83">
        <f t="shared" si="1"/>
        <v>0</v>
      </c>
      <c r="AB4" s="83">
        <f>SUM(AB6:AB30)</f>
        <v>947</v>
      </c>
      <c r="AC4" s="84">
        <f t="shared" si="1"/>
        <v>0</v>
      </c>
      <c r="AD4" s="115"/>
    </row>
    <row r="5" spans="2:30" ht="15" thickBot="1" x14ac:dyDescent="0.35">
      <c r="B5" s="119"/>
      <c r="C5" s="59" t="s">
        <v>36</v>
      </c>
      <c r="D5" s="60" t="s">
        <v>35</v>
      </c>
      <c r="E5" s="60" t="s">
        <v>36</v>
      </c>
      <c r="F5" s="60" t="s">
        <v>35</v>
      </c>
      <c r="G5" s="60" t="s">
        <v>36</v>
      </c>
      <c r="H5" s="60" t="s">
        <v>35</v>
      </c>
      <c r="I5" s="60" t="s">
        <v>36</v>
      </c>
      <c r="J5" s="60" t="s">
        <v>35</v>
      </c>
      <c r="K5" s="60" t="s">
        <v>36</v>
      </c>
      <c r="L5" s="60" t="s">
        <v>35</v>
      </c>
      <c r="M5" s="61" t="s">
        <v>36</v>
      </c>
      <c r="N5" s="66" t="s">
        <v>35</v>
      </c>
      <c r="O5" s="116"/>
      <c r="P5" s="48"/>
      <c r="Q5" s="119"/>
      <c r="R5" s="59" t="s">
        <v>36</v>
      </c>
      <c r="S5" s="60" t="s">
        <v>35</v>
      </c>
      <c r="T5" s="60" t="s">
        <v>36</v>
      </c>
      <c r="U5" s="60" t="s">
        <v>35</v>
      </c>
      <c r="V5" s="60" t="s">
        <v>36</v>
      </c>
      <c r="W5" s="60" t="s">
        <v>35</v>
      </c>
      <c r="X5" s="60" t="s">
        <v>36</v>
      </c>
      <c r="Y5" s="60" t="s">
        <v>35</v>
      </c>
      <c r="Z5" s="60" t="s">
        <v>36</v>
      </c>
      <c r="AA5" s="60" t="s">
        <v>35</v>
      </c>
      <c r="AB5" s="61" t="s">
        <v>36</v>
      </c>
      <c r="AC5" s="66" t="s">
        <v>35</v>
      </c>
      <c r="AD5" s="116"/>
    </row>
    <row r="6" spans="2:30" x14ac:dyDescent="0.3">
      <c r="B6" s="47">
        <v>46216</v>
      </c>
      <c r="C6" s="67">
        <v>7</v>
      </c>
      <c r="D6" s="46"/>
      <c r="E6" s="46"/>
      <c r="F6" s="46"/>
      <c r="G6" s="46"/>
      <c r="H6" s="46"/>
      <c r="I6" s="46"/>
      <c r="J6" s="45"/>
      <c r="K6" s="56"/>
      <c r="L6" s="53"/>
      <c r="M6" s="40">
        <f t="shared" ref="M6:M8" si="2">C6+E6+G6+I6</f>
        <v>7</v>
      </c>
      <c r="N6" s="68"/>
      <c r="O6" s="62"/>
      <c r="P6" s="89"/>
      <c r="Q6" s="47">
        <v>46216</v>
      </c>
      <c r="R6" s="67"/>
      <c r="S6" s="46"/>
      <c r="T6" s="46"/>
      <c r="U6" s="46"/>
      <c r="V6" s="46"/>
      <c r="W6" s="46"/>
      <c r="X6" s="46"/>
      <c r="Y6" s="45"/>
      <c r="Z6" s="56"/>
      <c r="AA6" s="53"/>
      <c r="AB6" s="40">
        <f t="shared" ref="AB6:AB8" si="3">R6+T6+V6+X6</f>
        <v>0</v>
      </c>
      <c r="AC6" s="68"/>
      <c r="AD6" s="62"/>
    </row>
    <row r="7" spans="2:30" x14ac:dyDescent="0.3">
      <c r="B7" s="43">
        <v>46217</v>
      </c>
      <c r="C7" s="67">
        <v>20</v>
      </c>
      <c r="D7" s="38"/>
      <c r="E7" s="46"/>
      <c r="F7" s="38"/>
      <c r="G7" s="46"/>
      <c r="H7" s="38"/>
      <c r="I7" s="38"/>
      <c r="J7" s="37"/>
      <c r="K7" s="56"/>
      <c r="L7" s="53"/>
      <c r="M7" s="40">
        <f t="shared" si="2"/>
        <v>20</v>
      </c>
      <c r="N7" s="69"/>
      <c r="O7" s="63"/>
      <c r="P7" s="89"/>
      <c r="Q7" s="43">
        <v>46217</v>
      </c>
      <c r="R7" s="67"/>
      <c r="S7" s="38"/>
      <c r="T7" s="46"/>
      <c r="U7" s="38"/>
      <c r="V7" s="46"/>
      <c r="W7" s="38"/>
      <c r="X7" s="38"/>
      <c r="Y7" s="37"/>
      <c r="Z7" s="56"/>
      <c r="AA7" s="53"/>
      <c r="AB7" s="40">
        <f t="shared" si="3"/>
        <v>0</v>
      </c>
      <c r="AC7" s="69"/>
      <c r="AD7" s="63"/>
    </row>
    <row r="8" spans="2:30" x14ac:dyDescent="0.3">
      <c r="B8" s="43">
        <v>46218</v>
      </c>
      <c r="C8" s="67">
        <v>20</v>
      </c>
      <c r="D8" s="38"/>
      <c r="E8" s="46">
        <v>22</v>
      </c>
      <c r="F8" s="38"/>
      <c r="G8" s="46">
        <v>7</v>
      </c>
      <c r="H8" s="38"/>
      <c r="I8" s="38"/>
      <c r="J8" s="37"/>
      <c r="K8" s="56"/>
      <c r="L8" s="53"/>
      <c r="M8" s="40">
        <f t="shared" si="2"/>
        <v>49</v>
      </c>
      <c r="N8" s="69"/>
      <c r="O8" s="63"/>
      <c r="P8" s="89"/>
      <c r="Q8" s="43">
        <v>46218</v>
      </c>
      <c r="R8" s="67"/>
      <c r="S8" s="38"/>
      <c r="T8" s="46"/>
      <c r="U8" s="38"/>
      <c r="V8" s="46"/>
      <c r="W8" s="38"/>
      <c r="X8" s="38"/>
      <c r="Y8" s="37"/>
      <c r="Z8" s="56"/>
      <c r="AA8" s="53"/>
      <c r="AB8" s="40">
        <f t="shared" si="3"/>
        <v>0</v>
      </c>
      <c r="AC8" s="69"/>
      <c r="AD8" s="63"/>
    </row>
    <row r="9" spans="2:30" x14ac:dyDescent="0.3">
      <c r="B9" s="43">
        <v>46219</v>
      </c>
      <c r="C9" s="67">
        <v>20</v>
      </c>
      <c r="D9" s="38"/>
      <c r="E9" s="46">
        <v>25</v>
      </c>
      <c r="F9" s="38"/>
      <c r="G9" s="46">
        <v>8</v>
      </c>
      <c r="H9" s="38"/>
      <c r="I9" s="38"/>
      <c r="J9" s="37"/>
      <c r="K9" s="56"/>
      <c r="L9" s="53"/>
      <c r="M9" s="40">
        <f>C9+E9+G9+I9+K9</f>
        <v>53</v>
      </c>
      <c r="N9" s="69"/>
      <c r="O9" s="63"/>
      <c r="P9" s="89"/>
      <c r="Q9" s="43">
        <v>46219</v>
      </c>
      <c r="R9" s="67"/>
      <c r="S9" s="38"/>
      <c r="T9" s="46"/>
      <c r="U9" s="38"/>
      <c r="V9" s="46"/>
      <c r="W9" s="38"/>
      <c r="X9" s="38"/>
      <c r="Y9" s="37"/>
      <c r="Z9" s="56"/>
      <c r="AA9" s="53"/>
      <c r="AB9" s="40">
        <f>R9+T9+V9+X9+Z9</f>
        <v>0</v>
      </c>
      <c r="AC9" s="69"/>
      <c r="AD9" s="63"/>
    </row>
    <row r="10" spans="2:30" x14ac:dyDescent="0.3">
      <c r="B10" s="43">
        <v>46220</v>
      </c>
      <c r="C10" s="67">
        <v>20</v>
      </c>
      <c r="D10" s="38"/>
      <c r="E10" s="46">
        <v>25</v>
      </c>
      <c r="F10" s="38"/>
      <c r="G10" s="46">
        <v>8</v>
      </c>
      <c r="H10" s="38"/>
      <c r="I10" s="38"/>
      <c r="J10" s="37"/>
      <c r="K10" s="56"/>
      <c r="L10" s="53"/>
      <c r="M10" s="40">
        <f t="shared" ref="M10:M30" si="4">C10+E10+G10+I10+K10</f>
        <v>53</v>
      </c>
      <c r="N10" s="69"/>
      <c r="O10" s="63"/>
      <c r="P10" s="89"/>
      <c r="Q10" s="43">
        <v>46220</v>
      </c>
      <c r="R10" s="67"/>
      <c r="S10" s="38"/>
      <c r="T10" s="46"/>
      <c r="U10" s="38"/>
      <c r="V10" s="46"/>
      <c r="W10" s="38"/>
      <c r="X10" s="38"/>
      <c r="Y10" s="37"/>
      <c r="Z10" s="56"/>
      <c r="AA10" s="53"/>
      <c r="AB10" s="40">
        <f t="shared" ref="AB10:AB30" si="5">R10+T10+V10+X10+Z10</f>
        <v>0</v>
      </c>
      <c r="AC10" s="69"/>
      <c r="AD10" s="63"/>
    </row>
    <row r="11" spans="2:30" x14ac:dyDescent="0.3">
      <c r="B11" s="43">
        <v>46221</v>
      </c>
      <c r="C11" s="67">
        <v>20</v>
      </c>
      <c r="D11" s="38"/>
      <c r="E11" s="46">
        <v>25</v>
      </c>
      <c r="F11" s="38"/>
      <c r="G11" s="46">
        <v>8</v>
      </c>
      <c r="H11" s="38"/>
      <c r="I11" s="38"/>
      <c r="J11" s="37"/>
      <c r="K11" s="56"/>
      <c r="L11" s="53"/>
      <c r="M11" s="40">
        <f t="shared" si="4"/>
        <v>53</v>
      </c>
      <c r="N11" s="69"/>
      <c r="O11" s="63"/>
      <c r="P11" s="89"/>
      <c r="Q11" s="43">
        <v>46221</v>
      </c>
      <c r="R11" s="67"/>
      <c r="S11" s="38"/>
      <c r="T11" s="46"/>
      <c r="U11" s="38"/>
      <c r="V11" s="46"/>
      <c r="W11" s="38"/>
      <c r="X11" s="38"/>
      <c r="Y11" s="37"/>
      <c r="Z11" s="56"/>
      <c r="AA11" s="53"/>
      <c r="AB11" s="40">
        <f t="shared" si="5"/>
        <v>0</v>
      </c>
      <c r="AC11" s="69"/>
      <c r="AD11" s="63"/>
    </row>
    <row r="12" spans="2:30" x14ac:dyDescent="0.3">
      <c r="B12" s="43">
        <v>46222</v>
      </c>
      <c r="C12" s="67">
        <v>15</v>
      </c>
      <c r="D12" s="38"/>
      <c r="E12" s="46">
        <v>26</v>
      </c>
      <c r="F12" s="38"/>
      <c r="G12" s="46">
        <v>8</v>
      </c>
      <c r="H12" s="38"/>
      <c r="I12" s="38">
        <v>8</v>
      </c>
      <c r="J12" s="37"/>
      <c r="K12" s="56"/>
      <c r="L12" s="53"/>
      <c r="M12" s="40">
        <f t="shared" si="4"/>
        <v>57</v>
      </c>
      <c r="N12" s="69"/>
      <c r="O12" s="63"/>
      <c r="P12" s="89"/>
      <c r="Q12" s="43">
        <v>46222</v>
      </c>
      <c r="R12" s="67"/>
      <c r="S12" s="38"/>
      <c r="T12" s="46"/>
      <c r="U12" s="38"/>
      <c r="V12" s="38"/>
      <c r="W12" s="38"/>
      <c r="X12" s="38"/>
      <c r="Y12" s="37"/>
      <c r="Z12" s="56"/>
      <c r="AA12" s="53"/>
      <c r="AB12" s="40">
        <f t="shared" si="5"/>
        <v>0</v>
      </c>
      <c r="AC12" s="69"/>
      <c r="AD12" s="63"/>
    </row>
    <row r="13" spans="2:30" x14ac:dyDescent="0.3">
      <c r="B13" s="43">
        <v>46223</v>
      </c>
      <c r="C13" s="67">
        <v>15</v>
      </c>
      <c r="D13" s="38"/>
      <c r="E13" s="46">
        <v>20</v>
      </c>
      <c r="F13" s="38"/>
      <c r="G13" s="46">
        <v>8</v>
      </c>
      <c r="H13" s="38"/>
      <c r="I13" s="38">
        <v>8</v>
      </c>
      <c r="J13" s="37"/>
      <c r="K13" s="56"/>
      <c r="L13" s="53"/>
      <c r="M13" s="40">
        <f t="shared" si="4"/>
        <v>51</v>
      </c>
      <c r="N13" s="69"/>
      <c r="O13" s="63"/>
      <c r="P13" s="89"/>
      <c r="Q13" s="43">
        <v>46223</v>
      </c>
      <c r="R13" s="67">
        <v>20</v>
      </c>
      <c r="S13" s="38"/>
      <c r="T13" s="46">
        <v>25</v>
      </c>
      <c r="U13" s="38"/>
      <c r="V13" s="38">
        <v>5</v>
      </c>
      <c r="W13" s="38"/>
      <c r="X13" s="38"/>
      <c r="Y13" s="37"/>
      <c r="Z13" s="56"/>
      <c r="AA13" s="53"/>
      <c r="AB13" s="40">
        <f t="shared" si="5"/>
        <v>50</v>
      </c>
      <c r="AC13" s="69"/>
      <c r="AD13" s="63"/>
    </row>
    <row r="14" spans="2:30" x14ac:dyDescent="0.3">
      <c r="B14" s="43">
        <v>46224</v>
      </c>
      <c r="C14" s="67">
        <v>15</v>
      </c>
      <c r="D14" s="38"/>
      <c r="E14" s="46">
        <v>20</v>
      </c>
      <c r="F14" s="38"/>
      <c r="G14" s="46">
        <v>8</v>
      </c>
      <c r="H14" s="38"/>
      <c r="I14" s="38">
        <v>8</v>
      </c>
      <c r="J14" s="37"/>
      <c r="K14" s="56"/>
      <c r="L14" s="53"/>
      <c r="M14" s="40">
        <f t="shared" si="4"/>
        <v>51</v>
      </c>
      <c r="N14" s="69"/>
      <c r="O14" s="63"/>
      <c r="P14" s="89"/>
      <c r="Q14" s="43">
        <v>46224</v>
      </c>
      <c r="R14" s="67">
        <v>20</v>
      </c>
      <c r="S14" s="38"/>
      <c r="T14" s="46">
        <v>25</v>
      </c>
      <c r="U14" s="38"/>
      <c r="V14" s="38">
        <v>5</v>
      </c>
      <c r="W14" s="38"/>
      <c r="X14" s="38"/>
      <c r="Y14" s="37"/>
      <c r="Z14" s="56"/>
      <c r="AA14" s="53"/>
      <c r="AB14" s="40">
        <f t="shared" si="5"/>
        <v>50</v>
      </c>
      <c r="AC14" s="69"/>
      <c r="AD14" s="63"/>
    </row>
    <row r="15" spans="2:30" x14ac:dyDescent="0.3">
      <c r="B15" s="43">
        <v>46225</v>
      </c>
      <c r="C15" s="67">
        <v>15</v>
      </c>
      <c r="D15" s="38"/>
      <c r="E15" s="46">
        <v>20</v>
      </c>
      <c r="F15" s="38"/>
      <c r="G15" s="38">
        <v>9</v>
      </c>
      <c r="H15" s="38"/>
      <c r="I15" s="38">
        <v>8</v>
      </c>
      <c r="J15" s="37"/>
      <c r="K15" s="56"/>
      <c r="L15" s="53"/>
      <c r="M15" s="40">
        <f t="shared" si="4"/>
        <v>52</v>
      </c>
      <c r="N15" s="69"/>
      <c r="O15" s="63"/>
      <c r="P15" s="89"/>
      <c r="Q15" s="43">
        <v>46225</v>
      </c>
      <c r="R15" s="67">
        <v>20</v>
      </c>
      <c r="S15" s="38"/>
      <c r="T15" s="46">
        <v>28</v>
      </c>
      <c r="U15" s="38"/>
      <c r="V15" s="38">
        <v>5</v>
      </c>
      <c r="W15" s="38"/>
      <c r="X15" s="38">
        <v>8</v>
      </c>
      <c r="Y15" s="37"/>
      <c r="Z15" s="56"/>
      <c r="AA15" s="53"/>
      <c r="AB15" s="40">
        <f t="shared" si="5"/>
        <v>61</v>
      </c>
      <c r="AC15" s="69"/>
      <c r="AD15" s="63"/>
    </row>
    <row r="16" spans="2:30" x14ac:dyDescent="0.3">
      <c r="B16" s="43">
        <v>46226</v>
      </c>
      <c r="C16" s="67">
        <v>15</v>
      </c>
      <c r="D16" s="38"/>
      <c r="E16" s="46">
        <v>20</v>
      </c>
      <c r="F16" s="38"/>
      <c r="G16" s="38">
        <v>6</v>
      </c>
      <c r="H16" s="38"/>
      <c r="I16" s="38">
        <v>8</v>
      </c>
      <c r="J16" s="37"/>
      <c r="K16" s="56">
        <v>1</v>
      </c>
      <c r="L16" s="53"/>
      <c r="M16" s="40">
        <f t="shared" si="4"/>
        <v>50</v>
      </c>
      <c r="N16" s="69"/>
      <c r="O16" s="63"/>
      <c r="P16" s="89"/>
      <c r="Q16" s="43">
        <v>46226</v>
      </c>
      <c r="R16" s="67">
        <v>20</v>
      </c>
      <c r="S16" s="38"/>
      <c r="T16" s="46">
        <v>28</v>
      </c>
      <c r="U16" s="38"/>
      <c r="V16" s="38">
        <v>7</v>
      </c>
      <c r="W16" s="38"/>
      <c r="X16" s="38">
        <v>8</v>
      </c>
      <c r="Y16" s="37"/>
      <c r="Z16" s="56">
        <v>1</v>
      </c>
      <c r="AA16" s="53"/>
      <c r="AB16" s="40">
        <f t="shared" si="5"/>
        <v>64</v>
      </c>
      <c r="AC16" s="69"/>
      <c r="AD16" s="63"/>
    </row>
    <row r="17" spans="2:30" x14ac:dyDescent="0.3">
      <c r="B17" s="43">
        <v>46227</v>
      </c>
      <c r="C17" s="67">
        <v>4</v>
      </c>
      <c r="D17" s="38"/>
      <c r="E17" s="46">
        <v>20</v>
      </c>
      <c r="F17" s="38"/>
      <c r="G17" s="38">
        <v>5</v>
      </c>
      <c r="H17" s="38"/>
      <c r="I17" s="38">
        <v>7</v>
      </c>
      <c r="J17" s="37"/>
      <c r="K17" s="56">
        <v>3</v>
      </c>
      <c r="L17" s="53"/>
      <c r="M17" s="40">
        <f t="shared" si="4"/>
        <v>39</v>
      </c>
      <c r="N17" s="69"/>
      <c r="O17" s="63"/>
      <c r="P17" s="89"/>
      <c r="Q17" s="43">
        <v>46227</v>
      </c>
      <c r="R17" s="67">
        <v>30</v>
      </c>
      <c r="S17" s="38"/>
      <c r="T17" s="46">
        <v>28</v>
      </c>
      <c r="U17" s="38"/>
      <c r="V17" s="38">
        <v>5</v>
      </c>
      <c r="W17" s="38"/>
      <c r="X17" s="38">
        <v>8</v>
      </c>
      <c r="Y17" s="37"/>
      <c r="Z17" s="56">
        <v>1</v>
      </c>
      <c r="AA17" s="53"/>
      <c r="AB17" s="40">
        <f t="shared" si="5"/>
        <v>72</v>
      </c>
      <c r="AC17" s="69"/>
      <c r="AD17" s="63"/>
    </row>
    <row r="18" spans="2:30" x14ac:dyDescent="0.3">
      <c r="B18" s="43">
        <v>46228</v>
      </c>
      <c r="C18" s="67"/>
      <c r="D18" s="38"/>
      <c r="E18" s="46">
        <v>30</v>
      </c>
      <c r="F18" s="38"/>
      <c r="G18" s="38"/>
      <c r="H18" s="38"/>
      <c r="I18" s="38">
        <v>7</v>
      </c>
      <c r="J18" s="37"/>
      <c r="K18" s="56">
        <v>4</v>
      </c>
      <c r="L18" s="53"/>
      <c r="M18" s="40">
        <f t="shared" si="4"/>
        <v>41</v>
      </c>
      <c r="N18" s="69"/>
      <c r="O18" s="63"/>
      <c r="P18" s="89"/>
      <c r="Q18" s="43">
        <v>46228</v>
      </c>
      <c r="R18" s="67">
        <v>30</v>
      </c>
      <c r="S18" s="38"/>
      <c r="T18" s="46">
        <v>28</v>
      </c>
      <c r="U18" s="38"/>
      <c r="V18" s="38">
        <v>5</v>
      </c>
      <c r="W18" s="38"/>
      <c r="X18" s="38">
        <v>8</v>
      </c>
      <c r="Y18" s="37"/>
      <c r="Z18" s="56">
        <v>1</v>
      </c>
      <c r="AA18" s="53"/>
      <c r="AB18" s="40">
        <f t="shared" si="5"/>
        <v>72</v>
      </c>
      <c r="AC18" s="69"/>
      <c r="AD18" s="63"/>
    </row>
    <row r="19" spans="2:30" x14ac:dyDescent="0.3">
      <c r="B19" s="43">
        <v>46229</v>
      </c>
      <c r="C19" s="70" t="s">
        <v>34</v>
      </c>
      <c r="D19" s="44" t="s">
        <v>34</v>
      </c>
      <c r="E19" s="44" t="s">
        <v>34</v>
      </c>
      <c r="F19" s="44" t="s">
        <v>34</v>
      </c>
      <c r="G19" s="44" t="s">
        <v>34</v>
      </c>
      <c r="H19" s="44" t="s">
        <v>34</v>
      </c>
      <c r="I19" s="44" t="s">
        <v>34</v>
      </c>
      <c r="J19" s="44" t="s">
        <v>34</v>
      </c>
      <c r="K19" s="54"/>
      <c r="L19" s="54"/>
      <c r="M19" s="40">
        <v>0</v>
      </c>
      <c r="N19" s="69"/>
      <c r="O19" s="63" t="s">
        <v>4340</v>
      </c>
      <c r="P19" s="89"/>
      <c r="Q19" s="43">
        <v>46229</v>
      </c>
      <c r="R19" s="70" t="s">
        <v>34</v>
      </c>
      <c r="S19" s="44" t="s">
        <v>34</v>
      </c>
      <c r="T19" s="44" t="s">
        <v>34</v>
      </c>
      <c r="U19" s="44" t="s">
        <v>34</v>
      </c>
      <c r="V19" s="44" t="s">
        <v>34</v>
      </c>
      <c r="W19" s="44" t="s">
        <v>34</v>
      </c>
      <c r="X19" s="44" t="s">
        <v>34</v>
      </c>
      <c r="Y19" s="44" t="s">
        <v>34</v>
      </c>
      <c r="Z19" s="54"/>
      <c r="AA19" s="54"/>
      <c r="AB19" s="40">
        <v>0</v>
      </c>
      <c r="AC19" s="69"/>
      <c r="AD19" s="63" t="s">
        <v>4341</v>
      </c>
    </row>
    <row r="20" spans="2:30" x14ac:dyDescent="0.3">
      <c r="B20" s="43">
        <v>46230</v>
      </c>
      <c r="C20" s="70"/>
      <c r="D20" s="38"/>
      <c r="E20" s="38">
        <v>45</v>
      </c>
      <c r="F20" s="38"/>
      <c r="G20" s="38"/>
      <c r="H20" s="38"/>
      <c r="I20" s="38">
        <v>10</v>
      </c>
      <c r="J20" s="37"/>
      <c r="K20" s="56">
        <v>4</v>
      </c>
      <c r="L20" s="53"/>
      <c r="M20" s="40">
        <f t="shared" si="4"/>
        <v>59</v>
      </c>
      <c r="N20" s="69"/>
      <c r="O20" s="63"/>
      <c r="P20" s="89"/>
      <c r="Q20" s="43">
        <v>46230</v>
      </c>
      <c r="R20" s="70">
        <v>30</v>
      </c>
      <c r="S20" s="38"/>
      <c r="T20" s="46">
        <v>18</v>
      </c>
      <c r="U20" s="38"/>
      <c r="V20" s="38">
        <v>5</v>
      </c>
      <c r="W20" s="38"/>
      <c r="X20" s="38">
        <v>8</v>
      </c>
      <c r="Y20" s="37"/>
      <c r="Z20" s="56"/>
      <c r="AA20" s="53"/>
      <c r="AB20" s="40">
        <f t="shared" si="5"/>
        <v>61</v>
      </c>
      <c r="AC20" s="69"/>
      <c r="AD20" s="63"/>
    </row>
    <row r="21" spans="2:30" x14ac:dyDescent="0.3">
      <c r="B21" s="43">
        <v>46231</v>
      </c>
      <c r="C21" s="70"/>
      <c r="D21" s="38"/>
      <c r="E21" s="38">
        <v>45</v>
      </c>
      <c r="F21" s="38"/>
      <c r="G21" s="38"/>
      <c r="H21" s="38"/>
      <c r="I21" s="38">
        <v>10</v>
      </c>
      <c r="J21" s="37"/>
      <c r="K21" s="56">
        <v>4</v>
      </c>
      <c r="L21" s="53"/>
      <c r="M21" s="40">
        <f t="shared" si="4"/>
        <v>59</v>
      </c>
      <c r="N21" s="69"/>
      <c r="O21" s="63"/>
      <c r="P21" s="89"/>
      <c r="Q21" s="43">
        <v>46231</v>
      </c>
      <c r="R21" s="70">
        <v>30</v>
      </c>
      <c r="S21" s="38"/>
      <c r="T21" s="46">
        <v>18</v>
      </c>
      <c r="U21" s="38"/>
      <c r="V21" s="38">
        <v>5</v>
      </c>
      <c r="W21" s="38"/>
      <c r="X21" s="38">
        <v>8</v>
      </c>
      <c r="Y21" s="37"/>
      <c r="Z21" s="56">
        <v>2</v>
      </c>
      <c r="AA21" s="53"/>
      <c r="AB21" s="40">
        <f t="shared" si="5"/>
        <v>63</v>
      </c>
      <c r="AC21" s="69"/>
      <c r="AD21" s="63"/>
    </row>
    <row r="22" spans="2:30" x14ac:dyDescent="0.3">
      <c r="B22" s="43">
        <v>46232</v>
      </c>
      <c r="C22" s="70"/>
      <c r="D22" s="38"/>
      <c r="E22" s="38">
        <v>44</v>
      </c>
      <c r="F22" s="38"/>
      <c r="G22" s="38"/>
      <c r="H22" s="38"/>
      <c r="I22" s="38">
        <v>8</v>
      </c>
      <c r="J22" s="37"/>
      <c r="K22" s="56">
        <v>3</v>
      </c>
      <c r="L22" s="53"/>
      <c r="M22" s="40">
        <f t="shared" si="4"/>
        <v>55</v>
      </c>
      <c r="N22" s="69"/>
      <c r="O22" s="63"/>
      <c r="P22" s="89"/>
      <c r="Q22" s="43">
        <v>46232</v>
      </c>
      <c r="R22" s="70">
        <v>30</v>
      </c>
      <c r="S22" s="38"/>
      <c r="T22" s="46">
        <v>18</v>
      </c>
      <c r="U22" s="38"/>
      <c r="V22" s="38">
        <v>5</v>
      </c>
      <c r="W22" s="38"/>
      <c r="X22" s="38">
        <v>8</v>
      </c>
      <c r="Y22" s="37"/>
      <c r="Z22" s="56">
        <v>2</v>
      </c>
      <c r="AA22" s="53"/>
      <c r="AB22" s="40">
        <f t="shared" si="5"/>
        <v>63</v>
      </c>
      <c r="AC22" s="69"/>
      <c r="AD22" s="63"/>
    </row>
    <row r="23" spans="2:30" x14ac:dyDescent="0.3">
      <c r="B23" s="43">
        <v>46233</v>
      </c>
      <c r="C23" s="70"/>
      <c r="D23" s="38"/>
      <c r="E23" s="38">
        <v>42</v>
      </c>
      <c r="F23" s="38"/>
      <c r="G23" s="38"/>
      <c r="H23" s="38"/>
      <c r="I23" s="38"/>
      <c r="J23" s="37"/>
      <c r="K23" s="56">
        <v>3</v>
      </c>
      <c r="L23" s="53"/>
      <c r="M23" s="40">
        <f t="shared" si="4"/>
        <v>45</v>
      </c>
      <c r="N23" s="69"/>
      <c r="O23" s="63"/>
      <c r="P23" s="89"/>
      <c r="Q23" s="43">
        <v>46233</v>
      </c>
      <c r="R23" s="70">
        <v>30</v>
      </c>
      <c r="S23" s="38"/>
      <c r="T23" s="38">
        <v>18</v>
      </c>
      <c r="U23" s="38"/>
      <c r="V23" s="38">
        <v>5</v>
      </c>
      <c r="W23" s="38"/>
      <c r="X23" s="38">
        <v>8</v>
      </c>
      <c r="Y23" s="37"/>
      <c r="Z23" s="56">
        <v>2</v>
      </c>
      <c r="AA23" s="53"/>
      <c r="AB23" s="40">
        <f t="shared" si="5"/>
        <v>63</v>
      </c>
      <c r="AC23" s="69"/>
      <c r="AD23" s="63"/>
    </row>
    <row r="24" spans="2:30" x14ac:dyDescent="0.3">
      <c r="B24" s="43">
        <v>46234</v>
      </c>
      <c r="C24" s="70"/>
      <c r="D24" s="38"/>
      <c r="E24" s="38">
        <v>42</v>
      </c>
      <c r="F24" s="38"/>
      <c r="G24" s="38"/>
      <c r="H24" s="38"/>
      <c r="I24" s="38"/>
      <c r="J24" s="37"/>
      <c r="K24" s="56">
        <v>3</v>
      </c>
      <c r="L24" s="53"/>
      <c r="M24" s="40">
        <f t="shared" si="4"/>
        <v>45</v>
      </c>
      <c r="N24" s="69"/>
      <c r="O24" s="63"/>
      <c r="P24" s="89"/>
      <c r="Q24" s="43">
        <v>46234</v>
      </c>
      <c r="R24" s="70">
        <v>30</v>
      </c>
      <c r="S24" s="38"/>
      <c r="T24" s="38">
        <v>20</v>
      </c>
      <c r="U24" s="38"/>
      <c r="V24" s="38">
        <v>5</v>
      </c>
      <c r="W24" s="38"/>
      <c r="X24" s="38">
        <v>8</v>
      </c>
      <c r="Y24" s="37"/>
      <c r="Z24" s="56">
        <v>2</v>
      </c>
      <c r="AA24" s="53"/>
      <c r="AB24" s="40">
        <f t="shared" si="5"/>
        <v>65</v>
      </c>
      <c r="AC24" s="69"/>
      <c r="AD24" s="63"/>
    </row>
    <row r="25" spans="2:30" x14ac:dyDescent="0.3">
      <c r="B25" s="43">
        <v>46235</v>
      </c>
      <c r="C25" s="70"/>
      <c r="D25" s="38"/>
      <c r="E25" s="38"/>
      <c r="F25" s="38"/>
      <c r="G25" s="38"/>
      <c r="H25" s="38"/>
      <c r="I25" s="38"/>
      <c r="J25" s="37"/>
      <c r="K25" s="56">
        <v>3</v>
      </c>
      <c r="L25" s="53"/>
      <c r="M25" s="40">
        <f t="shared" si="4"/>
        <v>3</v>
      </c>
      <c r="N25" s="69"/>
      <c r="O25" s="63"/>
      <c r="P25" s="89"/>
      <c r="Q25" s="43">
        <v>46235</v>
      </c>
      <c r="R25" s="70">
        <v>30</v>
      </c>
      <c r="S25" s="38"/>
      <c r="T25" s="38">
        <v>38</v>
      </c>
      <c r="U25" s="38"/>
      <c r="V25" s="38">
        <v>5</v>
      </c>
      <c r="W25" s="38"/>
      <c r="X25" s="38">
        <v>8</v>
      </c>
      <c r="Y25" s="37"/>
      <c r="Z25" s="56">
        <v>2</v>
      </c>
      <c r="AA25" s="53"/>
      <c r="AB25" s="40">
        <f t="shared" si="5"/>
        <v>83</v>
      </c>
      <c r="AC25" s="69"/>
      <c r="AD25" s="63"/>
    </row>
    <row r="26" spans="2:30" x14ac:dyDescent="0.3">
      <c r="B26" s="43">
        <v>46236</v>
      </c>
      <c r="C26" s="70"/>
      <c r="D26" s="38"/>
      <c r="E26" s="38"/>
      <c r="F26" s="38"/>
      <c r="G26" s="38"/>
      <c r="H26" s="38"/>
      <c r="I26" s="38"/>
      <c r="J26" s="37"/>
      <c r="K26" s="56"/>
      <c r="L26" s="53"/>
      <c r="M26" s="40">
        <f t="shared" si="4"/>
        <v>0</v>
      </c>
      <c r="N26" s="69"/>
      <c r="O26" s="63"/>
      <c r="P26" s="89"/>
      <c r="Q26" s="43">
        <v>46236</v>
      </c>
      <c r="R26" s="70"/>
      <c r="S26" s="38"/>
      <c r="T26" s="38">
        <v>40</v>
      </c>
      <c r="U26" s="38"/>
      <c r="V26" s="38"/>
      <c r="W26" s="38"/>
      <c r="X26" s="38">
        <v>6</v>
      </c>
      <c r="Y26" s="37"/>
      <c r="Z26" s="56">
        <v>2</v>
      </c>
      <c r="AA26" s="53"/>
      <c r="AB26" s="40">
        <f t="shared" si="5"/>
        <v>48</v>
      </c>
      <c r="AC26" s="69"/>
      <c r="AD26" s="63"/>
    </row>
    <row r="27" spans="2:30" x14ac:dyDescent="0.3">
      <c r="B27" s="43">
        <v>46237</v>
      </c>
      <c r="C27" s="70"/>
      <c r="D27" s="38"/>
      <c r="E27" s="38"/>
      <c r="F27" s="38"/>
      <c r="G27" s="38"/>
      <c r="H27" s="38"/>
      <c r="I27" s="38"/>
      <c r="J27" s="37"/>
      <c r="K27" s="56"/>
      <c r="L27" s="53"/>
      <c r="M27" s="40">
        <f t="shared" si="4"/>
        <v>0</v>
      </c>
      <c r="N27" s="69"/>
      <c r="O27" s="63"/>
      <c r="P27" s="89"/>
      <c r="Q27" s="43">
        <v>46237</v>
      </c>
      <c r="R27" s="70"/>
      <c r="S27" s="38"/>
      <c r="T27" s="38">
        <v>40</v>
      </c>
      <c r="U27" s="38"/>
      <c r="V27" s="38"/>
      <c r="W27" s="38"/>
      <c r="X27" s="38">
        <v>4</v>
      </c>
      <c r="Y27" s="37"/>
      <c r="Z27" s="56">
        <v>2</v>
      </c>
      <c r="AA27" s="53"/>
      <c r="AB27" s="40">
        <f t="shared" si="5"/>
        <v>46</v>
      </c>
      <c r="AC27" s="69"/>
      <c r="AD27" s="63"/>
    </row>
    <row r="28" spans="2:30" x14ac:dyDescent="0.3">
      <c r="B28" s="43">
        <v>46238</v>
      </c>
      <c r="C28" s="70"/>
      <c r="D28" s="38"/>
      <c r="E28" s="38"/>
      <c r="F28" s="38"/>
      <c r="G28" s="38"/>
      <c r="H28" s="38"/>
      <c r="I28" s="38"/>
      <c r="J28" s="37"/>
      <c r="K28" s="56"/>
      <c r="L28" s="53"/>
      <c r="M28" s="40">
        <f t="shared" si="4"/>
        <v>0</v>
      </c>
      <c r="N28" s="69"/>
      <c r="O28" s="63"/>
      <c r="P28" s="89"/>
      <c r="Q28" s="43">
        <v>46238</v>
      </c>
      <c r="R28" s="70"/>
      <c r="S28" s="38"/>
      <c r="T28" s="38">
        <v>40</v>
      </c>
      <c r="U28" s="38"/>
      <c r="V28" s="38"/>
      <c r="W28" s="38"/>
      <c r="X28" s="38"/>
      <c r="Y28" s="37"/>
      <c r="Z28" s="56">
        <v>2</v>
      </c>
      <c r="AA28" s="53"/>
      <c r="AB28" s="40">
        <f t="shared" si="5"/>
        <v>42</v>
      </c>
      <c r="AC28" s="69"/>
      <c r="AD28" s="63"/>
    </row>
    <row r="29" spans="2:30" x14ac:dyDescent="0.3">
      <c r="B29" s="43">
        <v>46239</v>
      </c>
      <c r="C29" s="70"/>
      <c r="D29" s="38"/>
      <c r="E29" s="38"/>
      <c r="F29" s="38"/>
      <c r="G29" s="38"/>
      <c r="H29" s="38"/>
      <c r="I29" s="38"/>
      <c r="J29" s="37"/>
      <c r="K29" s="56"/>
      <c r="L29" s="53"/>
      <c r="M29" s="40">
        <f t="shared" si="4"/>
        <v>0</v>
      </c>
      <c r="N29" s="69"/>
      <c r="O29" s="63"/>
      <c r="P29" s="89"/>
      <c r="Q29" s="43">
        <v>46239</v>
      </c>
      <c r="R29" s="70"/>
      <c r="S29" s="38"/>
      <c r="T29" s="38">
        <v>40</v>
      </c>
      <c r="U29" s="38"/>
      <c r="V29" s="38"/>
      <c r="W29" s="38"/>
      <c r="X29" s="38"/>
      <c r="Y29" s="37"/>
      <c r="Z29" s="56">
        <v>2</v>
      </c>
      <c r="AA29" s="53"/>
      <c r="AB29" s="40">
        <f t="shared" si="5"/>
        <v>42</v>
      </c>
      <c r="AC29" s="69"/>
      <c r="AD29" s="63"/>
    </row>
    <row r="30" spans="2:30" ht="15" thickBot="1" x14ac:dyDescent="0.35">
      <c r="B30" s="39">
        <v>46240</v>
      </c>
      <c r="C30" s="71"/>
      <c r="D30" s="42"/>
      <c r="E30" s="42"/>
      <c r="F30" s="42"/>
      <c r="G30" s="42"/>
      <c r="H30" s="42"/>
      <c r="I30" s="42"/>
      <c r="J30" s="41"/>
      <c r="K30" s="57"/>
      <c r="L30" s="55"/>
      <c r="M30" s="40">
        <f t="shared" si="4"/>
        <v>0</v>
      </c>
      <c r="N30" s="72"/>
      <c r="O30" s="64"/>
      <c r="P30" s="89"/>
      <c r="Q30" s="39">
        <v>46240</v>
      </c>
      <c r="R30" s="71"/>
      <c r="S30" s="42"/>
      <c r="T30" s="42"/>
      <c r="U30" s="42"/>
      <c r="V30" s="42"/>
      <c r="W30" s="42"/>
      <c r="X30" s="42"/>
      <c r="Y30" s="41"/>
      <c r="Z30" s="57">
        <v>2</v>
      </c>
      <c r="AA30" s="55"/>
      <c r="AB30" s="40">
        <f t="shared" si="5"/>
        <v>2</v>
      </c>
      <c r="AC30" s="72"/>
      <c r="AD30" s="64"/>
    </row>
    <row r="31" spans="2:30" ht="15" thickBot="1" x14ac:dyDescent="0.35">
      <c r="B31" s="35" t="s">
        <v>28</v>
      </c>
      <c r="C31" s="34">
        <f t="shared" ref="C31:J31" si="6">SUM(C6:C30)</f>
        <v>186</v>
      </c>
      <c r="D31" s="34">
        <f t="shared" si="6"/>
        <v>0</v>
      </c>
      <c r="E31" s="34">
        <f t="shared" si="6"/>
        <v>471</v>
      </c>
      <c r="F31" s="34">
        <f t="shared" si="6"/>
        <v>0</v>
      </c>
      <c r="G31" s="34">
        <f t="shared" si="6"/>
        <v>75</v>
      </c>
      <c r="H31" s="34">
        <f t="shared" si="6"/>
        <v>0</v>
      </c>
      <c r="I31" s="34">
        <f t="shared" si="6"/>
        <v>82</v>
      </c>
      <c r="J31" s="34">
        <f t="shared" si="6"/>
        <v>0</v>
      </c>
      <c r="K31" s="34">
        <f t="shared" ref="K31:L31" si="7">SUM(K6:K30)</f>
        <v>28</v>
      </c>
      <c r="L31" s="34">
        <f t="shared" si="7"/>
        <v>0</v>
      </c>
      <c r="M31" s="34">
        <f>SUM(M6:M30)</f>
        <v>842</v>
      </c>
      <c r="N31" s="73">
        <f>SUM(N6:N30)</f>
        <v>0</v>
      </c>
      <c r="O31" s="65"/>
      <c r="P31" s="36"/>
      <c r="Q31" s="35" t="s">
        <v>28</v>
      </c>
      <c r="R31" s="34">
        <f t="shared" ref="R31:AA31" si="8">SUM(R6:R30)</f>
        <v>320</v>
      </c>
      <c r="S31" s="34">
        <f t="shared" si="8"/>
        <v>0</v>
      </c>
      <c r="T31" s="34">
        <f t="shared" si="8"/>
        <v>452</v>
      </c>
      <c r="U31" s="34">
        <f t="shared" si="8"/>
        <v>0</v>
      </c>
      <c r="V31" s="34">
        <f t="shared" si="8"/>
        <v>62</v>
      </c>
      <c r="W31" s="34">
        <f t="shared" si="8"/>
        <v>0</v>
      </c>
      <c r="X31" s="34">
        <f t="shared" si="8"/>
        <v>90</v>
      </c>
      <c r="Y31" s="34">
        <f t="shared" si="8"/>
        <v>0</v>
      </c>
      <c r="Z31" s="34">
        <f t="shared" si="8"/>
        <v>23</v>
      </c>
      <c r="AA31" s="34">
        <f t="shared" si="8"/>
        <v>0</v>
      </c>
      <c r="AB31" s="34">
        <f>SUM(AB6:AB30)</f>
        <v>947</v>
      </c>
      <c r="AC31" s="73">
        <f>SUM(AC6:AC30)</f>
        <v>0</v>
      </c>
      <c r="AD31" s="65"/>
    </row>
  </sheetData>
  <mergeCells count="28">
    <mergeCell ref="E3:F3"/>
    <mergeCell ref="G3:H3"/>
    <mergeCell ref="I3:J3"/>
    <mergeCell ref="B1:O1"/>
    <mergeCell ref="R2:S2"/>
    <mergeCell ref="C2:D2"/>
    <mergeCell ref="E2:F2"/>
    <mergeCell ref="B3:B5"/>
    <mergeCell ref="C3:D3"/>
    <mergeCell ref="Q1:AD1"/>
    <mergeCell ref="V2:W2"/>
    <mergeCell ref="X2:Y2"/>
    <mergeCell ref="Z2:AA2"/>
    <mergeCell ref="AB3:AC3"/>
    <mergeCell ref="AD3:AD5"/>
    <mergeCell ref="V3:W3"/>
    <mergeCell ref="G2:H2"/>
    <mergeCell ref="Q3:Q5"/>
    <mergeCell ref="R3:S3"/>
    <mergeCell ref="T3:U3"/>
    <mergeCell ref="I2:J2"/>
    <mergeCell ref="K3:L3"/>
    <mergeCell ref="K2:L2"/>
    <mergeCell ref="X3:Y3"/>
    <mergeCell ref="Z3:AA3"/>
    <mergeCell ref="T2:U2"/>
    <mergeCell ref="M3:N3"/>
    <mergeCell ref="O3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D4E3-614F-4A96-B761-BBCE67ADA19C}">
  <dimension ref="B2:O37"/>
  <sheetViews>
    <sheetView showGridLines="0" topLeftCell="A5" zoomScale="85" zoomScaleNormal="85" workbookViewId="0">
      <selection activeCell="L25" sqref="L25"/>
    </sheetView>
  </sheetViews>
  <sheetFormatPr defaultColWidth="8.88671875" defaultRowHeight="13.8" x14ac:dyDescent="0.3"/>
  <cols>
    <col min="1" max="1" width="4.109375" style="1" customWidth="1"/>
    <col min="2" max="2" width="35.33203125" style="1" customWidth="1"/>
    <col min="3" max="6" width="11.6640625" style="1" customWidth="1"/>
    <col min="7" max="7" width="14.5546875" style="1" customWidth="1"/>
    <col min="8" max="8" width="15" style="1" customWidth="1"/>
    <col min="9" max="9" width="16.5546875" style="1" customWidth="1"/>
    <col min="10" max="10" width="11.6640625" style="1" customWidth="1"/>
    <col min="11" max="11" width="14.88671875" style="1" customWidth="1"/>
    <col min="12" max="12" width="11.6640625" style="1" customWidth="1"/>
    <col min="13" max="13" width="16.21875" style="1" customWidth="1"/>
    <col min="14" max="14" width="11.6640625" style="1" customWidth="1"/>
    <col min="15" max="15" width="36.44140625" style="1" customWidth="1"/>
    <col min="16" max="16384" width="8.88671875" style="1"/>
  </cols>
  <sheetData>
    <row r="2" spans="2:15" x14ac:dyDescent="0.3">
      <c r="B2" s="108" t="s">
        <v>33</v>
      </c>
    </row>
    <row r="3" spans="2:15" ht="14.4" thickBot="1" x14ac:dyDescent="0.35"/>
    <row r="4" spans="2:15" ht="14.4" thickBot="1" x14ac:dyDescent="0.35">
      <c r="B4" s="97"/>
      <c r="C4" s="130" t="s">
        <v>4325</v>
      </c>
      <c r="D4" s="131"/>
      <c r="E4" s="131"/>
      <c r="F4" s="131"/>
      <c r="G4" s="131"/>
      <c r="H4" s="131"/>
      <c r="I4" s="131"/>
      <c r="J4" s="131"/>
      <c r="K4" s="132"/>
      <c r="L4" s="133"/>
      <c r="M4" s="98"/>
    </row>
    <row r="5" spans="2:15" ht="49.8" customHeight="1" x14ac:dyDescent="0.3">
      <c r="B5" s="2" t="s">
        <v>0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3</v>
      </c>
      <c r="H5" s="4" t="s">
        <v>4</v>
      </c>
      <c r="I5" s="4" t="s">
        <v>5</v>
      </c>
      <c r="J5" s="5" t="s">
        <v>6</v>
      </c>
      <c r="K5" s="6" t="s">
        <v>29</v>
      </c>
      <c r="L5" s="133"/>
      <c r="M5" s="98"/>
      <c r="N5" s="7"/>
      <c r="O5" s="7"/>
    </row>
    <row r="6" spans="2:15" ht="13.2" customHeight="1" x14ac:dyDescent="0.3">
      <c r="B6" s="9" t="s">
        <v>9</v>
      </c>
      <c r="C6" s="10">
        <v>52</v>
      </c>
      <c r="D6" s="10">
        <v>42</v>
      </c>
      <c r="E6" s="10">
        <v>80</v>
      </c>
      <c r="F6" s="10">
        <v>82</v>
      </c>
      <c r="G6" s="10">
        <v>98</v>
      </c>
      <c r="H6" s="10">
        <v>146</v>
      </c>
      <c r="I6" s="10">
        <v>4</v>
      </c>
      <c r="J6" s="11">
        <v>6</v>
      </c>
      <c r="K6" s="12">
        <f>SUM(C6:J6)</f>
        <v>510</v>
      </c>
      <c r="L6" s="13"/>
      <c r="M6" s="13"/>
      <c r="N6" s="13"/>
      <c r="O6" s="13"/>
    </row>
    <row r="7" spans="2:15" x14ac:dyDescent="0.3">
      <c r="B7" s="9" t="s">
        <v>12</v>
      </c>
      <c r="C7" s="10">
        <v>118</v>
      </c>
      <c r="D7" s="10">
        <v>107</v>
      </c>
      <c r="E7" s="10">
        <v>108</v>
      </c>
      <c r="F7" s="10">
        <v>121</v>
      </c>
      <c r="G7" s="10">
        <v>135</v>
      </c>
      <c r="H7" s="10">
        <v>253</v>
      </c>
      <c r="I7" s="10">
        <v>4</v>
      </c>
      <c r="J7" s="11">
        <v>81</v>
      </c>
      <c r="K7" s="12">
        <f t="shared" ref="K7:K9" si="0">SUM(C7:J7)</f>
        <v>927</v>
      </c>
      <c r="L7" s="13"/>
      <c r="M7" s="13"/>
      <c r="N7" s="13"/>
      <c r="O7" s="13"/>
    </row>
    <row r="8" spans="2:15" x14ac:dyDescent="0.3">
      <c r="B8" s="9" t="s">
        <v>26</v>
      </c>
      <c r="C8" s="10">
        <v>19</v>
      </c>
      <c r="D8" s="10">
        <v>19</v>
      </c>
      <c r="E8" s="10">
        <v>19</v>
      </c>
      <c r="F8" s="10">
        <v>19</v>
      </c>
      <c r="G8" s="10">
        <v>12</v>
      </c>
      <c r="H8" s="10">
        <v>21</v>
      </c>
      <c r="I8" s="10">
        <v>0</v>
      </c>
      <c r="J8" s="11">
        <v>20</v>
      </c>
      <c r="K8" s="12">
        <f t="shared" si="0"/>
        <v>129</v>
      </c>
      <c r="L8" s="13"/>
      <c r="M8" s="13"/>
      <c r="N8" s="13"/>
      <c r="O8" s="13"/>
    </row>
    <row r="9" spans="2:15" x14ac:dyDescent="0.3">
      <c r="B9" s="9" t="s">
        <v>27</v>
      </c>
      <c r="C9" s="10">
        <v>12</v>
      </c>
      <c r="D9" s="10">
        <v>11</v>
      </c>
      <c r="E9" s="10">
        <v>11</v>
      </c>
      <c r="F9" s="10">
        <v>11</v>
      </c>
      <c r="G9" s="10">
        <v>18</v>
      </c>
      <c r="H9" s="10">
        <v>26</v>
      </c>
      <c r="I9" s="10">
        <v>0</v>
      </c>
      <c r="J9" s="11">
        <v>83</v>
      </c>
      <c r="K9" s="12">
        <f t="shared" si="0"/>
        <v>172</v>
      </c>
      <c r="L9" s="13"/>
      <c r="M9" s="13"/>
      <c r="N9" s="13"/>
      <c r="O9" s="13"/>
    </row>
    <row r="10" spans="2:15" ht="14.4" thickBot="1" x14ac:dyDescent="0.35">
      <c r="B10" s="14" t="s">
        <v>28</v>
      </c>
      <c r="C10" s="88">
        <f>SUM(C6:C9)</f>
        <v>201</v>
      </c>
      <c r="D10" s="88">
        <f t="shared" ref="D10:K10" si="1">SUM(D6:D9)</f>
        <v>179</v>
      </c>
      <c r="E10" s="88">
        <f t="shared" si="1"/>
        <v>218</v>
      </c>
      <c r="F10" s="88">
        <f t="shared" si="1"/>
        <v>233</v>
      </c>
      <c r="G10" s="88">
        <f t="shared" si="1"/>
        <v>263</v>
      </c>
      <c r="H10" s="88">
        <f t="shared" si="1"/>
        <v>446</v>
      </c>
      <c r="I10" s="88">
        <f t="shared" si="1"/>
        <v>8</v>
      </c>
      <c r="J10" s="88">
        <f t="shared" si="1"/>
        <v>190</v>
      </c>
      <c r="K10" s="15">
        <f t="shared" si="1"/>
        <v>1738</v>
      </c>
      <c r="L10" s="13"/>
      <c r="M10" s="13"/>
      <c r="N10" s="13"/>
      <c r="O10" s="13"/>
    </row>
    <row r="11" spans="2:15" ht="14.4" thickBot="1" x14ac:dyDescent="0.35"/>
    <row r="12" spans="2:15" ht="55.2" x14ac:dyDescent="0.3">
      <c r="B12" s="2" t="s">
        <v>0</v>
      </c>
      <c r="C12" s="3" t="s">
        <v>1</v>
      </c>
      <c r="D12" s="3" t="s">
        <v>2</v>
      </c>
      <c r="E12" s="3" t="s">
        <v>24</v>
      </c>
      <c r="F12" s="3" t="s">
        <v>25</v>
      </c>
      <c r="G12" s="3" t="s">
        <v>3</v>
      </c>
      <c r="H12" s="4" t="s">
        <v>4</v>
      </c>
      <c r="I12" s="4" t="s">
        <v>5</v>
      </c>
      <c r="J12" s="5" t="s">
        <v>6</v>
      </c>
      <c r="K12" s="16" t="s">
        <v>4337</v>
      </c>
      <c r="L12" s="16" t="s">
        <v>4333</v>
      </c>
      <c r="M12" s="16" t="s">
        <v>4330</v>
      </c>
      <c r="N12" s="4" t="s">
        <v>4334</v>
      </c>
      <c r="O12" s="4" t="s">
        <v>4326</v>
      </c>
    </row>
    <row r="13" spans="2:15" x14ac:dyDescent="0.3">
      <c r="B13" s="17" t="s">
        <v>30</v>
      </c>
      <c r="C13" s="143" t="s">
        <v>13</v>
      </c>
      <c r="D13" s="144"/>
      <c r="E13" s="144"/>
      <c r="F13" s="144"/>
      <c r="G13" s="144"/>
      <c r="H13" s="144"/>
      <c r="I13" s="144"/>
      <c r="J13" s="144"/>
      <c r="K13" s="145"/>
      <c r="L13" s="18"/>
      <c r="M13" s="18"/>
      <c r="N13" s="19"/>
      <c r="O13" s="19"/>
    </row>
    <row r="14" spans="2:15" x14ac:dyDescent="0.3">
      <c r="B14" s="20" t="s">
        <v>14</v>
      </c>
      <c r="C14" s="140">
        <v>1</v>
      </c>
      <c r="D14" s="141"/>
      <c r="E14" s="141"/>
      <c r="F14" s="141"/>
      <c r="G14" s="141"/>
      <c r="H14" s="141"/>
      <c r="I14" s="141"/>
      <c r="J14" s="141"/>
      <c r="K14" s="142"/>
      <c r="L14" s="87">
        <v>1</v>
      </c>
      <c r="M14" s="87">
        <v>1</v>
      </c>
      <c r="N14" s="94">
        <v>0</v>
      </c>
      <c r="O14" s="94"/>
    </row>
    <row r="15" spans="2:15" x14ac:dyDescent="0.3">
      <c r="B15" s="20" t="s">
        <v>15</v>
      </c>
      <c r="C15" s="140">
        <v>1</v>
      </c>
      <c r="D15" s="141"/>
      <c r="E15" s="141"/>
      <c r="F15" s="141"/>
      <c r="G15" s="141"/>
      <c r="H15" s="141"/>
      <c r="I15" s="141"/>
      <c r="J15" s="141"/>
      <c r="K15" s="142"/>
      <c r="L15" s="87">
        <v>1</v>
      </c>
      <c r="M15" s="87">
        <v>1</v>
      </c>
      <c r="N15" s="94">
        <v>0</v>
      </c>
      <c r="O15" s="94"/>
    </row>
    <row r="16" spans="2:15" x14ac:dyDescent="0.3">
      <c r="B16" s="21" t="s">
        <v>16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4"/>
      <c r="O16" s="24"/>
    </row>
    <row r="17" spans="2:15" x14ac:dyDescent="0.3">
      <c r="B17" s="23" t="s">
        <v>17</v>
      </c>
      <c r="C17" s="24">
        <v>0.3</v>
      </c>
      <c r="D17" s="24">
        <v>0.3</v>
      </c>
      <c r="E17" s="24">
        <v>0.3</v>
      </c>
      <c r="F17" s="24">
        <v>0.3</v>
      </c>
      <c r="G17" s="24">
        <v>0.3</v>
      </c>
      <c r="H17" s="24">
        <v>0.5</v>
      </c>
      <c r="I17" s="24">
        <v>0.5</v>
      </c>
      <c r="J17" s="25">
        <v>0.5</v>
      </c>
      <c r="K17" s="85">
        <v>3</v>
      </c>
      <c r="L17" s="85">
        <v>2</v>
      </c>
      <c r="M17" s="85">
        <v>3</v>
      </c>
      <c r="N17" s="99">
        <f>+M17-L17</f>
        <v>1</v>
      </c>
      <c r="O17" s="99" t="s">
        <v>4335</v>
      </c>
    </row>
    <row r="18" spans="2:15" x14ac:dyDescent="0.3">
      <c r="B18" s="23" t="s">
        <v>31</v>
      </c>
      <c r="C18" s="24">
        <v>0.75</v>
      </c>
      <c r="D18" s="24">
        <v>0.75</v>
      </c>
      <c r="E18" s="24">
        <v>0.75</v>
      </c>
      <c r="F18" s="24">
        <v>0.75</v>
      </c>
      <c r="G18" s="24">
        <v>0.5</v>
      </c>
      <c r="H18" s="24">
        <v>1</v>
      </c>
      <c r="I18" s="24">
        <v>0.75</v>
      </c>
      <c r="J18" s="25">
        <v>0.75</v>
      </c>
      <c r="K18" s="85">
        <v>6</v>
      </c>
      <c r="L18" s="85">
        <v>5</v>
      </c>
      <c r="M18" s="85">
        <v>6</v>
      </c>
      <c r="N18" s="99">
        <f t="shared" ref="N18:N30" si="2">+M18-L18</f>
        <v>1</v>
      </c>
      <c r="O18" s="99" t="s">
        <v>4335</v>
      </c>
    </row>
    <row r="19" spans="2:15" x14ac:dyDescent="0.3">
      <c r="B19" s="23" t="s">
        <v>19</v>
      </c>
      <c r="C19" s="24">
        <v>1</v>
      </c>
      <c r="D19" s="24">
        <v>1</v>
      </c>
      <c r="E19" s="24">
        <v>1</v>
      </c>
      <c r="F19" s="24">
        <v>1</v>
      </c>
      <c r="G19" s="24">
        <v>1</v>
      </c>
      <c r="H19" s="24">
        <v>2</v>
      </c>
      <c r="I19" s="24">
        <v>1</v>
      </c>
      <c r="J19" s="25">
        <v>1</v>
      </c>
      <c r="K19" s="85">
        <v>6</v>
      </c>
      <c r="L19" s="85">
        <v>6</v>
      </c>
      <c r="M19" s="85">
        <v>6</v>
      </c>
      <c r="N19" s="99">
        <f t="shared" si="2"/>
        <v>0</v>
      </c>
      <c r="O19" s="99" t="s">
        <v>4335</v>
      </c>
    </row>
    <row r="20" spans="2:15" x14ac:dyDescent="0.3">
      <c r="B20" s="23" t="s">
        <v>20</v>
      </c>
      <c r="C20" s="24">
        <v>3</v>
      </c>
      <c r="D20" s="24">
        <v>3</v>
      </c>
      <c r="E20" s="24">
        <v>3</v>
      </c>
      <c r="F20" s="24">
        <v>3</v>
      </c>
      <c r="G20" s="24">
        <v>2</v>
      </c>
      <c r="H20" s="24">
        <v>8</v>
      </c>
      <c r="I20" s="24">
        <v>4</v>
      </c>
      <c r="J20" s="25">
        <v>4</v>
      </c>
      <c r="K20" s="85">
        <f>47-K27</f>
        <v>30</v>
      </c>
      <c r="L20" s="85">
        <f>11+8</f>
        <v>19</v>
      </c>
      <c r="M20" s="85">
        <v>30</v>
      </c>
      <c r="N20" s="99">
        <f t="shared" si="2"/>
        <v>11</v>
      </c>
      <c r="O20" s="99" t="s">
        <v>4335</v>
      </c>
    </row>
    <row r="21" spans="2:15" x14ac:dyDescent="0.3">
      <c r="B21" s="23" t="s">
        <v>21</v>
      </c>
      <c r="C21" s="24">
        <v>15</v>
      </c>
      <c r="D21" s="24">
        <v>15</v>
      </c>
      <c r="E21" s="24">
        <v>10</v>
      </c>
      <c r="F21" s="24">
        <v>10</v>
      </c>
      <c r="G21" s="24">
        <v>10</v>
      </c>
      <c r="H21" s="24">
        <v>25</v>
      </c>
      <c r="I21" s="24">
        <v>15</v>
      </c>
      <c r="J21" s="25">
        <v>15</v>
      </c>
      <c r="K21" s="85">
        <f>179-K28</f>
        <v>115</v>
      </c>
      <c r="L21" s="85">
        <v>100</v>
      </c>
      <c r="M21" s="85">
        <v>115</v>
      </c>
      <c r="N21" s="99">
        <f t="shared" si="2"/>
        <v>15</v>
      </c>
      <c r="O21" s="99" t="s">
        <v>4335</v>
      </c>
    </row>
    <row r="22" spans="2:15" x14ac:dyDescent="0.3">
      <c r="B22" s="74" t="s">
        <v>41</v>
      </c>
      <c r="C22" s="146" t="s">
        <v>4327</v>
      </c>
      <c r="D22" s="146"/>
      <c r="E22" s="146"/>
      <c r="F22" s="146"/>
      <c r="G22" s="146"/>
      <c r="H22" s="146"/>
      <c r="I22" s="146"/>
      <c r="J22" s="146"/>
      <c r="K22" s="100"/>
      <c r="L22" s="85">
        <v>0</v>
      </c>
      <c r="M22" s="85">
        <v>5</v>
      </c>
      <c r="N22" s="99">
        <f t="shared" si="2"/>
        <v>5</v>
      </c>
      <c r="O22" s="99" t="s">
        <v>4329</v>
      </c>
    </row>
    <row r="23" spans="2:15" x14ac:dyDescent="0.3">
      <c r="B23" s="26" t="s">
        <v>22</v>
      </c>
      <c r="C23" s="27"/>
      <c r="D23" s="27"/>
      <c r="E23" s="27"/>
      <c r="F23" s="27"/>
      <c r="G23" s="27"/>
      <c r="H23" s="27"/>
      <c r="I23" s="27"/>
      <c r="J23" s="27"/>
      <c r="K23" s="8"/>
      <c r="L23" s="8"/>
      <c r="M23" s="8"/>
      <c r="N23" s="95"/>
      <c r="O23" s="95"/>
    </row>
    <row r="24" spans="2:15" x14ac:dyDescent="0.3">
      <c r="B24" s="28" t="s">
        <v>23</v>
      </c>
      <c r="C24" s="29">
        <v>0.5</v>
      </c>
      <c r="D24" s="29">
        <v>0.5</v>
      </c>
      <c r="E24" s="29">
        <v>0.5</v>
      </c>
      <c r="F24" s="29">
        <v>0.5</v>
      </c>
      <c r="G24" s="29">
        <v>0.25</v>
      </c>
      <c r="H24" s="29">
        <v>0.25</v>
      </c>
      <c r="I24" s="29">
        <v>0.25</v>
      </c>
      <c r="J24" s="29">
        <v>0.25</v>
      </c>
      <c r="K24" s="86">
        <v>1</v>
      </c>
      <c r="L24" s="86">
        <v>1</v>
      </c>
      <c r="M24" s="86">
        <v>1</v>
      </c>
      <c r="N24" s="95">
        <f t="shared" si="2"/>
        <v>0</v>
      </c>
      <c r="O24" s="95" t="s">
        <v>4335</v>
      </c>
    </row>
    <row r="25" spans="2:15" x14ac:dyDescent="0.3">
      <c r="B25" s="28" t="s">
        <v>18</v>
      </c>
      <c r="C25" s="29">
        <v>0.5</v>
      </c>
      <c r="D25" s="29">
        <v>0.5</v>
      </c>
      <c r="E25" s="29">
        <v>0.5</v>
      </c>
      <c r="F25" s="29">
        <v>0.5</v>
      </c>
      <c r="G25" s="29">
        <v>0.5</v>
      </c>
      <c r="H25" s="29">
        <v>0.5</v>
      </c>
      <c r="I25" s="29">
        <v>0.5</v>
      </c>
      <c r="J25" s="30">
        <v>0.5</v>
      </c>
      <c r="K25" s="86">
        <f t="shared" ref="K25" si="3">SUM(C25:J25)</f>
        <v>4</v>
      </c>
      <c r="L25" s="86">
        <f>2+2</f>
        <v>4</v>
      </c>
      <c r="M25" s="86">
        <v>4</v>
      </c>
      <c r="N25" s="95">
        <f t="shared" si="2"/>
        <v>0</v>
      </c>
      <c r="O25" s="95" t="s">
        <v>4335</v>
      </c>
    </row>
    <row r="26" spans="2:15" x14ac:dyDescent="0.3">
      <c r="B26" s="28" t="s">
        <v>19</v>
      </c>
      <c r="C26" s="29">
        <v>0.5</v>
      </c>
      <c r="D26" s="29">
        <v>0.5</v>
      </c>
      <c r="E26" s="29">
        <v>0.5</v>
      </c>
      <c r="F26" s="29">
        <v>0.5</v>
      </c>
      <c r="G26" s="29">
        <v>0.5</v>
      </c>
      <c r="H26" s="29">
        <v>0.5</v>
      </c>
      <c r="I26" s="29">
        <v>0.5</v>
      </c>
      <c r="J26" s="29">
        <v>0.5</v>
      </c>
      <c r="K26" s="86">
        <v>4</v>
      </c>
      <c r="L26" s="86">
        <v>4</v>
      </c>
      <c r="M26" s="86">
        <v>4</v>
      </c>
      <c r="N26" s="95">
        <f t="shared" si="2"/>
        <v>0</v>
      </c>
      <c r="O26" s="95" t="s">
        <v>4335</v>
      </c>
    </row>
    <row r="27" spans="2:15" x14ac:dyDescent="0.3">
      <c r="B27" s="28" t="s">
        <v>20</v>
      </c>
      <c r="C27" s="29">
        <v>2</v>
      </c>
      <c r="D27" s="29">
        <v>2</v>
      </c>
      <c r="E27" s="29">
        <v>1.5</v>
      </c>
      <c r="F27" s="29">
        <v>1.5</v>
      </c>
      <c r="G27" s="29">
        <v>1</v>
      </c>
      <c r="H27" s="29">
        <v>1</v>
      </c>
      <c r="I27" s="29">
        <v>2</v>
      </c>
      <c r="J27" s="30">
        <v>2</v>
      </c>
      <c r="K27" s="86">
        <v>17</v>
      </c>
      <c r="L27" s="86">
        <v>9</v>
      </c>
      <c r="M27" s="86">
        <v>13</v>
      </c>
      <c r="N27" s="95">
        <f t="shared" si="2"/>
        <v>4</v>
      </c>
      <c r="O27" s="95" t="s">
        <v>4335</v>
      </c>
    </row>
    <row r="28" spans="2:15" x14ac:dyDescent="0.3">
      <c r="B28" s="28" t="s">
        <v>21</v>
      </c>
      <c r="C28" s="29">
        <v>10</v>
      </c>
      <c r="D28" s="29">
        <v>10</v>
      </c>
      <c r="E28" s="29">
        <v>8</v>
      </c>
      <c r="F28" s="29">
        <v>8</v>
      </c>
      <c r="G28" s="29">
        <v>7</v>
      </c>
      <c r="H28" s="29">
        <v>7</v>
      </c>
      <c r="I28" s="29">
        <v>7</v>
      </c>
      <c r="J28" s="30">
        <v>7</v>
      </c>
      <c r="K28" s="86">
        <v>64</v>
      </c>
      <c r="L28" s="101">
        <v>55</v>
      </c>
      <c r="M28" s="101">
        <v>64</v>
      </c>
      <c r="N28" s="95">
        <f t="shared" si="2"/>
        <v>9</v>
      </c>
      <c r="O28" s="95" t="s">
        <v>4335</v>
      </c>
    </row>
    <row r="29" spans="2:15" x14ac:dyDescent="0.3">
      <c r="B29" s="75" t="s">
        <v>41</v>
      </c>
      <c r="C29" s="137" t="s">
        <v>4327</v>
      </c>
      <c r="D29" s="138"/>
      <c r="E29" s="138"/>
      <c r="F29" s="138"/>
      <c r="G29" s="138"/>
      <c r="H29" s="138"/>
      <c r="I29" s="138"/>
      <c r="J29" s="139"/>
      <c r="K29" s="102"/>
      <c r="L29" s="103">
        <v>0</v>
      </c>
      <c r="M29" s="103">
        <v>5</v>
      </c>
      <c r="N29" s="95">
        <f t="shared" si="2"/>
        <v>5</v>
      </c>
      <c r="O29" s="95" t="s">
        <v>4328</v>
      </c>
    </row>
    <row r="30" spans="2:15" ht="15" customHeight="1" thickBot="1" x14ac:dyDescent="0.35">
      <c r="B30" s="31" t="s">
        <v>32</v>
      </c>
      <c r="C30" s="134" t="s">
        <v>4332</v>
      </c>
      <c r="D30" s="135"/>
      <c r="E30" s="135"/>
      <c r="F30" s="135"/>
      <c r="G30" s="135"/>
      <c r="H30" s="135"/>
      <c r="I30" s="135"/>
      <c r="J30" s="136"/>
      <c r="K30" s="104"/>
      <c r="L30" s="105">
        <v>0</v>
      </c>
      <c r="M30" s="105">
        <v>4</v>
      </c>
      <c r="N30" s="95">
        <f t="shared" si="2"/>
        <v>4</v>
      </c>
      <c r="O30" s="106" t="s">
        <v>4331</v>
      </c>
    </row>
    <row r="31" spans="2:15" ht="14.4" thickBot="1" x14ac:dyDescent="0.35">
      <c r="J31" s="32" t="s">
        <v>28</v>
      </c>
      <c r="K31" s="33">
        <f>SUM(K17:K30)+C14+C15</f>
        <v>252</v>
      </c>
      <c r="L31" s="93">
        <f>SUM(L14:L30)</f>
        <v>207</v>
      </c>
      <c r="M31" s="93">
        <f t="shared" ref="M31:N31" si="4">SUM(M14:M30)</f>
        <v>262</v>
      </c>
      <c r="N31" s="107">
        <f t="shared" si="4"/>
        <v>55</v>
      </c>
      <c r="O31" s="96"/>
    </row>
    <row r="32" spans="2:15" ht="45.6" customHeight="1" thickBot="1" x14ac:dyDescent="0.35">
      <c r="J32" s="127" t="s">
        <v>4336</v>
      </c>
      <c r="K32" s="128"/>
      <c r="L32" s="128"/>
      <c r="M32" s="128"/>
      <c r="N32" s="128"/>
      <c r="O32" s="129"/>
    </row>
    <row r="33" spans="2:6" x14ac:dyDescent="0.3">
      <c r="B33" s="92" t="s">
        <v>7</v>
      </c>
      <c r="C33" s="91"/>
      <c r="D33" s="91"/>
      <c r="E33" s="91"/>
      <c r="F33" s="91"/>
    </row>
    <row r="34" spans="2:6" ht="124.2" x14ac:dyDescent="0.3">
      <c r="B34" s="90" t="s">
        <v>10</v>
      </c>
    </row>
    <row r="36" spans="2:6" x14ac:dyDescent="0.3">
      <c r="B36" s="92" t="s">
        <v>8</v>
      </c>
      <c r="C36" s="91"/>
      <c r="D36" s="91"/>
      <c r="E36" s="91"/>
      <c r="F36" s="91"/>
    </row>
    <row r="37" spans="2:6" ht="138" x14ac:dyDescent="0.3">
      <c r="B37" s="90" t="s">
        <v>11</v>
      </c>
    </row>
  </sheetData>
  <mergeCells count="9">
    <mergeCell ref="J32:O32"/>
    <mergeCell ref="C4:K4"/>
    <mergeCell ref="L4:L5"/>
    <mergeCell ref="C30:J30"/>
    <mergeCell ref="C29:J29"/>
    <mergeCell ref="C14:K14"/>
    <mergeCell ref="C15:K15"/>
    <mergeCell ref="C13:K13"/>
    <mergeCell ref="C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C49C-9E3A-4F66-8330-5646EA90E556}">
  <dimension ref="A1:C12"/>
  <sheetViews>
    <sheetView workbookViewId="0">
      <selection activeCell="D21" sqref="D21"/>
    </sheetView>
  </sheetViews>
  <sheetFormatPr defaultRowHeight="14.4" x14ac:dyDescent="0.3"/>
  <cols>
    <col min="1" max="1" width="19.6640625" bestFit="1" customWidth="1"/>
    <col min="2" max="2" width="18.33203125" bestFit="1" customWidth="1"/>
    <col min="3" max="3" width="14.77734375" bestFit="1" customWidth="1"/>
  </cols>
  <sheetData>
    <row r="1" spans="1:3" x14ac:dyDescent="0.3">
      <c r="A1" s="81" t="s">
        <v>0</v>
      </c>
      <c r="B1" t="s">
        <v>4322</v>
      </c>
    </row>
    <row r="2" spans="1:3" x14ac:dyDescent="0.3">
      <c r="A2" s="81" t="s">
        <v>69</v>
      </c>
      <c r="B2" t="s">
        <v>4319</v>
      </c>
    </row>
    <row r="3" spans="1:3" x14ac:dyDescent="0.3">
      <c r="A3" s="81" t="s">
        <v>51</v>
      </c>
      <c r="B3" t="s">
        <v>4322</v>
      </c>
    </row>
    <row r="5" spans="1:3" x14ac:dyDescent="0.3">
      <c r="A5" s="81" t="s">
        <v>65</v>
      </c>
      <c r="B5" s="81" t="s">
        <v>50</v>
      </c>
      <c r="C5" t="s">
        <v>4318</v>
      </c>
    </row>
    <row r="6" spans="1:3" x14ac:dyDescent="0.3">
      <c r="A6" t="s">
        <v>88</v>
      </c>
      <c r="B6" t="s">
        <v>79</v>
      </c>
      <c r="C6">
        <v>595</v>
      </c>
    </row>
    <row r="7" spans="1:3" x14ac:dyDescent="0.3">
      <c r="B7" t="s">
        <v>3039</v>
      </c>
      <c r="C7">
        <v>219</v>
      </c>
    </row>
    <row r="8" spans="1:3" x14ac:dyDescent="0.3">
      <c r="A8" t="s">
        <v>4320</v>
      </c>
      <c r="C8">
        <v>814</v>
      </c>
    </row>
    <row r="9" spans="1:3" x14ac:dyDescent="0.3">
      <c r="A9" t="s">
        <v>101</v>
      </c>
      <c r="B9" t="s">
        <v>79</v>
      </c>
      <c r="C9">
        <v>582</v>
      </c>
    </row>
    <row r="10" spans="1:3" x14ac:dyDescent="0.3">
      <c r="B10" t="s">
        <v>3039</v>
      </c>
      <c r="C10">
        <v>342</v>
      </c>
    </row>
    <row r="11" spans="1:3" x14ac:dyDescent="0.3">
      <c r="A11" t="s">
        <v>4321</v>
      </c>
      <c r="C11">
        <v>924</v>
      </c>
    </row>
    <row r="12" spans="1:3" x14ac:dyDescent="0.3">
      <c r="A12" t="s">
        <v>4317</v>
      </c>
      <c r="C12">
        <v>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BDCE-6521-4034-8E7D-724DD2E19538}">
  <sheetPr filterMode="1"/>
  <dimension ref="A1:AG2193"/>
  <sheetViews>
    <sheetView zoomScale="70" zoomScaleNormal="70" workbookViewId="0">
      <selection activeCell="Q49" sqref="Q49"/>
    </sheetView>
  </sheetViews>
  <sheetFormatPr defaultColWidth="8.88671875" defaultRowHeight="14.4" x14ac:dyDescent="0.3"/>
  <cols>
    <col min="1" max="1" width="8.88671875" style="77"/>
    <col min="2" max="2" width="21.77734375" style="77" customWidth="1"/>
    <col min="3" max="3" width="15.44140625" style="77" customWidth="1"/>
    <col min="4" max="6" width="8.88671875" style="77"/>
    <col min="7" max="7" width="27.21875" style="77" customWidth="1"/>
    <col min="8" max="8" width="28.6640625" style="77" customWidth="1"/>
    <col min="9" max="9" width="8.88671875" style="77"/>
    <col min="10" max="10" width="17.77734375" style="77" customWidth="1"/>
    <col min="11" max="21" width="8.88671875" style="77"/>
    <col min="22" max="22" width="47.88671875" style="77" customWidth="1"/>
    <col min="23" max="23" width="18" style="77" customWidth="1"/>
    <col min="24" max="24" width="23.21875" style="77" customWidth="1"/>
    <col min="25" max="25" width="18.44140625" style="77" customWidth="1"/>
    <col min="26" max="26" width="8.88671875" style="77"/>
    <col min="27" max="27" width="41.6640625" style="77" bestFit="1" customWidth="1"/>
    <col min="28" max="16384" width="8.88671875" style="77"/>
  </cols>
  <sheetData>
    <row r="1" spans="1:33" x14ac:dyDescent="0.3">
      <c r="A1" s="76" t="s">
        <v>42</v>
      </c>
      <c r="B1" s="76" t="s">
        <v>43</v>
      </c>
      <c r="C1" s="76" t="s">
        <v>44</v>
      </c>
      <c r="D1" s="76" t="s">
        <v>45</v>
      </c>
      <c r="E1" s="76" t="s">
        <v>46</v>
      </c>
      <c r="F1" s="76" t="s">
        <v>47</v>
      </c>
      <c r="G1" s="76" t="s">
        <v>0</v>
      </c>
      <c r="H1" s="76" t="s">
        <v>48</v>
      </c>
      <c r="I1" s="76" t="s">
        <v>49</v>
      </c>
      <c r="J1" s="76" t="s">
        <v>50</v>
      </c>
      <c r="K1" s="76" t="s">
        <v>51</v>
      </c>
      <c r="L1" s="76" t="s">
        <v>52</v>
      </c>
      <c r="M1" s="76" t="s">
        <v>53</v>
      </c>
      <c r="N1" s="76" t="s">
        <v>54</v>
      </c>
      <c r="O1" s="76" t="s">
        <v>55</v>
      </c>
      <c r="P1" s="76" t="s">
        <v>56</v>
      </c>
      <c r="Q1" s="76" t="s">
        <v>57</v>
      </c>
      <c r="R1" s="76" t="s">
        <v>58</v>
      </c>
      <c r="S1" s="76" t="s">
        <v>59</v>
      </c>
      <c r="T1" s="76" t="s">
        <v>60</v>
      </c>
      <c r="U1" s="76" t="s">
        <v>61</v>
      </c>
      <c r="V1" s="76" t="s">
        <v>62</v>
      </c>
      <c r="W1" s="76" t="s">
        <v>63</v>
      </c>
      <c r="X1" s="76" t="s">
        <v>64</v>
      </c>
      <c r="Y1" s="76" t="s">
        <v>65</v>
      </c>
      <c r="Z1" s="76" t="s">
        <v>66</v>
      </c>
      <c r="AA1" s="76" t="s">
        <v>67</v>
      </c>
      <c r="AB1" s="76" t="s">
        <v>68</v>
      </c>
      <c r="AC1" s="76" t="s">
        <v>69</v>
      </c>
      <c r="AD1" s="76" t="s">
        <v>70</v>
      </c>
      <c r="AE1" s="76" t="s">
        <v>71</v>
      </c>
      <c r="AF1" s="76" t="s">
        <v>72</v>
      </c>
      <c r="AG1" s="76" t="s">
        <v>73</v>
      </c>
    </row>
    <row r="2" spans="1:33" x14ac:dyDescent="0.3">
      <c r="A2" s="77" t="s">
        <v>74</v>
      </c>
      <c r="B2" s="77" t="s">
        <v>75</v>
      </c>
      <c r="G2" s="77" t="s">
        <v>76</v>
      </c>
      <c r="H2" s="77" t="s">
        <v>77</v>
      </c>
      <c r="I2" s="77" t="s">
        <v>78</v>
      </c>
      <c r="J2" s="77" t="s">
        <v>79</v>
      </c>
      <c r="K2" s="77" t="s">
        <v>80</v>
      </c>
      <c r="L2" s="77" t="s">
        <v>81</v>
      </c>
      <c r="M2" s="77" t="s">
        <v>82</v>
      </c>
      <c r="N2" s="77" t="s">
        <v>83</v>
      </c>
      <c r="Q2" s="77" t="s">
        <v>84</v>
      </c>
      <c r="U2" s="77" t="s">
        <v>85</v>
      </c>
      <c r="V2" s="80" t="s">
        <v>86</v>
      </c>
      <c r="X2" s="77" t="s">
        <v>87</v>
      </c>
      <c r="Y2" s="78" t="s">
        <v>88</v>
      </c>
      <c r="AA2" s="77" t="s">
        <v>89</v>
      </c>
      <c r="AB2" s="77" t="s">
        <v>78</v>
      </c>
      <c r="AC2" s="77" t="s">
        <v>90</v>
      </c>
      <c r="AD2" s="77" t="s">
        <v>91</v>
      </c>
      <c r="AE2" s="77" t="s">
        <v>92</v>
      </c>
    </row>
    <row r="3" spans="1:33" x14ac:dyDescent="0.3">
      <c r="A3" s="77" t="s">
        <v>93</v>
      </c>
      <c r="B3" s="77" t="s">
        <v>94</v>
      </c>
      <c r="G3" s="77" t="s">
        <v>76</v>
      </c>
      <c r="H3" s="77" t="s">
        <v>77</v>
      </c>
      <c r="I3" s="77" t="s">
        <v>78</v>
      </c>
      <c r="J3" s="77" t="s">
        <v>79</v>
      </c>
      <c r="K3" s="77" t="s">
        <v>80</v>
      </c>
      <c r="L3" s="77" t="s">
        <v>81</v>
      </c>
      <c r="M3" s="77" t="s">
        <v>82</v>
      </c>
      <c r="N3" s="77" t="s">
        <v>83</v>
      </c>
      <c r="Q3" s="77" t="s">
        <v>84</v>
      </c>
      <c r="U3" s="77" t="s">
        <v>85</v>
      </c>
      <c r="V3" s="80" t="s">
        <v>95</v>
      </c>
      <c r="X3" s="77" t="s">
        <v>96</v>
      </c>
      <c r="Y3" s="78" t="s">
        <v>88</v>
      </c>
      <c r="AA3" s="77" t="s">
        <v>89</v>
      </c>
      <c r="AB3" s="77" t="s">
        <v>78</v>
      </c>
      <c r="AC3" s="77" t="s">
        <v>90</v>
      </c>
      <c r="AD3" s="77" t="s">
        <v>91</v>
      </c>
      <c r="AE3" s="77" t="s">
        <v>92</v>
      </c>
    </row>
    <row r="4" spans="1:33" x14ac:dyDescent="0.3">
      <c r="A4" s="77" t="s">
        <v>97</v>
      </c>
      <c r="B4" s="77" t="s">
        <v>98</v>
      </c>
      <c r="G4" s="77" t="s">
        <v>76</v>
      </c>
      <c r="H4" s="77" t="s">
        <v>77</v>
      </c>
      <c r="I4" s="77" t="s">
        <v>78</v>
      </c>
      <c r="J4" s="77" t="s">
        <v>79</v>
      </c>
      <c r="K4" s="77" t="s">
        <v>80</v>
      </c>
      <c r="L4" s="77" t="s">
        <v>81</v>
      </c>
      <c r="M4" s="77" t="s">
        <v>82</v>
      </c>
      <c r="N4" s="77" t="s">
        <v>83</v>
      </c>
      <c r="Q4" s="77" t="s">
        <v>84</v>
      </c>
      <c r="U4" s="77" t="s">
        <v>85</v>
      </c>
      <c r="V4" s="80" t="s">
        <v>99</v>
      </c>
      <c r="X4" s="77" t="s">
        <v>100</v>
      </c>
      <c r="Y4" s="78" t="s">
        <v>101</v>
      </c>
      <c r="AA4" s="77" t="s">
        <v>89</v>
      </c>
      <c r="AB4" s="77" t="s">
        <v>78</v>
      </c>
      <c r="AC4" s="77" t="s">
        <v>90</v>
      </c>
      <c r="AD4" s="77" t="s">
        <v>102</v>
      </c>
      <c r="AE4" s="77" t="s">
        <v>92</v>
      </c>
    </row>
    <row r="5" spans="1:33" x14ac:dyDescent="0.3">
      <c r="A5" s="77" t="s">
        <v>103</v>
      </c>
      <c r="B5" s="77" t="s">
        <v>104</v>
      </c>
      <c r="G5" s="77" t="s">
        <v>76</v>
      </c>
      <c r="H5" s="77" t="s">
        <v>77</v>
      </c>
      <c r="I5" s="77" t="s">
        <v>78</v>
      </c>
      <c r="J5" s="77" t="s">
        <v>79</v>
      </c>
      <c r="K5" s="77" t="s">
        <v>80</v>
      </c>
      <c r="L5" s="77" t="s">
        <v>81</v>
      </c>
      <c r="M5" s="77" t="s">
        <v>82</v>
      </c>
      <c r="N5" s="77" t="s">
        <v>83</v>
      </c>
      <c r="Q5" s="77" t="s">
        <v>84</v>
      </c>
      <c r="U5" s="77" t="s">
        <v>85</v>
      </c>
      <c r="V5" s="80" t="s">
        <v>105</v>
      </c>
      <c r="X5" s="77" t="s">
        <v>106</v>
      </c>
      <c r="Y5" s="78" t="s">
        <v>101</v>
      </c>
      <c r="AA5" s="77" t="s">
        <v>89</v>
      </c>
      <c r="AB5" s="77" t="s">
        <v>78</v>
      </c>
      <c r="AC5" s="77" t="s">
        <v>90</v>
      </c>
      <c r="AD5" s="77" t="s">
        <v>102</v>
      </c>
      <c r="AE5" s="77" t="s">
        <v>92</v>
      </c>
    </row>
    <row r="6" spans="1:33" hidden="1" x14ac:dyDescent="0.3">
      <c r="A6" s="77" t="s">
        <v>107</v>
      </c>
      <c r="B6" s="77" t="s">
        <v>108</v>
      </c>
      <c r="G6" s="77" t="s">
        <v>109</v>
      </c>
      <c r="H6" s="77" t="s">
        <v>77</v>
      </c>
      <c r="I6" s="77" t="s">
        <v>78</v>
      </c>
      <c r="J6" s="77" t="s">
        <v>79</v>
      </c>
      <c r="K6" s="77" t="s">
        <v>80</v>
      </c>
      <c r="L6" s="77" t="s">
        <v>110</v>
      </c>
      <c r="M6" s="77" t="s">
        <v>82</v>
      </c>
      <c r="N6" s="77" t="s">
        <v>83</v>
      </c>
      <c r="Q6" s="77" t="s">
        <v>111</v>
      </c>
      <c r="T6" s="77" t="s">
        <v>112</v>
      </c>
      <c r="U6" s="77" t="s">
        <v>85</v>
      </c>
      <c r="V6" s="80" t="s">
        <v>86</v>
      </c>
      <c r="W6" s="79">
        <v>46088.478327858793</v>
      </c>
      <c r="X6" s="77" t="s">
        <v>87</v>
      </c>
      <c r="Y6" s="78" t="s">
        <v>88</v>
      </c>
      <c r="AA6" s="77" t="s">
        <v>113</v>
      </c>
      <c r="AB6" s="77" t="s">
        <v>78</v>
      </c>
      <c r="AC6" s="77" t="s">
        <v>114</v>
      </c>
      <c r="AD6" s="77" t="s">
        <v>91</v>
      </c>
      <c r="AE6" s="77" t="s">
        <v>115</v>
      </c>
      <c r="AF6" s="77" t="s">
        <v>116</v>
      </c>
      <c r="AG6" s="77" t="s">
        <v>112</v>
      </c>
    </row>
    <row r="7" spans="1:33" hidden="1" x14ac:dyDescent="0.3">
      <c r="A7" s="77" t="s">
        <v>117</v>
      </c>
      <c r="B7" s="77" t="s">
        <v>118</v>
      </c>
      <c r="G7" s="77" t="s">
        <v>109</v>
      </c>
      <c r="H7" s="77" t="s">
        <v>77</v>
      </c>
      <c r="I7" s="77" t="s">
        <v>78</v>
      </c>
      <c r="J7" s="77" t="s">
        <v>79</v>
      </c>
      <c r="K7" s="77" t="s">
        <v>80</v>
      </c>
      <c r="L7" s="77" t="s">
        <v>119</v>
      </c>
      <c r="M7" s="77" t="s">
        <v>82</v>
      </c>
      <c r="N7" s="77" t="s">
        <v>83</v>
      </c>
      <c r="Q7" s="77" t="s">
        <v>111</v>
      </c>
      <c r="T7" s="77" t="s">
        <v>112</v>
      </c>
      <c r="U7" s="77" t="s">
        <v>85</v>
      </c>
      <c r="V7" s="77" t="s">
        <v>95</v>
      </c>
      <c r="W7" s="79">
        <v>46088.483443900463</v>
      </c>
      <c r="X7" s="77" t="s">
        <v>96</v>
      </c>
      <c r="Y7" s="78" t="s">
        <v>88</v>
      </c>
      <c r="AA7" s="77" t="s">
        <v>113</v>
      </c>
      <c r="AB7" s="77" t="s">
        <v>78</v>
      </c>
      <c r="AC7" s="77" t="s">
        <v>114</v>
      </c>
      <c r="AD7" s="77" t="s">
        <v>91</v>
      </c>
      <c r="AE7" s="77" t="s">
        <v>115</v>
      </c>
      <c r="AF7" s="77" t="s">
        <v>116</v>
      </c>
      <c r="AG7" s="77" t="s">
        <v>112</v>
      </c>
    </row>
    <row r="8" spans="1:33" hidden="1" x14ac:dyDescent="0.3">
      <c r="A8" s="77" t="s">
        <v>120</v>
      </c>
      <c r="B8" s="77" t="s">
        <v>121</v>
      </c>
      <c r="G8" s="77" t="s">
        <v>109</v>
      </c>
      <c r="H8" s="77" t="s">
        <v>77</v>
      </c>
      <c r="I8" s="77" t="s">
        <v>78</v>
      </c>
      <c r="J8" s="77" t="s">
        <v>79</v>
      </c>
      <c r="K8" s="77" t="s">
        <v>80</v>
      </c>
      <c r="L8" s="77" t="s">
        <v>122</v>
      </c>
      <c r="M8" s="77" t="s">
        <v>82</v>
      </c>
      <c r="N8" s="77" t="s">
        <v>83</v>
      </c>
      <c r="Q8" s="77" t="s">
        <v>111</v>
      </c>
      <c r="T8" s="77" t="s">
        <v>112</v>
      </c>
      <c r="U8" s="77" t="s">
        <v>85</v>
      </c>
      <c r="V8" s="77" t="s">
        <v>99</v>
      </c>
      <c r="W8" s="79">
        <v>46088.48542326389</v>
      </c>
      <c r="X8" s="77" t="s">
        <v>100</v>
      </c>
      <c r="Y8" s="78" t="s">
        <v>101</v>
      </c>
      <c r="AA8" s="77" t="s">
        <v>113</v>
      </c>
      <c r="AB8" s="77" t="s">
        <v>78</v>
      </c>
      <c r="AC8" s="77" t="s">
        <v>114</v>
      </c>
      <c r="AD8" s="77" t="s">
        <v>102</v>
      </c>
      <c r="AE8" s="77" t="s">
        <v>115</v>
      </c>
      <c r="AF8" s="77" t="s">
        <v>116</v>
      </c>
      <c r="AG8" s="77" t="s">
        <v>112</v>
      </c>
    </row>
    <row r="9" spans="1:33" hidden="1" x14ac:dyDescent="0.3">
      <c r="A9" s="77" t="s">
        <v>123</v>
      </c>
      <c r="B9" s="77" t="s">
        <v>124</v>
      </c>
      <c r="G9" s="77" t="s">
        <v>109</v>
      </c>
      <c r="H9" s="77" t="s">
        <v>77</v>
      </c>
      <c r="I9" s="77" t="s">
        <v>78</v>
      </c>
      <c r="J9" s="77" t="s">
        <v>79</v>
      </c>
      <c r="K9" s="77" t="s">
        <v>80</v>
      </c>
      <c r="L9" s="77" t="s">
        <v>125</v>
      </c>
      <c r="M9" s="77" t="s">
        <v>82</v>
      </c>
      <c r="N9" s="77" t="s">
        <v>83</v>
      </c>
      <c r="Q9" s="77" t="s">
        <v>111</v>
      </c>
      <c r="T9" s="77" t="s">
        <v>112</v>
      </c>
      <c r="U9" s="77" t="s">
        <v>85</v>
      </c>
      <c r="V9" s="77" t="s">
        <v>105</v>
      </c>
      <c r="W9" s="79">
        <v>46088.487749687498</v>
      </c>
      <c r="X9" s="77" t="s">
        <v>106</v>
      </c>
      <c r="Y9" s="78" t="s">
        <v>101</v>
      </c>
      <c r="AA9" s="77" t="s">
        <v>113</v>
      </c>
      <c r="AB9" s="77" t="s">
        <v>78</v>
      </c>
      <c r="AC9" s="77" t="s">
        <v>114</v>
      </c>
      <c r="AD9" s="77" t="s">
        <v>102</v>
      </c>
      <c r="AE9" s="77" t="s">
        <v>115</v>
      </c>
      <c r="AF9" s="77" t="s">
        <v>116</v>
      </c>
      <c r="AG9" s="77" t="s">
        <v>112</v>
      </c>
    </row>
    <row r="10" spans="1:33" hidden="1" x14ac:dyDescent="0.3">
      <c r="A10" s="77" t="s">
        <v>126</v>
      </c>
      <c r="B10" s="77" t="s">
        <v>127</v>
      </c>
      <c r="G10" s="77" t="s">
        <v>109</v>
      </c>
      <c r="H10" s="77" t="s">
        <v>77</v>
      </c>
      <c r="I10" s="77" t="s">
        <v>78</v>
      </c>
      <c r="J10" s="77" t="s">
        <v>79</v>
      </c>
      <c r="K10" s="77" t="s">
        <v>80</v>
      </c>
      <c r="L10" s="77" t="s">
        <v>128</v>
      </c>
      <c r="M10" s="77" t="s">
        <v>82</v>
      </c>
      <c r="N10" s="77" t="s">
        <v>83</v>
      </c>
      <c r="Q10" s="77" t="s">
        <v>111</v>
      </c>
      <c r="T10" s="77" t="s">
        <v>112</v>
      </c>
      <c r="U10" s="77" t="s">
        <v>85</v>
      </c>
      <c r="V10" s="80" t="s">
        <v>86</v>
      </c>
      <c r="W10" s="79">
        <v>46136.342013541667</v>
      </c>
      <c r="X10" s="77" t="s">
        <v>87</v>
      </c>
      <c r="Y10" s="78" t="s">
        <v>88</v>
      </c>
      <c r="AA10" s="77" t="s">
        <v>113</v>
      </c>
      <c r="AB10" s="77" t="s">
        <v>78</v>
      </c>
      <c r="AC10" s="77" t="s">
        <v>114</v>
      </c>
      <c r="AD10" s="77" t="s">
        <v>91</v>
      </c>
      <c r="AE10" s="77" t="s">
        <v>115</v>
      </c>
      <c r="AF10" s="77" t="s">
        <v>129</v>
      </c>
      <c r="AG10" s="77" t="s">
        <v>112</v>
      </c>
    </row>
    <row r="11" spans="1:33" hidden="1" x14ac:dyDescent="0.3">
      <c r="A11" s="77" t="s">
        <v>130</v>
      </c>
      <c r="B11" s="77" t="s">
        <v>131</v>
      </c>
      <c r="G11" s="77" t="s">
        <v>109</v>
      </c>
      <c r="H11" s="77" t="s">
        <v>77</v>
      </c>
      <c r="I11" s="77" t="s">
        <v>78</v>
      </c>
      <c r="J11" s="77" t="s">
        <v>79</v>
      </c>
      <c r="K11" s="77" t="s">
        <v>80</v>
      </c>
      <c r="L11" s="77" t="s">
        <v>128</v>
      </c>
      <c r="M11" s="77" t="s">
        <v>82</v>
      </c>
      <c r="N11" s="77" t="s">
        <v>83</v>
      </c>
      <c r="Q11" s="77" t="s">
        <v>111</v>
      </c>
      <c r="T11" s="77" t="s">
        <v>112</v>
      </c>
      <c r="U11" s="77" t="s">
        <v>85</v>
      </c>
      <c r="V11" s="80" t="s">
        <v>86</v>
      </c>
      <c r="W11" s="79">
        <v>46136.541063773147</v>
      </c>
      <c r="X11" s="77" t="s">
        <v>87</v>
      </c>
      <c r="Y11" s="78" t="s">
        <v>88</v>
      </c>
      <c r="AA11" s="77" t="s">
        <v>113</v>
      </c>
      <c r="AB11" s="77" t="s">
        <v>78</v>
      </c>
      <c r="AC11" s="77" t="s">
        <v>114</v>
      </c>
      <c r="AD11" s="77" t="s">
        <v>91</v>
      </c>
      <c r="AE11" s="77" t="s">
        <v>115</v>
      </c>
      <c r="AF11" s="77" t="s">
        <v>132</v>
      </c>
      <c r="AG11" s="77" t="s">
        <v>112</v>
      </c>
    </row>
    <row r="12" spans="1:33" hidden="1" x14ac:dyDescent="0.3">
      <c r="A12" s="77" t="s">
        <v>133</v>
      </c>
      <c r="B12" s="77" t="s">
        <v>134</v>
      </c>
      <c r="G12" s="77" t="s">
        <v>109</v>
      </c>
      <c r="H12" s="77" t="s">
        <v>77</v>
      </c>
      <c r="I12" s="77" t="s">
        <v>78</v>
      </c>
      <c r="J12" s="77" t="s">
        <v>79</v>
      </c>
      <c r="K12" s="77" t="s">
        <v>80</v>
      </c>
      <c r="L12" s="77" t="s">
        <v>128</v>
      </c>
      <c r="M12" s="77" t="s">
        <v>82</v>
      </c>
      <c r="N12" s="77" t="s">
        <v>83</v>
      </c>
      <c r="Q12" s="77" t="s">
        <v>111</v>
      </c>
      <c r="T12" s="77" t="s">
        <v>112</v>
      </c>
      <c r="U12" s="77" t="s">
        <v>85</v>
      </c>
      <c r="V12" s="80" t="s">
        <v>86</v>
      </c>
      <c r="W12" s="79">
        <v>46136.541751932869</v>
      </c>
      <c r="X12" s="77" t="s">
        <v>87</v>
      </c>
      <c r="Y12" s="78" t="s">
        <v>88</v>
      </c>
      <c r="AA12" s="77" t="s">
        <v>113</v>
      </c>
      <c r="AB12" s="77" t="s">
        <v>78</v>
      </c>
      <c r="AC12" s="77" t="s">
        <v>114</v>
      </c>
      <c r="AD12" s="77" t="s">
        <v>91</v>
      </c>
      <c r="AE12" s="77" t="s">
        <v>115</v>
      </c>
      <c r="AF12" s="77" t="s">
        <v>132</v>
      </c>
      <c r="AG12" s="77" t="s">
        <v>112</v>
      </c>
    </row>
    <row r="13" spans="1:33" hidden="1" x14ac:dyDescent="0.3">
      <c r="A13" s="77" t="s">
        <v>135</v>
      </c>
      <c r="B13" s="77" t="s">
        <v>136</v>
      </c>
      <c r="G13" s="77" t="s">
        <v>109</v>
      </c>
      <c r="H13" s="77" t="s">
        <v>77</v>
      </c>
      <c r="I13" s="77" t="s">
        <v>78</v>
      </c>
      <c r="J13" s="77" t="s">
        <v>79</v>
      </c>
      <c r="K13" s="77" t="s">
        <v>80</v>
      </c>
      <c r="L13" s="77" t="s">
        <v>137</v>
      </c>
      <c r="M13" s="77" t="s">
        <v>82</v>
      </c>
      <c r="N13" s="77" t="s">
        <v>83</v>
      </c>
      <c r="Q13" s="77" t="s">
        <v>111</v>
      </c>
      <c r="T13" s="77" t="s">
        <v>112</v>
      </c>
      <c r="U13" s="77" t="s">
        <v>85</v>
      </c>
      <c r="V13" s="77" t="s">
        <v>95</v>
      </c>
      <c r="W13" s="79">
        <v>46136.542070219904</v>
      </c>
      <c r="X13" s="77" t="s">
        <v>96</v>
      </c>
      <c r="Y13" s="78" t="s">
        <v>88</v>
      </c>
      <c r="AA13" s="77" t="s">
        <v>113</v>
      </c>
      <c r="AB13" s="77" t="s">
        <v>78</v>
      </c>
      <c r="AC13" s="77" t="s">
        <v>114</v>
      </c>
      <c r="AD13" s="77" t="s">
        <v>91</v>
      </c>
      <c r="AE13" s="77" t="s">
        <v>115</v>
      </c>
      <c r="AF13" s="77" t="s">
        <v>132</v>
      </c>
      <c r="AG13" s="77" t="s">
        <v>112</v>
      </c>
    </row>
    <row r="14" spans="1:33" hidden="1" x14ac:dyDescent="0.3">
      <c r="A14" s="77" t="s">
        <v>138</v>
      </c>
      <c r="B14" s="77" t="s">
        <v>139</v>
      </c>
      <c r="G14" s="77" t="s">
        <v>109</v>
      </c>
      <c r="H14" s="77" t="s">
        <v>77</v>
      </c>
      <c r="I14" s="77" t="s">
        <v>78</v>
      </c>
      <c r="J14" s="77" t="s">
        <v>79</v>
      </c>
      <c r="K14" s="77" t="s">
        <v>80</v>
      </c>
      <c r="L14" s="77" t="s">
        <v>137</v>
      </c>
      <c r="M14" s="77" t="s">
        <v>82</v>
      </c>
      <c r="N14" s="77" t="s">
        <v>83</v>
      </c>
      <c r="Q14" s="77" t="s">
        <v>111</v>
      </c>
      <c r="T14" s="77" t="s">
        <v>112</v>
      </c>
      <c r="U14" s="77" t="s">
        <v>85</v>
      </c>
      <c r="V14" s="77" t="s">
        <v>95</v>
      </c>
      <c r="W14" s="79">
        <v>46136.542416238422</v>
      </c>
      <c r="X14" s="77" t="s">
        <v>96</v>
      </c>
      <c r="Y14" s="78" t="s">
        <v>88</v>
      </c>
      <c r="AA14" s="77" t="s">
        <v>113</v>
      </c>
      <c r="AB14" s="77" t="s">
        <v>78</v>
      </c>
      <c r="AC14" s="77" t="s">
        <v>114</v>
      </c>
      <c r="AD14" s="77" t="s">
        <v>91</v>
      </c>
      <c r="AE14" s="77" t="s">
        <v>115</v>
      </c>
      <c r="AF14" s="77" t="s">
        <v>132</v>
      </c>
      <c r="AG14" s="77" t="s">
        <v>112</v>
      </c>
    </row>
    <row r="15" spans="1:33" hidden="1" x14ac:dyDescent="0.3">
      <c r="A15" s="77" t="s">
        <v>140</v>
      </c>
      <c r="B15" s="77" t="s">
        <v>141</v>
      </c>
      <c r="G15" s="77" t="s">
        <v>109</v>
      </c>
      <c r="H15" s="77" t="s">
        <v>77</v>
      </c>
      <c r="I15" s="77" t="s">
        <v>78</v>
      </c>
      <c r="J15" s="77" t="s">
        <v>79</v>
      </c>
      <c r="K15" s="77" t="s">
        <v>80</v>
      </c>
      <c r="L15" s="77" t="s">
        <v>137</v>
      </c>
      <c r="M15" s="77" t="s">
        <v>82</v>
      </c>
      <c r="N15" s="77" t="s">
        <v>83</v>
      </c>
      <c r="Q15" s="77" t="s">
        <v>111</v>
      </c>
      <c r="T15" s="77" t="s">
        <v>112</v>
      </c>
      <c r="U15" s="77" t="s">
        <v>85</v>
      </c>
      <c r="V15" s="77" t="s">
        <v>95</v>
      </c>
      <c r="W15" s="79">
        <v>46136.574899884261</v>
      </c>
      <c r="X15" s="77" t="s">
        <v>96</v>
      </c>
      <c r="Y15" s="78" t="s">
        <v>88</v>
      </c>
      <c r="AA15" s="77" t="s">
        <v>113</v>
      </c>
      <c r="AB15" s="77" t="s">
        <v>78</v>
      </c>
      <c r="AC15" s="77" t="s">
        <v>114</v>
      </c>
      <c r="AD15" s="77" t="s">
        <v>91</v>
      </c>
      <c r="AE15" s="77" t="s">
        <v>115</v>
      </c>
      <c r="AF15" s="77" t="s">
        <v>132</v>
      </c>
      <c r="AG15" s="77" t="s">
        <v>112</v>
      </c>
    </row>
    <row r="16" spans="1:33" hidden="1" x14ac:dyDescent="0.3">
      <c r="A16" s="77" t="s">
        <v>142</v>
      </c>
      <c r="B16" s="77" t="s">
        <v>143</v>
      </c>
      <c r="G16" s="77" t="s">
        <v>109</v>
      </c>
      <c r="H16" s="77" t="s">
        <v>77</v>
      </c>
      <c r="I16" s="77" t="s">
        <v>78</v>
      </c>
      <c r="J16" s="77" t="s">
        <v>79</v>
      </c>
      <c r="K16" s="77" t="s">
        <v>80</v>
      </c>
      <c r="L16" s="77" t="s">
        <v>144</v>
      </c>
      <c r="M16" s="77" t="s">
        <v>82</v>
      </c>
      <c r="N16" s="77" t="s">
        <v>83</v>
      </c>
      <c r="Q16" s="77" t="s">
        <v>111</v>
      </c>
      <c r="T16" s="77" t="s">
        <v>112</v>
      </c>
      <c r="U16" s="77" t="s">
        <v>85</v>
      </c>
      <c r="V16" s="77" t="s">
        <v>99</v>
      </c>
      <c r="W16" s="79">
        <v>46136.575309108797</v>
      </c>
      <c r="X16" s="77" t="s">
        <v>100</v>
      </c>
      <c r="Y16" s="78" t="s">
        <v>101</v>
      </c>
      <c r="AA16" s="77" t="s">
        <v>113</v>
      </c>
      <c r="AB16" s="77" t="s">
        <v>78</v>
      </c>
      <c r="AC16" s="77" t="s">
        <v>114</v>
      </c>
      <c r="AD16" s="77" t="s">
        <v>102</v>
      </c>
      <c r="AE16" s="77" t="s">
        <v>115</v>
      </c>
      <c r="AF16" s="77" t="s">
        <v>132</v>
      </c>
      <c r="AG16" s="77" t="s">
        <v>112</v>
      </c>
    </row>
    <row r="17" spans="1:33" hidden="1" x14ac:dyDescent="0.3">
      <c r="A17" s="77" t="s">
        <v>145</v>
      </c>
      <c r="B17" s="77" t="s">
        <v>146</v>
      </c>
      <c r="G17" s="77" t="s">
        <v>109</v>
      </c>
      <c r="H17" s="77" t="s">
        <v>77</v>
      </c>
      <c r="I17" s="77" t="s">
        <v>78</v>
      </c>
      <c r="J17" s="77" t="s">
        <v>79</v>
      </c>
      <c r="K17" s="77" t="s">
        <v>80</v>
      </c>
      <c r="L17" s="77" t="s">
        <v>144</v>
      </c>
      <c r="M17" s="77" t="s">
        <v>82</v>
      </c>
      <c r="N17" s="77" t="s">
        <v>83</v>
      </c>
      <c r="Q17" s="77" t="s">
        <v>111</v>
      </c>
      <c r="T17" s="77" t="s">
        <v>112</v>
      </c>
      <c r="U17" s="77" t="s">
        <v>85</v>
      </c>
      <c r="V17" s="77" t="s">
        <v>99</v>
      </c>
      <c r="W17" s="79">
        <v>46136.575658530091</v>
      </c>
      <c r="X17" s="77" t="s">
        <v>100</v>
      </c>
      <c r="Y17" s="78" t="s">
        <v>101</v>
      </c>
      <c r="AA17" s="77" t="s">
        <v>113</v>
      </c>
      <c r="AB17" s="77" t="s">
        <v>78</v>
      </c>
      <c r="AC17" s="77" t="s">
        <v>114</v>
      </c>
      <c r="AD17" s="77" t="s">
        <v>102</v>
      </c>
      <c r="AE17" s="77" t="s">
        <v>115</v>
      </c>
      <c r="AF17" s="77" t="s">
        <v>132</v>
      </c>
      <c r="AG17" s="77" t="s">
        <v>112</v>
      </c>
    </row>
    <row r="18" spans="1:33" hidden="1" x14ac:dyDescent="0.3">
      <c r="A18" s="77" t="s">
        <v>147</v>
      </c>
      <c r="B18" s="77" t="s">
        <v>148</v>
      </c>
      <c r="G18" s="77" t="s">
        <v>109</v>
      </c>
      <c r="H18" s="77" t="s">
        <v>77</v>
      </c>
      <c r="I18" s="77" t="s">
        <v>78</v>
      </c>
      <c r="J18" s="77" t="s">
        <v>79</v>
      </c>
      <c r="K18" s="77" t="s">
        <v>80</v>
      </c>
      <c r="L18" s="77" t="s">
        <v>144</v>
      </c>
      <c r="M18" s="77" t="s">
        <v>82</v>
      </c>
      <c r="N18" s="77" t="s">
        <v>83</v>
      </c>
      <c r="Q18" s="77" t="s">
        <v>111</v>
      </c>
      <c r="T18" s="77" t="s">
        <v>112</v>
      </c>
      <c r="U18" s="77" t="s">
        <v>85</v>
      </c>
      <c r="V18" s="77" t="s">
        <v>99</v>
      </c>
      <c r="W18" s="79">
        <v>46136.34331585648</v>
      </c>
      <c r="X18" s="77" t="s">
        <v>100</v>
      </c>
      <c r="Y18" s="78" t="s">
        <v>101</v>
      </c>
      <c r="AA18" s="77" t="s">
        <v>113</v>
      </c>
      <c r="AB18" s="77" t="s">
        <v>78</v>
      </c>
      <c r="AC18" s="77" t="s">
        <v>114</v>
      </c>
      <c r="AD18" s="77" t="s">
        <v>102</v>
      </c>
      <c r="AE18" s="77" t="s">
        <v>115</v>
      </c>
      <c r="AF18" s="77" t="s">
        <v>129</v>
      </c>
      <c r="AG18" s="77" t="s">
        <v>112</v>
      </c>
    </row>
    <row r="19" spans="1:33" hidden="1" x14ac:dyDescent="0.3">
      <c r="A19" s="77" t="s">
        <v>149</v>
      </c>
      <c r="B19" s="77" t="s">
        <v>150</v>
      </c>
      <c r="G19" s="77" t="s">
        <v>109</v>
      </c>
      <c r="H19" s="77" t="s">
        <v>77</v>
      </c>
      <c r="I19" s="77" t="s">
        <v>78</v>
      </c>
      <c r="J19" s="77" t="s">
        <v>79</v>
      </c>
      <c r="K19" s="77" t="s">
        <v>80</v>
      </c>
      <c r="L19" s="77" t="s">
        <v>151</v>
      </c>
      <c r="M19" s="77" t="s">
        <v>82</v>
      </c>
      <c r="N19" s="77" t="s">
        <v>83</v>
      </c>
      <c r="Q19" s="77" t="s">
        <v>111</v>
      </c>
      <c r="T19" s="77" t="s">
        <v>112</v>
      </c>
      <c r="U19" s="77" t="s">
        <v>85</v>
      </c>
      <c r="V19" s="77" t="s">
        <v>105</v>
      </c>
      <c r="W19" s="79">
        <v>46136.343707210646</v>
      </c>
      <c r="X19" s="77" t="s">
        <v>106</v>
      </c>
      <c r="Y19" s="78" t="s">
        <v>101</v>
      </c>
      <c r="AA19" s="77" t="s">
        <v>113</v>
      </c>
      <c r="AB19" s="77" t="s">
        <v>78</v>
      </c>
      <c r="AC19" s="77" t="s">
        <v>114</v>
      </c>
      <c r="AD19" s="77" t="s">
        <v>102</v>
      </c>
      <c r="AE19" s="77" t="s">
        <v>115</v>
      </c>
      <c r="AF19" s="77" t="s">
        <v>129</v>
      </c>
      <c r="AG19" s="77" t="s">
        <v>112</v>
      </c>
    </row>
    <row r="20" spans="1:33" hidden="1" x14ac:dyDescent="0.3">
      <c r="A20" s="77" t="s">
        <v>152</v>
      </c>
      <c r="B20" s="77" t="s">
        <v>153</v>
      </c>
      <c r="G20" s="77" t="s">
        <v>109</v>
      </c>
      <c r="H20" s="77" t="s">
        <v>77</v>
      </c>
      <c r="I20" s="77" t="s">
        <v>78</v>
      </c>
      <c r="J20" s="77" t="s">
        <v>79</v>
      </c>
      <c r="K20" s="77" t="s">
        <v>80</v>
      </c>
      <c r="L20" s="77" t="s">
        <v>151</v>
      </c>
      <c r="M20" s="77" t="s">
        <v>82</v>
      </c>
      <c r="N20" s="77" t="s">
        <v>83</v>
      </c>
      <c r="Q20" s="77" t="s">
        <v>111</v>
      </c>
      <c r="T20" s="77" t="s">
        <v>112</v>
      </c>
      <c r="U20" s="77" t="s">
        <v>85</v>
      </c>
      <c r="V20" s="77" t="s">
        <v>105</v>
      </c>
      <c r="W20" s="79">
        <v>46136.344050034721</v>
      </c>
      <c r="X20" s="77" t="s">
        <v>106</v>
      </c>
      <c r="Y20" s="78" t="s">
        <v>101</v>
      </c>
      <c r="AA20" s="77" t="s">
        <v>113</v>
      </c>
      <c r="AB20" s="77" t="s">
        <v>78</v>
      </c>
      <c r="AC20" s="77" t="s">
        <v>114</v>
      </c>
      <c r="AD20" s="77" t="s">
        <v>102</v>
      </c>
      <c r="AE20" s="77" t="s">
        <v>115</v>
      </c>
      <c r="AF20" s="77" t="s">
        <v>129</v>
      </c>
      <c r="AG20" s="77" t="s">
        <v>112</v>
      </c>
    </row>
    <row r="21" spans="1:33" hidden="1" x14ac:dyDescent="0.3">
      <c r="A21" s="77" t="s">
        <v>154</v>
      </c>
      <c r="B21" s="77" t="s">
        <v>155</v>
      </c>
      <c r="G21" s="77" t="s">
        <v>109</v>
      </c>
      <c r="H21" s="77" t="s">
        <v>77</v>
      </c>
      <c r="I21" s="77" t="s">
        <v>78</v>
      </c>
      <c r="J21" s="77" t="s">
        <v>79</v>
      </c>
      <c r="K21" s="77" t="s">
        <v>80</v>
      </c>
      <c r="L21" s="77" t="s">
        <v>151</v>
      </c>
      <c r="M21" s="77" t="s">
        <v>82</v>
      </c>
      <c r="N21" s="77" t="s">
        <v>83</v>
      </c>
      <c r="Q21" s="77" t="s">
        <v>111</v>
      </c>
      <c r="T21" s="77" t="s">
        <v>112</v>
      </c>
      <c r="U21" s="77" t="s">
        <v>85</v>
      </c>
      <c r="V21" s="77" t="s">
        <v>105</v>
      </c>
      <c r="W21" s="79">
        <v>46136.344933912034</v>
      </c>
      <c r="X21" s="77" t="s">
        <v>106</v>
      </c>
      <c r="Y21" s="78" t="s">
        <v>101</v>
      </c>
      <c r="AA21" s="77" t="s">
        <v>113</v>
      </c>
      <c r="AB21" s="77" t="s">
        <v>78</v>
      </c>
      <c r="AC21" s="77" t="s">
        <v>114</v>
      </c>
      <c r="AD21" s="77" t="s">
        <v>102</v>
      </c>
      <c r="AE21" s="77" t="s">
        <v>115</v>
      </c>
      <c r="AF21" s="77" t="s">
        <v>129</v>
      </c>
      <c r="AG21" s="77" t="s">
        <v>112</v>
      </c>
    </row>
    <row r="22" spans="1:33" hidden="1" x14ac:dyDescent="0.3">
      <c r="A22" s="77" t="s">
        <v>156</v>
      </c>
      <c r="B22" s="77" t="s">
        <v>157</v>
      </c>
      <c r="G22" s="77" t="s">
        <v>109</v>
      </c>
      <c r="H22" s="77" t="s">
        <v>77</v>
      </c>
      <c r="I22" s="77" t="s">
        <v>78</v>
      </c>
      <c r="J22" s="77" t="s">
        <v>79</v>
      </c>
      <c r="K22" s="77" t="s">
        <v>80</v>
      </c>
      <c r="L22" s="77" t="s">
        <v>158</v>
      </c>
      <c r="M22" s="77" t="s">
        <v>82</v>
      </c>
      <c r="N22" s="77" t="s">
        <v>83</v>
      </c>
      <c r="Q22" s="77" t="s">
        <v>111</v>
      </c>
      <c r="T22" s="77" t="s">
        <v>112</v>
      </c>
      <c r="U22" s="77" t="s">
        <v>85</v>
      </c>
      <c r="V22" s="80" t="s">
        <v>86</v>
      </c>
      <c r="W22" s="79">
        <v>46071.541014849536</v>
      </c>
      <c r="X22" s="77" t="s">
        <v>87</v>
      </c>
      <c r="Y22" s="78" t="s">
        <v>88</v>
      </c>
      <c r="AA22" s="77" t="s">
        <v>113</v>
      </c>
      <c r="AB22" s="77" t="s">
        <v>78</v>
      </c>
      <c r="AC22" s="77" t="s">
        <v>114</v>
      </c>
      <c r="AD22" s="77" t="s">
        <v>91</v>
      </c>
      <c r="AE22" s="77" t="s">
        <v>115</v>
      </c>
      <c r="AF22" s="77" t="s">
        <v>116</v>
      </c>
      <c r="AG22" s="77" t="s">
        <v>112</v>
      </c>
    </row>
    <row r="23" spans="1:33" hidden="1" x14ac:dyDescent="0.3">
      <c r="A23" s="77" t="s">
        <v>159</v>
      </c>
      <c r="B23" s="77" t="s">
        <v>160</v>
      </c>
      <c r="G23" s="77" t="s">
        <v>109</v>
      </c>
      <c r="H23" s="77" t="s">
        <v>77</v>
      </c>
      <c r="I23" s="77" t="s">
        <v>78</v>
      </c>
      <c r="J23" s="77" t="s">
        <v>79</v>
      </c>
      <c r="K23" s="77" t="s">
        <v>80</v>
      </c>
      <c r="L23" s="77" t="s">
        <v>158</v>
      </c>
      <c r="M23" s="77" t="s">
        <v>82</v>
      </c>
      <c r="N23" s="77" t="s">
        <v>83</v>
      </c>
      <c r="Q23" s="77" t="s">
        <v>111</v>
      </c>
      <c r="T23" s="77" t="s">
        <v>112</v>
      </c>
      <c r="U23" s="77" t="s">
        <v>85</v>
      </c>
      <c r="V23" s="80" t="s">
        <v>86</v>
      </c>
      <c r="W23" s="79">
        <v>46071.543937152775</v>
      </c>
      <c r="X23" s="77" t="s">
        <v>87</v>
      </c>
      <c r="Y23" s="78" t="s">
        <v>88</v>
      </c>
      <c r="AA23" s="77" t="s">
        <v>113</v>
      </c>
      <c r="AB23" s="77" t="s">
        <v>78</v>
      </c>
      <c r="AC23" s="77" t="s">
        <v>114</v>
      </c>
      <c r="AD23" s="77" t="s">
        <v>91</v>
      </c>
      <c r="AE23" s="77" t="s">
        <v>115</v>
      </c>
      <c r="AF23" s="77" t="s">
        <v>116</v>
      </c>
      <c r="AG23" s="77" t="s">
        <v>112</v>
      </c>
    </row>
    <row r="24" spans="1:33" hidden="1" x14ac:dyDescent="0.3">
      <c r="A24" s="77" t="s">
        <v>161</v>
      </c>
      <c r="B24" s="77" t="s">
        <v>162</v>
      </c>
      <c r="G24" s="77" t="s">
        <v>109</v>
      </c>
      <c r="H24" s="77" t="s">
        <v>77</v>
      </c>
      <c r="I24" s="77" t="s">
        <v>78</v>
      </c>
      <c r="J24" s="77" t="s">
        <v>79</v>
      </c>
      <c r="K24" s="77" t="s">
        <v>80</v>
      </c>
      <c r="L24" s="77" t="s">
        <v>158</v>
      </c>
      <c r="M24" s="77" t="s">
        <v>82</v>
      </c>
      <c r="N24" s="77" t="s">
        <v>83</v>
      </c>
      <c r="Q24" s="77" t="s">
        <v>111</v>
      </c>
      <c r="T24" s="77" t="s">
        <v>112</v>
      </c>
      <c r="U24" s="77" t="s">
        <v>85</v>
      </c>
      <c r="V24" s="80" t="s">
        <v>86</v>
      </c>
      <c r="W24" s="79">
        <v>46071.545780671295</v>
      </c>
      <c r="X24" s="77" t="s">
        <v>87</v>
      </c>
      <c r="Y24" s="78" t="s">
        <v>88</v>
      </c>
      <c r="AA24" s="77" t="s">
        <v>113</v>
      </c>
      <c r="AB24" s="77" t="s">
        <v>78</v>
      </c>
      <c r="AC24" s="77" t="s">
        <v>114</v>
      </c>
      <c r="AD24" s="77" t="s">
        <v>91</v>
      </c>
      <c r="AE24" s="77" t="s">
        <v>115</v>
      </c>
      <c r="AF24" s="77" t="s">
        <v>116</v>
      </c>
      <c r="AG24" s="77" t="s">
        <v>112</v>
      </c>
    </row>
    <row r="25" spans="1:33" hidden="1" x14ac:dyDescent="0.3">
      <c r="A25" s="77" t="s">
        <v>163</v>
      </c>
      <c r="B25" s="77" t="s">
        <v>164</v>
      </c>
      <c r="G25" s="77" t="s">
        <v>109</v>
      </c>
      <c r="H25" s="77" t="s">
        <v>77</v>
      </c>
      <c r="I25" s="77" t="s">
        <v>78</v>
      </c>
      <c r="J25" s="77" t="s">
        <v>79</v>
      </c>
      <c r="K25" s="77" t="s">
        <v>80</v>
      </c>
      <c r="L25" s="77" t="s">
        <v>165</v>
      </c>
      <c r="M25" s="77" t="s">
        <v>82</v>
      </c>
      <c r="N25" s="77" t="s">
        <v>83</v>
      </c>
      <c r="Q25" s="77" t="s">
        <v>111</v>
      </c>
      <c r="T25" s="77" t="s">
        <v>112</v>
      </c>
      <c r="U25" s="77" t="s">
        <v>85</v>
      </c>
      <c r="V25" s="77" t="s">
        <v>95</v>
      </c>
      <c r="W25" s="79">
        <v>46071.547703668984</v>
      </c>
      <c r="X25" s="77" t="s">
        <v>96</v>
      </c>
      <c r="Y25" s="78" t="s">
        <v>88</v>
      </c>
      <c r="AA25" s="77" t="s">
        <v>113</v>
      </c>
      <c r="AB25" s="77" t="s">
        <v>78</v>
      </c>
      <c r="AC25" s="77" t="s">
        <v>114</v>
      </c>
      <c r="AD25" s="77" t="s">
        <v>91</v>
      </c>
      <c r="AE25" s="77" t="s">
        <v>115</v>
      </c>
      <c r="AF25" s="77" t="s">
        <v>116</v>
      </c>
      <c r="AG25" s="77" t="s">
        <v>112</v>
      </c>
    </row>
    <row r="26" spans="1:33" hidden="1" x14ac:dyDescent="0.3">
      <c r="A26" s="77" t="s">
        <v>166</v>
      </c>
      <c r="B26" s="77" t="s">
        <v>167</v>
      </c>
      <c r="G26" s="77" t="s">
        <v>109</v>
      </c>
      <c r="H26" s="77" t="s">
        <v>77</v>
      </c>
      <c r="I26" s="77" t="s">
        <v>78</v>
      </c>
      <c r="J26" s="77" t="s">
        <v>79</v>
      </c>
      <c r="K26" s="77" t="s">
        <v>80</v>
      </c>
      <c r="L26" s="77" t="s">
        <v>165</v>
      </c>
      <c r="M26" s="77" t="s">
        <v>82</v>
      </c>
      <c r="N26" s="77" t="s">
        <v>83</v>
      </c>
      <c r="Q26" s="77" t="s">
        <v>111</v>
      </c>
      <c r="T26" s="77" t="s">
        <v>112</v>
      </c>
      <c r="U26" s="77" t="s">
        <v>85</v>
      </c>
      <c r="V26" s="77" t="s">
        <v>95</v>
      </c>
      <c r="W26" s="79">
        <v>46071.548983252316</v>
      </c>
      <c r="X26" s="77" t="s">
        <v>96</v>
      </c>
      <c r="Y26" s="78" t="s">
        <v>88</v>
      </c>
      <c r="AA26" s="77" t="s">
        <v>113</v>
      </c>
      <c r="AB26" s="77" t="s">
        <v>78</v>
      </c>
      <c r="AC26" s="77" t="s">
        <v>114</v>
      </c>
      <c r="AD26" s="77" t="s">
        <v>91</v>
      </c>
      <c r="AE26" s="77" t="s">
        <v>115</v>
      </c>
      <c r="AF26" s="77" t="s">
        <v>116</v>
      </c>
      <c r="AG26" s="77" t="s">
        <v>112</v>
      </c>
    </row>
    <row r="27" spans="1:33" hidden="1" x14ac:dyDescent="0.3">
      <c r="A27" s="77" t="s">
        <v>168</v>
      </c>
      <c r="B27" s="77" t="s">
        <v>169</v>
      </c>
      <c r="G27" s="77" t="s">
        <v>109</v>
      </c>
      <c r="H27" s="77" t="s">
        <v>77</v>
      </c>
      <c r="I27" s="77" t="s">
        <v>78</v>
      </c>
      <c r="J27" s="77" t="s">
        <v>79</v>
      </c>
      <c r="K27" s="77" t="s">
        <v>80</v>
      </c>
      <c r="L27" s="77" t="s">
        <v>165</v>
      </c>
      <c r="M27" s="77" t="s">
        <v>82</v>
      </c>
      <c r="N27" s="77" t="s">
        <v>83</v>
      </c>
      <c r="Q27" s="77" t="s">
        <v>111</v>
      </c>
      <c r="T27" s="77" t="s">
        <v>112</v>
      </c>
      <c r="U27" s="77" t="s">
        <v>85</v>
      </c>
      <c r="V27" s="77" t="s">
        <v>95</v>
      </c>
      <c r="W27" s="79">
        <v>46071.550859803239</v>
      </c>
      <c r="X27" s="77" t="s">
        <v>96</v>
      </c>
      <c r="Y27" s="78" t="s">
        <v>88</v>
      </c>
      <c r="AA27" s="77" t="s">
        <v>113</v>
      </c>
      <c r="AB27" s="77" t="s">
        <v>78</v>
      </c>
      <c r="AC27" s="77" t="s">
        <v>114</v>
      </c>
      <c r="AD27" s="77" t="s">
        <v>91</v>
      </c>
      <c r="AE27" s="77" t="s">
        <v>115</v>
      </c>
      <c r="AF27" s="77" t="s">
        <v>116</v>
      </c>
      <c r="AG27" s="77" t="s">
        <v>112</v>
      </c>
    </row>
    <row r="28" spans="1:33" hidden="1" x14ac:dyDescent="0.3">
      <c r="A28" s="77" t="s">
        <v>170</v>
      </c>
      <c r="B28" s="77" t="s">
        <v>171</v>
      </c>
      <c r="G28" s="77" t="s">
        <v>109</v>
      </c>
      <c r="H28" s="77" t="s">
        <v>77</v>
      </c>
      <c r="I28" s="77" t="s">
        <v>78</v>
      </c>
      <c r="J28" s="77" t="s">
        <v>79</v>
      </c>
      <c r="K28" s="77" t="s">
        <v>80</v>
      </c>
      <c r="L28" s="77" t="s">
        <v>172</v>
      </c>
      <c r="M28" s="77" t="s">
        <v>82</v>
      </c>
      <c r="N28" s="77" t="s">
        <v>83</v>
      </c>
      <c r="Q28" s="77" t="s">
        <v>111</v>
      </c>
      <c r="T28" s="77" t="s">
        <v>112</v>
      </c>
      <c r="U28" s="77" t="s">
        <v>85</v>
      </c>
      <c r="V28" s="77" t="s">
        <v>99</v>
      </c>
      <c r="W28" s="79">
        <v>46072.526745173614</v>
      </c>
      <c r="X28" s="77" t="s">
        <v>100</v>
      </c>
      <c r="Y28" s="78" t="s">
        <v>101</v>
      </c>
      <c r="AA28" s="77" t="s">
        <v>113</v>
      </c>
      <c r="AB28" s="77" t="s">
        <v>78</v>
      </c>
      <c r="AC28" s="77" t="s">
        <v>114</v>
      </c>
      <c r="AD28" s="77" t="s">
        <v>102</v>
      </c>
      <c r="AE28" s="77" t="s">
        <v>115</v>
      </c>
      <c r="AF28" s="77" t="s">
        <v>116</v>
      </c>
      <c r="AG28" s="77" t="s">
        <v>112</v>
      </c>
    </row>
    <row r="29" spans="1:33" hidden="1" x14ac:dyDescent="0.3">
      <c r="A29" s="77" t="s">
        <v>173</v>
      </c>
      <c r="B29" s="77" t="s">
        <v>174</v>
      </c>
      <c r="G29" s="77" t="s">
        <v>109</v>
      </c>
      <c r="H29" s="77" t="s">
        <v>77</v>
      </c>
      <c r="I29" s="77" t="s">
        <v>78</v>
      </c>
      <c r="J29" s="77" t="s">
        <v>79</v>
      </c>
      <c r="K29" s="77" t="s">
        <v>80</v>
      </c>
      <c r="L29" s="77" t="s">
        <v>172</v>
      </c>
      <c r="M29" s="77" t="s">
        <v>82</v>
      </c>
      <c r="N29" s="77" t="s">
        <v>83</v>
      </c>
      <c r="Q29" s="77" t="s">
        <v>111</v>
      </c>
      <c r="T29" s="77" t="s">
        <v>112</v>
      </c>
      <c r="U29" s="77" t="s">
        <v>85</v>
      </c>
      <c r="V29" s="77" t="s">
        <v>99</v>
      </c>
      <c r="W29" s="79">
        <v>46072.527712268522</v>
      </c>
      <c r="X29" s="77" t="s">
        <v>100</v>
      </c>
      <c r="Y29" s="78" t="s">
        <v>101</v>
      </c>
      <c r="AA29" s="77" t="s">
        <v>113</v>
      </c>
      <c r="AB29" s="77" t="s">
        <v>78</v>
      </c>
      <c r="AC29" s="77" t="s">
        <v>114</v>
      </c>
      <c r="AD29" s="77" t="s">
        <v>102</v>
      </c>
      <c r="AE29" s="77" t="s">
        <v>115</v>
      </c>
      <c r="AF29" s="77" t="s">
        <v>116</v>
      </c>
      <c r="AG29" s="77" t="s">
        <v>112</v>
      </c>
    </row>
    <row r="30" spans="1:33" hidden="1" x14ac:dyDescent="0.3">
      <c r="A30" s="77" t="s">
        <v>175</v>
      </c>
      <c r="B30" s="77" t="s">
        <v>176</v>
      </c>
      <c r="G30" s="77" t="s">
        <v>109</v>
      </c>
      <c r="H30" s="77" t="s">
        <v>77</v>
      </c>
      <c r="I30" s="77" t="s">
        <v>78</v>
      </c>
      <c r="J30" s="77" t="s">
        <v>79</v>
      </c>
      <c r="K30" s="77" t="s">
        <v>80</v>
      </c>
      <c r="L30" s="77" t="s">
        <v>172</v>
      </c>
      <c r="M30" s="77" t="s">
        <v>82</v>
      </c>
      <c r="N30" s="77" t="s">
        <v>83</v>
      </c>
      <c r="Q30" s="77" t="s">
        <v>111</v>
      </c>
      <c r="T30" s="77" t="s">
        <v>112</v>
      </c>
      <c r="U30" s="77" t="s">
        <v>85</v>
      </c>
      <c r="V30" s="77" t="s">
        <v>99</v>
      </c>
      <c r="W30" s="79">
        <v>46072.531134687502</v>
      </c>
      <c r="X30" s="77" t="s">
        <v>100</v>
      </c>
      <c r="Y30" s="78" t="s">
        <v>101</v>
      </c>
      <c r="AA30" s="77" t="s">
        <v>113</v>
      </c>
      <c r="AB30" s="77" t="s">
        <v>78</v>
      </c>
      <c r="AC30" s="77" t="s">
        <v>114</v>
      </c>
      <c r="AD30" s="77" t="s">
        <v>102</v>
      </c>
      <c r="AE30" s="77" t="s">
        <v>115</v>
      </c>
      <c r="AF30" s="77" t="s">
        <v>116</v>
      </c>
      <c r="AG30" s="77" t="s">
        <v>112</v>
      </c>
    </row>
    <row r="31" spans="1:33" hidden="1" x14ac:dyDescent="0.3">
      <c r="A31" s="77" t="s">
        <v>177</v>
      </c>
      <c r="B31" s="77" t="s">
        <v>178</v>
      </c>
      <c r="G31" s="77" t="s">
        <v>109</v>
      </c>
      <c r="H31" s="77" t="s">
        <v>77</v>
      </c>
      <c r="I31" s="77" t="s">
        <v>78</v>
      </c>
      <c r="J31" s="77" t="s">
        <v>79</v>
      </c>
      <c r="K31" s="77" t="s">
        <v>80</v>
      </c>
      <c r="L31" s="77" t="s">
        <v>179</v>
      </c>
      <c r="M31" s="77" t="s">
        <v>82</v>
      </c>
      <c r="N31" s="77" t="s">
        <v>83</v>
      </c>
      <c r="Q31" s="77" t="s">
        <v>111</v>
      </c>
      <c r="T31" s="77" t="s">
        <v>112</v>
      </c>
      <c r="U31" s="77" t="s">
        <v>85</v>
      </c>
      <c r="V31" s="77" t="s">
        <v>105</v>
      </c>
      <c r="W31" s="79">
        <v>46072.532131215281</v>
      </c>
      <c r="X31" s="77" t="s">
        <v>106</v>
      </c>
      <c r="Y31" s="78" t="s">
        <v>101</v>
      </c>
      <c r="AA31" s="77" t="s">
        <v>113</v>
      </c>
      <c r="AB31" s="77" t="s">
        <v>78</v>
      </c>
      <c r="AC31" s="77" t="s">
        <v>114</v>
      </c>
      <c r="AD31" s="77" t="s">
        <v>102</v>
      </c>
      <c r="AE31" s="77" t="s">
        <v>115</v>
      </c>
      <c r="AF31" s="77" t="s">
        <v>116</v>
      </c>
      <c r="AG31" s="77" t="s">
        <v>112</v>
      </c>
    </row>
    <row r="32" spans="1:33" hidden="1" x14ac:dyDescent="0.3">
      <c r="A32" s="77" t="s">
        <v>180</v>
      </c>
      <c r="B32" s="77" t="s">
        <v>181</v>
      </c>
      <c r="G32" s="77" t="s">
        <v>109</v>
      </c>
      <c r="H32" s="77" t="s">
        <v>77</v>
      </c>
      <c r="I32" s="77" t="s">
        <v>78</v>
      </c>
      <c r="J32" s="77" t="s">
        <v>79</v>
      </c>
      <c r="K32" s="77" t="s">
        <v>80</v>
      </c>
      <c r="L32" s="77" t="s">
        <v>179</v>
      </c>
      <c r="M32" s="77" t="s">
        <v>82</v>
      </c>
      <c r="N32" s="77" t="s">
        <v>83</v>
      </c>
      <c r="Q32" s="77" t="s">
        <v>111</v>
      </c>
      <c r="T32" s="77" t="s">
        <v>112</v>
      </c>
      <c r="U32" s="77" t="s">
        <v>85</v>
      </c>
      <c r="V32" s="77" t="s">
        <v>105</v>
      </c>
      <c r="W32" s="79">
        <v>46072.533378738422</v>
      </c>
      <c r="X32" s="77" t="s">
        <v>106</v>
      </c>
      <c r="Y32" s="78" t="s">
        <v>101</v>
      </c>
      <c r="AA32" s="77" t="s">
        <v>113</v>
      </c>
      <c r="AB32" s="77" t="s">
        <v>78</v>
      </c>
      <c r="AC32" s="77" t="s">
        <v>114</v>
      </c>
      <c r="AD32" s="77" t="s">
        <v>102</v>
      </c>
      <c r="AE32" s="77" t="s">
        <v>115</v>
      </c>
      <c r="AF32" s="77" t="s">
        <v>116</v>
      </c>
      <c r="AG32" s="77" t="s">
        <v>112</v>
      </c>
    </row>
    <row r="33" spans="1:33" hidden="1" x14ac:dyDescent="0.3">
      <c r="A33" s="77" t="s">
        <v>182</v>
      </c>
      <c r="B33" s="77" t="s">
        <v>183</v>
      </c>
      <c r="G33" s="77" t="s">
        <v>109</v>
      </c>
      <c r="H33" s="77" t="s">
        <v>77</v>
      </c>
      <c r="I33" s="77" t="s">
        <v>78</v>
      </c>
      <c r="J33" s="77" t="s">
        <v>79</v>
      </c>
      <c r="K33" s="77" t="s">
        <v>80</v>
      </c>
      <c r="L33" s="77" t="s">
        <v>179</v>
      </c>
      <c r="M33" s="77" t="s">
        <v>82</v>
      </c>
      <c r="N33" s="77" t="s">
        <v>83</v>
      </c>
      <c r="Q33" s="77" t="s">
        <v>111</v>
      </c>
      <c r="T33" s="77" t="s">
        <v>112</v>
      </c>
      <c r="U33" s="77" t="s">
        <v>85</v>
      </c>
      <c r="V33" s="77" t="s">
        <v>105</v>
      </c>
      <c r="W33" s="79">
        <v>46072.534848807867</v>
      </c>
      <c r="X33" s="77" t="s">
        <v>106</v>
      </c>
      <c r="Y33" s="78" t="s">
        <v>101</v>
      </c>
      <c r="AA33" s="77" t="s">
        <v>113</v>
      </c>
      <c r="AB33" s="77" t="s">
        <v>78</v>
      </c>
      <c r="AC33" s="77" t="s">
        <v>114</v>
      </c>
      <c r="AD33" s="77" t="s">
        <v>102</v>
      </c>
      <c r="AE33" s="77" t="s">
        <v>115</v>
      </c>
      <c r="AF33" s="77" t="s">
        <v>116</v>
      </c>
      <c r="AG33" s="77" t="s">
        <v>112</v>
      </c>
    </row>
    <row r="34" spans="1:33" x14ac:dyDescent="0.3">
      <c r="A34" s="77" t="s">
        <v>184</v>
      </c>
      <c r="B34" s="77" t="s">
        <v>185</v>
      </c>
      <c r="G34" s="77" t="s">
        <v>186</v>
      </c>
      <c r="H34" s="77" t="s">
        <v>77</v>
      </c>
      <c r="I34" s="77" t="s">
        <v>78</v>
      </c>
      <c r="J34" s="77" t="s">
        <v>79</v>
      </c>
      <c r="K34" s="77" t="s">
        <v>80</v>
      </c>
      <c r="L34" s="77" t="s">
        <v>187</v>
      </c>
      <c r="M34" s="77" t="s">
        <v>82</v>
      </c>
      <c r="N34" s="77" t="s">
        <v>83</v>
      </c>
      <c r="Q34" s="77" t="s">
        <v>188</v>
      </c>
      <c r="S34" s="77" t="s">
        <v>188</v>
      </c>
      <c r="U34" s="77" t="s">
        <v>85</v>
      </c>
      <c r="V34" s="80" t="s">
        <v>189</v>
      </c>
      <c r="X34" s="77" t="s">
        <v>190</v>
      </c>
      <c r="Y34" s="78" t="s">
        <v>88</v>
      </c>
      <c r="AA34" s="77" t="s">
        <v>191</v>
      </c>
      <c r="AB34" s="77" t="s">
        <v>78</v>
      </c>
      <c r="AC34" s="77" t="s">
        <v>90</v>
      </c>
      <c r="AD34" s="77" t="s">
        <v>91</v>
      </c>
      <c r="AE34" s="77" t="s">
        <v>192</v>
      </c>
    </row>
    <row r="35" spans="1:33" x14ac:dyDescent="0.3">
      <c r="A35" s="77" t="s">
        <v>193</v>
      </c>
      <c r="B35" s="77" t="s">
        <v>194</v>
      </c>
      <c r="G35" s="77" t="s">
        <v>186</v>
      </c>
      <c r="H35" s="77" t="s">
        <v>77</v>
      </c>
      <c r="I35" s="77" t="s">
        <v>78</v>
      </c>
      <c r="J35" s="77" t="s">
        <v>79</v>
      </c>
      <c r="K35" s="77" t="s">
        <v>80</v>
      </c>
      <c r="L35" s="77" t="s">
        <v>195</v>
      </c>
      <c r="M35" s="77" t="s">
        <v>82</v>
      </c>
      <c r="N35" s="77" t="s">
        <v>83</v>
      </c>
      <c r="Q35" s="77" t="s">
        <v>188</v>
      </c>
      <c r="S35" s="77" t="s">
        <v>188</v>
      </c>
      <c r="U35" s="77" t="s">
        <v>85</v>
      </c>
      <c r="V35" s="80" t="s">
        <v>196</v>
      </c>
      <c r="X35" s="77" t="s">
        <v>197</v>
      </c>
      <c r="Y35" s="78" t="s">
        <v>88</v>
      </c>
      <c r="AA35" s="77" t="s">
        <v>191</v>
      </c>
      <c r="AB35" s="77" t="s">
        <v>78</v>
      </c>
      <c r="AC35" s="77" t="s">
        <v>90</v>
      </c>
      <c r="AD35" s="77" t="s">
        <v>91</v>
      </c>
      <c r="AE35" s="77" t="s">
        <v>192</v>
      </c>
    </row>
    <row r="36" spans="1:33" x14ac:dyDescent="0.3">
      <c r="A36" s="77" t="s">
        <v>198</v>
      </c>
      <c r="B36" s="77" t="s">
        <v>199</v>
      </c>
      <c r="G36" s="77" t="s">
        <v>186</v>
      </c>
      <c r="H36" s="77" t="s">
        <v>77</v>
      </c>
      <c r="I36" s="77" t="s">
        <v>78</v>
      </c>
      <c r="J36" s="77" t="s">
        <v>79</v>
      </c>
      <c r="K36" s="77" t="s">
        <v>80</v>
      </c>
      <c r="L36" s="77" t="s">
        <v>200</v>
      </c>
      <c r="M36" s="77" t="s">
        <v>82</v>
      </c>
      <c r="N36" s="77" t="s">
        <v>83</v>
      </c>
      <c r="Q36" s="77" t="s">
        <v>188</v>
      </c>
      <c r="S36" s="77" t="s">
        <v>188</v>
      </c>
      <c r="U36" s="77" t="s">
        <v>85</v>
      </c>
      <c r="V36" s="80" t="s">
        <v>201</v>
      </c>
      <c r="X36" s="77" t="s">
        <v>202</v>
      </c>
      <c r="Y36" s="78" t="s">
        <v>101</v>
      </c>
      <c r="AA36" s="77" t="s">
        <v>191</v>
      </c>
      <c r="AB36" s="77" t="s">
        <v>78</v>
      </c>
      <c r="AC36" s="77" t="s">
        <v>90</v>
      </c>
      <c r="AD36" s="77" t="s">
        <v>102</v>
      </c>
      <c r="AE36" s="77" t="s">
        <v>192</v>
      </c>
    </row>
    <row r="37" spans="1:33" x14ac:dyDescent="0.3">
      <c r="A37" s="77" t="s">
        <v>203</v>
      </c>
      <c r="B37" s="77" t="s">
        <v>204</v>
      </c>
      <c r="G37" s="77" t="s">
        <v>186</v>
      </c>
      <c r="H37" s="77" t="s">
        <v>77</v>
      </c>
      <c r="I37" s="77" t="s">
        <v>78</v>
      </c>
      <c r="J37" s="77" t="s">
        <v>79</v>
      </c>
      <c r="K37" s="77" t="s">
        <v>80</v>
      </c>
      <c r="L37" s="77" t="s">
        <v>205</v>
      </c>
      <c r="M37" s="77" t="s">
        <v>82</v>
      </c>
      <c r="N37" s="77" t="s">
        <v>83</v>
      </c>
      <c r="Q37" s="77" t="s">
        <v>188</v>
      </c>
      <c r="S37" s="77" t="s">
        <v>188</v>
      </c>
      <c r="U37" s="77" t="s">
        <v>85</v>
      </c>
      <c r="V37" s="80" t="s">
        <v>206</v>
      </c>
      <c r="X37" s="77" t="s">
        <v>207</v>
      </c>
      <c r="Y37" s="78" t="s">
        <v>101</v>
      </c>
      <c r="AA37" s="77" t="s">
        <v>191</v>
      </c>
      <c r="AB37" s="77" t="s">
        <v>78</v>
      </c>
      <c r="AC37" s="77" t="s">
        <v>90</v>
      </c>
      <c r="AD37" s="77" t="s">
        <v>102</v>
      </c>
      <c r="AE37" s="77" t="s">
        <v>192</v>
      </c>
    </row>
    <row r="38" spans="1:33" x14ac:dyDescent="0.3">
      <c r="A38" s="77" t="s">
        <v>208</v>
      </c>
      <c r="B38" s="77" t="s">
        <v>209</v>
      </c>
      <c r="G38" s="77" t="s">
        <v>186</v>
      </c>
      <c r="H38" s="77" t="s">
        <v>77</v>
      </c>
      <c r="I38" s="77" t="s">
        <v>78</v>
      </c>
      <c r="J38" s="77" t="s">
        <v>79</v>
      </c>
      <c r="K38" s="77" t="s">
        <v>80</v>
      </c>
      <c r="L38" s="77" t="s">
        <v>210</v>
      </c>
      <c r="M38" s="77" t="s">
        <v>82</v>
      </c>
      <c r="N38" s="77" t="s">
        <v>83</v>
      </c>
      <c r="Q38" s="77" t="s">
        <v>188</v>
      </c>
      <c r="S38" s="77" t="s">
        <v>188</v>
      </c>
      <c r="U38" s="77" t="s">
        <v>85</v>
      </c>
      <c r="V38" s="80" t="s">
        <v>211</v>
      </c>
      <c r="X38" s="77" t="s">
        <v>212</v>
      </c>
      <c r="Y38" s="78" t="s">
        <v>88</v>
      </c>
      <c r="AA38" s="77" t="s">
        <v>191</v>
      </c>
      <c r="AB38" s="77" t="s">
        <v>78</v>
      </c>
      <c r="AC38" s="77" t="s">
        <v>90</v>
      </c>
      <c r="AD38" s="77" t="s">
        <v>91</v>
      </c>
      <c r="AE38" s="77" t="s">
        <v>192</v>
      </c>
    </row>
    <row r="39" spans="1:33" x14ac:dyDescent="0.3">
      <c r="A39" s="77" t="s">
        <v>213</v>
      </c>
      <c r="B39" s="77" t="s">
        <v>214</v>
      </c>
      <c r="G39" s="77" t="s">
        <v>186</v>
      </c>
      <c r="H39" s="77" t="s">
        <v>77</v>
      </c>
      <c r="I39" s="77" t="s">
        <v>78</v>
      </c>
      <c r="J39" s="77" t="s">
        <v>79</v>
      </c>
      <c r="K39" s="77" t="s">
        <v>80</v>
      </c>
      <c r="L39" s="77" t="s">
        <v>215</v>
      </c>
      <c r="M39" s="77" t="s">
        <v>82</v>
      </c>
      <c r="N39" s="77" t="s">
        <v>83</v>
      </c>
      <c r="Q39" s="77" t="s">
        <v>188</v>
      </c>
      <c r="S39" s="77" t="s">
        <v>188</v>
      </c>
      <c r="U39" s="77" t="s">
        <v>85</v>
      </c>
      <c r="V39" s="80" t="s">
        <v>216</v>
      </c>
      <c r="X39" s="77" t="s">
        <v>217</v>
      </c>
      <c r="Y39" s="78" t="s">
        <v>88</v>
      </c>
      <c r="AA39" s="77" t="s">
        <v>191</v>
      </c>
      <c r="AB39" s="77" t="s">
        <v>78</v>
      </c>
      <c r="AC39" s="77" t="s">
        <v>90</v>
      </c>
      <c r="AD39" s="77" t="s">
        <v>91</v>
      </c>
      <c r="AE39" s="77" t="s">
        <v>192</v>
      </c>
    </row>
    <row r="40" spans="1:33" x14ac:dyDescent="0.3">
      <c r="A40" s="77" t="s">
        <v>218</v>
      </c>
      <c r="B40" s="77" t="s">
        <v>219</v>
      </c>
      <c r="G40" s="77" t="s">
        <v>186</v>
      </c>
      <c r="H40" s="77" t="s">
        <v>77</v>
      </c>
      <c r="I40" s="77" t="s">
        <v>78</v>
      </c>
      <c r="J40" s="77" t="s">
        <v>79</v>
      </c>
      <c r="K40" s="77" t="s">
        <v>80</v>
      </c>
      <c r="L40" s="77" t="s">
        <v>220</v>
      </c>
      <c r="M40" s="77" t="s">
        <v>82</v>
      </c>
      <c r="N40" s="77" t="s">
        <v>83</v>
      </c>
      <c r="Q40" s="77" t="s">
        <v>188</v>
      </c>
      <c r="S40" s="77" t="s">
        <v>188</v>
      </c>
      <c r="U40" s="77" t="s">
        <v>85</v>
      </c>
      <c r="V40" s="80" t="s">
        <v>221</v>
      </c>
      <c r="X40" s="77" t="s">
        <v>222</v>
      </c>
      <c r="Y40" s="78" t="s">
        <v>101</v>
      </c>
      <c r="AA40" s="77" t="s">
        <v>191</v>
      </c>
      <c r="AB40" s="77" t="s">
        <v>78</v>
      </c>
      <c r="AC40" s="77" t="s">
        <v>90</v>
      </c>
      <c r="AD40" s="77" t="s">
        <v>102</v>
      </c>
      <c r="AE40" s="77" t="s">
        <v>192</v>
      </c>
    </row>
    <row r="41" spans="1:33" x14ac:dyDescent="0.3">
      <c r="A41" s="77" t="s">
        <v>223</v>
      </c>
      <c r="B41" s="77" t="s">
        <v>224</v>
      </c>
      <c r="G41" s="77" t="s">
        <v>186</v>
      </c>
      <c r="H41" s="77" t="s">
        <v>77</v>
      </c>
      <c r="I41" s="77" t="s">
        <v>78</v>
      </c>
      <c r="J41" s="77" t="s">
        <v>79</v>
      </c>
      <c r="K41" s="77" t="s">
        <v>80</v>
      </c>
      <c r="L41" s="77" t="s">
        <v>225</v>
      </c>
      <c r="M41" s="77" t="s">
        <v>82</v>
      </c>
      <c r="N41" s="77" t="s">
        <v>83</v>
      </c>
      <c r="Q41" s="77" t="s">
        <v>188</v>
      </c>
      <c r="S41" s="77" t="s">
        <v>188</v>
      </c>
      <c r="U41" s="77" t="s">
        <v>85</v>
      </c>
      <c r="V41" s="80" t="s">
        <v>226</v>
      </c>
      <c r="X41" s="77" t="s">
        <v>227</v>
      </c>
      <c r="Y41" s="78" t="s">
        <v>101</v>
      </c>
      <c r="AA41" s="77" t="s">
        <v>191</v>
      </c>
      <c r="AB41" s="77" t="s">
        <v>78</v>
      </c>
      <c r="AC41" s="77" t="s">
        <v>90</v>
      </c>
      <c r="AD41" s="77" t="s">
        <v>102</v>
      </c>
      <c r="AE41" s="77" t="s">
        <v>192</v>
      </c>
    </row>
    <row r="42" spans="1:33" x14ac:dyDescent="0.3">
      <c r="A42" s="77" t="s">
        <v>228</v>
      </c>
      <c r="B42" s="77" t="s">
        <v>229</v>
      </c>
      <c r="G42" s="77" t="s">
        <v>186</v>
      </c>
      <c r="H42" s="77" t="s">
        <v>77</v>
      </c>
      <c r="I42" s="77" t="s">
        <v>78</v>
      </c>
      <c r="J42" s="77" t="s">
        <v>79</v>
      </c>
      <c r="K42" s="77" t="s">
        <v>80</v>
      </c>
      <c r="L42" s="77" t="s">
        <v>230</v>
      </c>
      <c r="M42" s="77" t="s">
        <v>82</v>
      </c>
      <c r="N42" s="77" t="s">
        <v>83</v>
      </c>
      <c r="Q42" s="77" t="s">
        <v>188</v>
      </c>
      <c r="S42" s="77" t="s">
        <v>188</v>
      </c>
      <c r="U42" s="77" t="s">
        <v>85</v>
      </c>
      <c r="V42" s="80" t="s">
        <v>231</v>
      </c>
      <c r="X42" s="77" t="s">
        <v>232</v>
      </c>
      <c r="Y42" s="78" t="s">
        <v>88</v>
      </c>
      <c r="AA42" s="77" t="s">
        <v>191</v>
      </c>
      <c r="AB42" s="77" t="s">
        <v>78</v>
      </c>
      <c r="AC42" s="77" t="s">
        <v>90</v>
      </c>
      <c r="AD42" s="77" t="s">
        <v>91</v>
      </c>
      <c r="AE42" s="77" t="s">
        <v>192</v>
      </c>
    </row>
    <row r="43" spans="1:33" x14ac:dyDescent="0.3">
      <c r="A43" s="77" t="s">
        <v>233</v>
      </c>
      <c r="B43" s="77" t="s">
        <v>234</v>
      </c>
      <c r="G43" s="77" t="s">
        <v>186</v>
      </c>
      <c r="H43" s="77" t="s">
        <v>77</v>
      </c>
      <c r="I43" s="77" t="s">
        <v>78</v>
      </c>
      <c r="J43" s="77" t="s">
        <v>79</v>
      </c>
      <c r="K43" s="77" t="s">
        <v>80</v>
      </c>
      <c r="L43" s="77" t="s">
        <v>230</v>
      </c>
      <c r="M43" s="77" t="s">
        <v>82</v>
      </c>
      <c r="N43" s="77" t="s">
        <v>83</v>
      </c>
      <c r="Q43" s="77" t="s">
        <v>188</v>
      </c>
      <c r="S43" s="77" t="s">
        <v>188</v>
      </c>
      <c r="U43" s="77" t="s">
        <v>85</v>
      </c>
      <c r="V43" s="80" t="s">
        <v>231</v>
      </c>
      <c r="X43" s="77" t="s">
        <v>232</v>
      </c>
      <c r="Y43" s="78" t="s">
        <v>88</v>
      </c>
      <c r="AA43" s="77" t="s">
        <v>191</v>
      </c>
      <c r="AB43" s="77" t="s">
        <v>78</v>
      </c>
      <c r="AC43" s="77" t="s">
        <v>90</v>
      </c>
      <c r="AD43" s="77" t="s">
        <v>91</v>
      </c>
      <c r="AE43" s="77" t="s">
        <v>192</v>
      </c>
    </row>
    <row r="44" spans="1:33" x14ac:dyDescent="0.3">
      <c r="A44" s="77" t="s">
        <v>235</v>
      </c>
      <c r="B44" s="77" t="s">
        <v>236</v>
      </c>
      <c r="G44" s="77" t="s">
        <v>186</v>
      </c>
      <c r="H44" s="77" t="s">
        <v>77</v>
      </c>
      <c r="I44" s="77" t="s">
        <v>78</v>
      </c>
      <c r="J44" s="77" t="s">
        <v>79</v>
      </c>
      <c r="K44" s="77" t="s">
        <v>80</v>
      </c>
      <c r="L44" s="77" t="s">
        <v>237</v>
      </c>
      <c r="M44" s="77" t="s">
        <v>82</v>
      </c>
      <c r="N44" s="77" t="s">
        <v>83</v>
      </c>
      <c r="Q44" s="77" t="s">
        <v>188</v>
      </c>
      <c r="S44" s="77" t="s">
        <v>188</v>
      </c>
      <c r="U44" s="77" t="s">
        <v>85</v>
      </c>
      <c r="V44" s="80" t="s">
        <v>238</v>
      </c>
      <c r="X44" s="77" t="s">
        <v>239</v>
      </c>
      <c r="Y44" s="78" t="s">
        <v>88</v>
      </c>
      <c r="AA44" s="77" t="s">
        <v>191</v>
      </c>
      <c r="AB44" s="77" t="s">
        <v>78</v>
      </c>
      <c r="AC44" s="77" t="s">
        <v>90</v>
      </c>
      <c r="AD44" s="77" t="s">
        <v>91</v>
      </c>
      <c r="AE44" s="77" t="s">
        <v>192</v>
      </c>
    </row>
    <row r="45" spans="1:33" x14ac:dyDescent="0.3">
      <c r="A45" s="77" t="s">
        <v>240</v>
      </c>
      <c r="B45" s="77" t="s">
        <v>241</v>
      </c>
      <c r="G45" s="77" t="s">
        <v>186</v>
      </c>
      <c r="H45" s="77" t="s">
        <v>77</v>
      </c>
      <c r="I45" s="77" t="s">
        <v>78</v>
      </c>
      <c r="J45" s="77" t="s">
        <v>79</v>
      </c>
      <c r="K45" s="77" t="s">
        <v>80</v>
      </c>
      <c r="L45" s="77" t="s">
        <v>237</v>
      </c>
      <c r="M45" s="77" t="s">
        <v>82</v>
      </c>
      <c r="N45" s="77" t="s">
        <v>83</v>
      </c>
      <c r="Q45" s="77" t="s">
        <v>188</v>
      </c>
      <c r="S45" s="77" t="s">
        <v>188</v>
      </c>
      <c r="U45" s="77" t="s">
        <v>85</v>
      </c>
      <c r="V45" s="80" t="s">
        <v>238</v>
      </c>
      <c r="X45" s="77" t="s">
        <v>239</v>
      </c>
      <c r="Y45" s="78" t="s">
        <v>88</v>
      </c>
      <c r="AA45" s="77" t="s">
        <v>191</v>
      </c>
      <c r="AB45" s="77" t="s">
        <v>78</v>
      </c>
      <c r="AC45" s="77" t="s">
        <v>90</v>
      </c>
      <c r="AD45" s="77" t="s">
        <v>91</v>
      </c>
      <c r="AE45" s="77" t="s">
        <v>192</v>
      </c>
    </row>
    <row r="46" spans="1:33" x14ac:dyDescent="0.3">
      <c r="A46" s="77" t="s">
        <v>242</v>
      </c>
      <c r="B46" s="77" t="s">
        <v>243</v>
      </c>
      <c r="G46" s="77" t="s">
        <v>186</v>
      </c>
      <c r="H46" s="77" t="s">
        <v>77</v>
      </c>
      <c r="I46" s="77" t="s">
        <v>78</v>
      </c>
      <c r="J46" s="77" t="s">
        <v>79</v>
      </c>
      <c r="K46" s="77" t="s">
        <v>80</v>
      </c>
      <c r="L46" s="77" t="s">
        <v>244</v>
      </c>
      <c r="M46" s="77" t="s">
        <v>82</v>
      </c>
      <c r="N46" s="77" t="s">
        <v>83</v>
      </c>
      <c r="Q46" s="77" t="s">
        <v>188</v>
      </c>
      <c r="S46" s="77" t="s">
        <v>188</v>
      </c>
      <c r="U46" s="77" t="s">
        <v>85</v>
      </c>
      <c r="V46" s="80" t="s">
        <v>245</v>
      </c>
      <c r="X46" s="77" t="s">
        <v>246</v>
      </c>
      <c r="Y46" s="78" t="s">
        <v>88</v>
      </c>
      <c r="AA46" s="77" t="s">
        <v>191</v>
      </c>
      <c r="AB46" s="77" t="s">
        <v>78</v>
      </c>
      <c r="AC46" s="77" t="s">
        <v>90</v>
      </c>
      <c r="AD46" s="77" t="s">
        <v>91</v>
      </c>
      <c r="AE46" s="77" t="s">
        <v>192</v>
      </c>
    </row>
    <row r="47" spans="1:33" x14ac:dyDescent="0.3">
      <c r="A47" s="77" t="s">
        <v>247</v>
      </c>
      <c r="B47" s="77" t="s">
        <v>248</v>
      </c>
      <c r="G47" s="77" t="s">
        <v>186</v>
      </c>
      <c r="H47" s="77" t="s">
        <v>77</v>
      </c>
      <c r="I47" s="77" t="s">
        <v>78</v>
      </c>
      <c r="J47" s="77" t="s">
        <v>79</v>
      </c>
      <c r="K47" s="77" t="s">
        <v>80</v>
      </c>
      <c r="L47" s="77" t="s">
        <v>244</v>
      </c>
      <c r="M47" s="77" t="s">
        <v>82</v>
      </c>
      <c r="N47" s="77" t="s">
        <v>83</v>
      </c>
      <c r="Q47" s="77" t="s">
        <v>188</v>
      </c>
      <c r="S47" s="77" t="s">
        <v>188</v>
      </c>
      <c r="U47" s="77" t="s">
        <v>85</v>
      </c>
      <c r="V47" s="80" t="s">
        <v>245</v>
      </c>
      <c r="X47" s="77" t="s">
        <v>246</v>
      </c>
      <c r="Y47" s="78" t="s">
        <v>88</v>
      </c>
      <c r="AA47" s="77" t="s">
        <v>191</v>
      </c>
      <c r="AB47" s="77" t="s">
        <v>78</v>
      </c>
      <c r="AC47" s="77" t="s">
        <v>90</v>
      </c>
      <c r="AD47" s="77" t="s">
        <v>91</v>
      </c>
      <c r="AE47" s="77" t="s">
        <v>192</v>
      </c>
    </row>
    <row r="48" spans="1:33" x14ac:dyDescent="0.3">
      <c r="A48" s="77" t="s">
        <v>249</v>
      </c>
      <c r="B48" s="77" t="s">
        <v>250</v>
      </c>
      <c r="G48" s="77" t="s">
        <v>186</v>
      </c>
      <c r="H48" s="77" t="s">
        <v>77</v>
      </c>
      <c r="I48" s="77" t="s">
        <v>78</v>
      </c>
      <c r="J48" s="77" t="s">
        <v>79</v>
      </c>
      <c r="K48" s="77" t="s">
        <v>80</v>
      </c>
      <c r="L48" s="77" t="s">
        <v>251</v>
      </c>
      <c r="M48" s="77" t="s">
        <v>82</v>
      </c>
      <c r="N48" s="77" t="s">
        <v>83</v>
      </c>
      <c r="Q48" s="77" t="s">
        <v>188</v>
      </c>
      <c r="S48" s="77" t="s">
        <v>188</v>
      </c>
      <c r="U48" s="77" t="s">
        <v>85</v>
      </c>
      <c r="V48" s="80" t="s">
        <v>252</v>
      </c>
      <c r="X48" s="77" t="s">
        <v>253</v>
      </c>
      <c r="Y48" s="78" t="s">
        <v>101</v>
      </c>
      <c r="AA48" s="77" t="s">
        <v>191</v>
      </c>
      <c r="AB48" s="77" t="s">
        <v>78</v>
      </c>
      <c r="AC48" s="77" t="s">
        <v>90</v>
      </c>
      <c r="AD48" s="77" t="s">
        <v>102</v>
      </c>
      <c r="AE48" s="77" t="s">
        <v>192</v>
      </c>
    </row>
    <row r="49" spans="1:31" x14ac:dyDescent="0.3">
      <c r="A49" s="77" t="s">
        <v>254</v>
      </c>
      <c r="B49" s="77" t="s">
        <v>255</v>
      </c>
      <c r="G49" s="77" t="s">
        <v>186</v>
      </c>
      <c r="H49" s="77" t="s">
        <v>77</v>
      </c>
      <c r="I49" s="77" t="s">
        <v>78</v>
      </c>
      <c r="J49" s="77" t="s">
        <v>79</v>
      </c>
      <c r="K49" s="77" t="s">
        <v>80</v>
      </c>
      <c r="L49" s="77" t="s">
        <v>251</v>
      </c>
      <c r="M49" s="77" t="s">
        <v>82</v>
      </c>
      <c r="N49" s="77" t="s">
        <v>83</v>
      </c>
      <c r="Q49" s="77" t="s">
        <v>188</v>
      </c>
      <c r="S49" s="77" t="s">
        <v>188</v>
      </c>
      <c r="U49" s="77" t="s">
        <v>85</v>
      </c>
      <c r="V49" s="80" t="s">
        <v>252</v>
      </c>
      <c r="X49" s="77" t="s">
        <v>253</v>
      </c>
      <c r="Y49" s="78" t="s">
        <v>101</v>
      </c>
      <c r="AA49" s="77" t="s">
        <v>191</v>
      </c>
      <c r="AB49" s="77" t="s">
        <v>78</v>
      </c>
      <c r="AC49" s="77" t="s">
        <v>90</v>
      </c>
      <c r="AD49" s="77" t="s">
        <v>102</v>
      </c>
      <c r="AE49" s="77" t="s">
        <v>192</v>
      </c>
    </row>
    <row r="50" spans="1:31" x14ac:dyDescent="0.3">
      <c r="A50" s="77" t="s">
        <v>256</v>
      </c>
      <c r="B50" s="77" t="s">
        <v>257</v>
      </c>
      <c r="G50" s="77" t="s">
        <v>186</v>
      </c>
      <c r="H50" s="77" t="s">
        <v>77</v>
      </c>
      <c r="I50" s="77" t="s">
        <v>78</v>
      </c>
      <c r="J50" s="77" t="s">
        <v>79</v>
      </c>
      <c r="K50" s="77" t="s">
        <v>80</v>
      </c>
      <c r="L50" s="77" t="s">
        <v>258</v>
      </c>
      <c r="M50" s="77" t="s">
        <v>82</v>
      </c>
      <c r="N50" s="77" t="s">
        <v>83</v>
      </c>
      <c r="Q50" s="77" t="s">
        <v>188</v>
      </c>
      <c r="S50" s="77" t="s">
        <v>188</v>
      </c>
      <c r="U50" s="77" t="s">
        <v>85</v>
      </c>
      <c r="V50" s="80" t="s">
        <v>259</v>
      </c>
      <c r="X50" s="77" t="s">
        <v>260</v>
      </c>
      <c r="Y50" s="78" t="s">
        <v>101</v>
      </c>
      <c r="AA50" s="77" t="s">
        <v>191</v>
      </c>
      <c r="AB50" s="77" t="s">
        <v>78</v>
      </c>
      <c r="AC50" s="77" t="s">
        <v>90</v>
      </c>
      <c r="AD50" s="77" t="s">
        <v>102</v>
      </c>
      <c r="AE50" s="77" t="s">
        <v>192</v>
      </c>
    </row>
    <row r="51" spans="1:31" x14ac:dyDescent="0.3">
      <c r="A51" s="77" t="s">
        <v>261</v>
      </c>
      <c r="B51" s="77" t="s">
        <v>262</v>
      </c>
      <c r="G51" s="77" t="s">
        <v>186</v>
      </c>
      <c r="H51" s="77" t="s">
        <v>77</v>
      </c>
      <c r="I51" s="77" t="s">
        <v>78</v>
      </c>
      <c r="J51" s="77" t="s">
        <v>79</v>
      </c>
      <c r="K51" s="77" t="s">
        <v>80</v>
      </c>
      <c r="L51" s="77" t="s">
        <v>258</v>
      </c>
      <c r="M51" s="77" t="s">
        <v>82</v>
      </c>
      <c r="N51" s="77" t="s">
        <v>83</v>
      </c>
      <c r="Q51" s="77" t="s">
        <v>188</v>
      </c>
      <c r="S51" s="77" t="s">
        <v>188</v>
      </c>
      <c r="U51" s="77" t="s">
        <v>85</v>
      </c>
      <c r="V51" s="80" t="s">
        <v>259</v>
      </c>
      <c r="X51" s="77" t="s">
        <v>260</v>
      </c>
      <c r="Y51" s="78" t="s">
        <v>101</v>
      </c>
      <c r="AA51" s="77" t="s">
        <v>191</v>
      </c>
      <c r="AB51" s="77" t="s">
        <v>78</v>
      </c>
      <c r="AC51" s="77" t="s">
        <v>90</v>
      </c>
      <c r="AD51" s="77" t="s">
        <v>102</v>
      </c>
      <c r="AE51" s="77" t="s">
        <v>192</v>
      </c>
    </row>
    <row r="52" spans="1:31" x14ac:dyDescent="0.3">
      <c r="A52" s="77" t="s">
        <v>263</v>
      </c>
      <c r="B52" s="77" t="s">
        <v>264</v>
      </c>
      <c r="G52" s="77" t="s">
        <v>186</v>
      </c>
      <c r="H52" s="77" t="s">
        <v>77</v>
      </c>
      <c r="I52" s="77" t="s">
        <v>78</v>
      </c>
      <c r="J52" s="77" t="s">
        <v>79</v>
      </c>
      <c r="K52" s="77" t="s">
        <v>80</v>
      </c>
      <c r="L52" s="77" t="s">
        <v>265</v>
      </c>
      <c r="M52" s="77" t="s">
        <v>82</v>
      </c>
      <c r="N52" s="77" t="s">
        <v>83</v>
      </c>
      <c r="Q52" s="77" t="s">
        <v>188</v>
      </c>
      <c r="S52" s="77" t="s">
        <v>188</v>
      </c>
      <c r="U52" s="77" t="s">
        <v>85</v>
      </c>
      <c r="V52" s="80" t="s">
        <v>211</v>
      </c>
      <c r="X52" s="77" t="s">
        <v>212</v>
      </c>
      <c r="Y52" s="78" t="s">
        <v>88</v>
      </c>
      <c r="AA52" s="77" t="s">
        <v>191</v>
      </c>
      <c r="AB52" s="77" t="s">
        <v>78</v>
      </c>
      <c r="AC52" s="77" t="s">
        <v>90</v>
      </c>
      <c r="AD52" s="77" t="s">
        <v>91</v>
      </c>
      <c r="AE52" s="77" t="s">
        <v>192</v>
      </c>
    </row>
    <row r="53" spans="1:31" x14ac:dyDescent="0.3">
      <c r="A53" s="77" t="s">
        <v>266</v>
      </c>
      <c r="B53" s="77" t="s">
        <v>267</v>
      </c>
      <c r="G53" s="77" t="s">
        <v>186</v>
      </c>
      <c r="H53" s="77" t="s">
        <v>77</v>
      </c>
      <c r="I53" s="77" t="s">
        <v>78</v>
      </c>
      <c r="J53" s="77" t="s">
        <v>79</v>
      </c>
      <c r="K53" s="77" t="s">
        <v>80</v>
      </c>
      <c r="L53" s="77" t="s">
        <v>268</v>
      </c>
      <c r="M53" s="77" t="s">
        <v>82</v>
      </c>
      <c r="N53" s="77" t="s">
        <v>83</v>
      </c>
      <c r="Q53" s="77" t="s">
        <v>188</v>
      </c>
      <c r="S53" s="77" t="s">
        <v>188</v>
      </c>
      <c r="U53" s="77" t="s">
        <v>85</v>
      </c>
      <c r="V53" s="80" t="s">
        <v>221</v>
      </c>
      <c r="X53" s="77" t="s">
        <v>222</v>
      </c>
      <c r="Y53" s="78" t="s">
        <v>101</v>
      </c>
      <c r="AA53" s="77" t="s">
        <v>191</v>
      </c>
      <c r="AB53" s="77" t="s">
        <v>78</v>
      </c>
      <c r="AC53" s="77" t="s">
        <v>90</v>
      </c>
      <c r="AD53" s="77" t="s">
        <v>102</v>
      </c>
      <c r="AE53" s="77" t="s">
        <v>192</v>
      </c>
    </row>
    <row r="54" spans="1:31" x14ac:dyDescent="0.3">
      <c r="A54" s="77" t="s">
        <v>269</v>
      </c>
      <c r="B54" s="77" t="s">
        <v>270</v>
      </c>
      <c r="G54" s="77" t="s">
        <v>186</v>
      </c>
      <c r="H54" s="77" t="s">
        <v>77</v>
      </c>
      <c r="I54" s="77" t="s">
        <v>78</v>
      </c>
      <c r="J54" s="77" t="s">
        <v>79</v>
      </c>
      <c r="K54" s="77" t="s">
        <v>80</v>
      </c>
      <c r="L54" s="77" t="s">
        <v>271</v>
      </c>
      <c r="M54" s="77" t="s">
        <v>82</v>
      </c>
      <c r="N54" s="77" t="s">
        <v>83</v>
      </c>
      <c r="Q54" s="77" t="s">
        <v>188</v>
      </c>
      <c r="S54" s="77" t="s">
        <v>188</v>
      </c>
      <c r="U54" s="77" t="s">
        <v>85</v>
      </c>
      <c r="V54" s="80" t="s">
        <v>272</v>
      </c>
      <c r="X54" s="77" t="s">
        <v>273</v>
      </c>
      <c r="Y54" s="78" t="s">
        <v>101</v>
      </c>
      <c r="AA54" s="77" t="s">
        <v>191</v>
      </c>
      <c r="AB54" s="77" t="s">
        <v>78</v>
      </c>
      <c r="AC54" s="77" t="s">
        <v>90</v>
      </c>
      <c r="AD54" s="77" t="s">
        <v>274</v>
      </c>
      <c r="AE54" s="77" t="s">
        <v>192</v>
      </c>
    </row>
    <row r="55" spans="1:31" x14ac:dyDescent="0.3">
      <c r="A55" s="77" t="s">
        <v>275</v>
      </c>
      <c r="B55" s="77" t="s">
        <v>276</v>
      </c>
      <c r="G55" s="77" t="s">
        <v>186</v>
      </c>
      <c r="H55" s="77" t="s">
        <v>77</v>
      </c>
      <c r="I55" s="77" t="s">
        <v>78</v>
      </c>
      <c r="J55" s="77" t="s">
        <v>79</v>
      </c>
      <c r="K55" s="77" t="s">
        <v>80</v>
      </c>
      <c r="L55" s="77" t="s">
        <v>271</v>
      </c>
      <c r="M55" s="77" t="s">
        <v>82</v>
      </c>
      <c r="N55" s="77" t="s">
        <v>83</v>
      </c>
      <c r="Q55" s="77" t="s">
        <v>188</v>
      </c>
      <c r="S55" s="77" t="s">
        <v>188</v>
      </c>
      <c r="U55" s="77" t="s">
        <v>85</v>
      </c>
      <c r="V55" s="80" t="s">
        <v>272</v>
      </c>
      <c r="X55" s="77" t="s">
        <v>273</v>
      </c>
      <c r="Y55" s="78" t="s">
        <v>101</v>
      </c>
      <c r="AA55" s="77" t="s">
        <v>191</v>
      </c>
      <c r="AB55" s="77" t="s">
        <v>78</v>
      </c>
      <c r="AC55" s="77" t="s">
        <v>90</v>
      </c>
      <c r="AD55" s="77" t="s">
        <v>274</v>
      </c>
      <c r="AE55" s="77" t="s">
        <v>192</v>
      </c>
    </row>
    <row r="56" spans="1:31" x14ac:dyDescent="0.3">
      <c r="A56" s="77" t="s">
        <v>277</v>
      </c>
      <c r="B56" s="77" t="s">
        <v>278</v>
      </c>
      <c r="G56" s="77" t="s">
        <v>186</v>
      </c>
      <c r="H56" s="77" t="s">
        <v>77</v>
      </c>
      <c r="I56" s="77" t="s">
        <v>78</v>
      </c>
      <c r="J56" s="77" t="s">
        <v>79</v>
      </c>
      <c r="K56" s="77" t="s">
        <v>80</v>
      </c>
      <c r="L56" s="77" t="s">
        <v>271</v>
      </c>
      <c r="M56" s="77" t="s">
        <v>82</v>
      </c>
      <c r="N56" s="77" t="s">
        <v>83</v>
      </c>
      <c r="Q56" s="77" t="s">
        <v>188</v>
      </c>
      <c r="S56" s="77" t="s">
        <v>188</v>
      </c>
      <c r="U56" s="77" t="s">
        <v>85</v>
      </c>
      <c r="V56" s="80" t="s">
        <v>272</v>
      </c>
      <c r="X56" s="77" t="s">
        <v>273</v>
      </c>
      <c r="Y56" s="78" t="s">
        <v>101</v>
      </c>
      <c r="AA56" s="77" t="s">
        <v>191</v>
      </c>
      <c r="AB56" s="77" t="s">
        <v>78</v>
      </c>
      <c r="AC56" s="77" t="s">
        <v>90</v>
      </c>
      <c r="AD56" s="77" t="s">
        <v>274</v>
      </c>
      <c r="AE56" s="77" t="s">
        <v>192</v>
      </c>
    </row>
    <row r="57" spans="1:31" x14ac:dyDescent="0.3">
      <c r="A57" s="77" t="s">
        <v>279</v>
      </c>
      <c r="B57" s="77" t="s">
        <v>280</v>
      </c>
      <c r="G57" s="77" t="s">
        <v>186</v>
      </c>
      <c r="H57" s="77" t="s">
        <v>77</v>
      </c>
      <c r="I57" s="77" t="s">
        <v>78</v>
      </c>
      <c r="J57" s="77" t="s">
        <v>79</v>
      </c>
      <c r="K57" s="77" t="s">
        <v>80</v>
      </c>
      <c r="L57" s="77" t="s">
        <v>271</v>
      </c>
      <c r="M57" s="77" t="s">
        <v>82</v>
      </c>
      <c r="N57" s="77" t="s">
        <v>83</v>
      </c>
      <c r="Q57" s="77" t="s">
        <v>188</v>
      </c>
      <c r="S57" s="77" t="s">
        <v>188</v>
      </c>
      <c r="U57" s="77" t="s">
        <v>85</v>
      </c>
      <c r="V57" s="80" t="s">
        <v>272</v>
      </c>
      <c r="X57" s="77" t="s">
        <v>273</v>
      </c>
      <c r="Y57" s="78" t="s">
        <v>101</v>
      </c>
      <c r="AA57" s="77" t="s">
        <v>191</v>
      </c>
      <c r="AB57" s="77" t="s">
        <v>78</v>
      </c>
      <c r="AC57" s="77" t="s">
        <v>90</v>
      </c>
      <c r="AD57" s="77" t="s">
        <v>274</v>
      </c>
      <c r="AE57" s="77" t="s">
        <v>192</v>
      </c>
    </row>
    <row r="58" spans="1:31" x14ac:dyDescent="0.3">
      <c r="A58" s="77" t="s">
        <v>281</v>
      </c>
      <c r="B58" s="77" t="s">
        <v>282</v>
      </c>
      <c r="G58" s="77" t="s">
        <v>186</v>
      </c>
      <c r="H58" s="77" t="s">
        <v>77</v>
      </c>
      <c r="I58" s="77" t="s">
        <v>78</v>
      </c>
      <c r="J58" s="77" t="s">
        <v>79</v>
      </c>
      <c r="K58" s="77" t="s">
        <v>80</v>
      </c>
      <c r="L58" s="77" t="s">
        <v>271</v>
      </c>
      <c r="M58" s="77" t="s">
        <v>82</v>
      </c>
      <c r="N58" s="77" t="s">
        <v>83</v>
      </c>
      <c r="Q58" s="77" t="s">
        <v>188</v>
      </c>
      <c r="S58" s="77" t="s">
        <v>188</v>
      </c>
      <c r="U58" s="77" t="s">
        <v>85</v>
      </c>
      <c r="V58" s="80" t="s">
        <v>272</v>
      </c>
      <c r="X58" s="77" t="s">
        <v>273</v>
      </c>
      <c r="Y58" s="78" t="s">
        <v>101</v>
      </c>
      <c r="AA58" s="77" t="s">
        <v>191</v>
      </c>
      <c r="AB58" s="77" t="s">
        <v>78</v>
      </c>
      <c r="AC58" s="77" t="s">
        <v>90</v>
      </c>
      <c r="AD58" s="77" t="s">
        <v>274</v>
      </c>
      <c r="AE58" s="77" t="s">
        <v>192</v>
      </c>
    </row>
    <row r="59" spans="1:31" x14ac:dyDescent="0.3">
      <c r="A59" s="77" t="s">
        <v>283</v>
      </c>
      <c r="B59" s="77" t="s">
        <v>284</v>
      </c>
      <c r="G59" s="77" t="s">
        <v>186</v>
      </c>
      <c r="H59" s="77" t="s">
        <v>77</v>
      </c>
      <c r="I59" s="77" t="s">
        <v>78</v>
      </c>
      <c r="J59" s="77" t="s">
        <v>79</v>
      </c>
      <c r="K59" s="77" t="s">
        <v>80</v>
      </c>
      <c r="L59" s="77" t="s">
        <v>271</v>
      </c>
      <c r="M59" s="77" t="s">
        <v>82</v>
      </c>
      <c r="N59" s="77" t="s">
        <v>83</v>
      </c>
      <c r="Q59" s="77" t="s">
        <v>188</v>
      </c>
      <c r="S59" s="77" t="s">
        <v>188</v>
      </c>
      <c r="U59" s="77" t="s">
        <v>85</v>
      </c>
      <c r="V59" s="80" t="s">
        <v>272</v>
      </c>
      <c r="X59" s="77" t="s">
        <v>273</v>
      </c>
      <c r="Y59" s="78" t="s">
        <v>101</v>
      </c>
      <c r="AA59" s="77" t="s">
        <v>191</v>
      </c>
      <c r="AB59" s="77" t="s">
        <v>78</v>
      </c>
      <c r="AC59" s="77" t="s">
        <v>90</v>
      </c>
      <c r="AD59" s="77" t="s">
        <v>274</v>
      </c>
      <c r="AE59" s="77" t="s">
        <v>192</v>
      </c>
    </row>
    <row r="60" spans="1:31" x14ac:dyDescent="0.3">
      <c r="A60" s="77" t="s">
        <v>285</v>
      </c>
      <c r="B60" s="77" t="s">
        <v>286</v>
      </c>
      <c r="G60" s="77" t="s">
        <v>186</v>
      </c>
      <c r="H60" s="77" t="s">
        <v>77</v>
      </c>
      <c r="I60" s="77" t="s">
        <v>78</v>
      </c>
      <c r="J60" s="77" t="s">
        <v>79</v>
      </c>
      <c r="K60" s="77" t="s">
        <v>80</v>
      </c>
      <c r="L60" s="77" t="s">
        <v>271</v>
      </c>
      <c r="M60" s="77" t="s">
        <v>82</v>
      </c>
      <c r="N60" s="77" t="s">
        <v>83</v>
      </c>
      <c r="Q60" s="77" t="s">
        <v>188</v>
      </c>
      <c r="S60" s="77" t="s">
        <v>188</v>
      </c>
      <c r="U60" s="77" t="s">
        <v>85</v>
      </c>
      <c r="V60" s="80" t="s">
        <v>272</v>
      </c>
      <c r="X60" s="77" t="s">
        <v>273</v>
      </c>
      <c r="Y60" s="78" t="s">
        <v>101</v>
      </c>
      <c r="AA60" s="77" t="s">
        <v>191</v>
      </c>
      <c r="AB60" s="77" t="s">
        <v>78</v>
      </c>
      <c r="AC60" s="77" t="s">
        <v>90</v>
      </c>
      <c r="AD60" s="77" t="s">
        <v>274</v>
      </c>
      <c r="AE60" s="77" t="s">
        <v>192</v>
      </c>
    </row>
    <row r="61" spans="1:31" x14ac:dyDescent="0.3">
      <c r="A61" s="77" t="s">
        <v>287</v>
      </c>
      <c r="B61" s="77" t="s">
        <v>288</v>
      </c>
      <c r="G61" s="77" t="s">
        <v>186</v>
      </c>
      <c r="H61" s="77" t="s">
        <v>77</v>
      </c>
      <c r="I61" s="77" t="s">
        <v>78</v>
      </c>
      <c r="J61" s="77" t="s">
        <v>79</v>
      </c>
      <c r="K61" s="77" t="s">
        <v>80</v>
      </c>
      <c r="L61" s="77" t="s">
        <v>271</v>
      </c>
      <c r="M61" s="77" t="s">
        <v>82</v>
      </c>
      <c r="N61" s="77" t="s">
        <v>83</v>
      </c>
      <c r="Q61" s="77" t="s">
        <v>188</v>
      </c>
      <c r="S61" s="77" t="s">
        <v>188</v>
      </c>
      <c r="U61" s="77" t="s">
        <v>85</v>
      </c>
      <c r="V61" s="80" t="s">
        <v>272</v>
      </c>
      <c r="X61" s="77" t="s">
        <v>273</v>
      </c>
      <c r="Y61" s="78" t="s">
        <v>101</v>
      </c>
      <c r="AA61" s="77" t="s">
        <v>191</v>
      </c>
      <c r="AB61" s="77" t="s">
        <v>78</v>
      </c>
      <c r="AC61" s="77" t="s">
        <v>90</v>
      </c>
      <c r="AD61" s="77" t="s">
        <v>274</v>
      </c>
      <c r="AE61" s="77" t="s">
        <v>192</v>
      </c>
    </row>
    <row r="62" spans="1:31" x14ac:dyDescent="0.3">
      <c r="A62" s="77" t="s">
        <v>289</v>
      </c>
      <c r="B62" s="77" t="s">
        <v>290</v>
      </c>
      <c r="G62" s="77" t="s">
        <v>186</v>
      </c>
      <c r="H62" s="77" t="s">
        <v>77</v>
      </c>
      <c r="I62" s="77" t="s">
        <v>78</v>
      </c>
      <c r="J62" s="77" t="s">
        <v>79</v>
      </c>
      <c r="K62" s="77" t="s">
        <v>80</v>
      </c>
      <c r="L62" s="77" t="s">
        <v>271</v>
      </c>
      <c r="M62" s="77" t="s">
        <v>82</v>
      </c>
      <c r="N62" s="77" t="s">
        <v>83</v>
      </c>
      <c r="Q62" s="77" t="s">
        <v>188</v>
      </c>
      <c r="S62" s="77" t="s">
        <v>188</v>
      </c>
      <c r="U62" s="77" t="s">
        <v>85</v>
      </c>
      <c r="V62" s="80" t="s">
        <v>272</v>
      </c>
      <c r="X62" s="77" t="s">
        <v>273</v>
      </c>
      <c r="Y62" s="78" t="s">
        <v>101</v>
      </c>
      <c r="AA62" s="77" t="s">
        <v>191</v>
      </c>
      <c r="AB62" s="77" t="s">
        <v>78</v>
      </c>
      <c r="AC62" s="77" t="s">
        <v>90</v>
      </c>
      <c r="AD62" s="77" t="s">
        <v>274</v>
      </c>
      <c r="AE62" s="77" t="s">
        <v>192</v>
      </c>
    </row>
    <row r="63" spans="1:31" x14ac:dyDescent="0.3">
      <c r="A63" s="77" t="s">
        <v>291</v>
      </c>
      <c r="B63" s="77" t="s">
        <v>292</v>
      </c>
      <c r="G63" s="77" t="s">
        <v>186</v>
      </c>
      <c r="H63" s="77" t="s">
        <v>77</v>
      </c>
      <c r="I63" s="77" t="s">
        <v>78</v>
      </c>
      <c r="J63" s="77" t="s">
        <v>79</v>
      </c>
      <c r="K63" s="77" t="s">
        <v>80</v>
      </c>
      <c r="L63" s="77" t="s">
        <v>271</v>
      </c>
      <c r="M63" s="77" t="s">
        <v>82</v>
      </c>
      <c r="N63" s="77" t="s">
        <v>83</v>
      </c>
      <c r="Q63" s="77" t="s">
        <v>188</v>
      </c>
      <c r="S63" s="77" t="s">
        <v>188</v>
      </c>
      <c r="U63" s="77" t="s">
        <v>85</v>
      </c>
      <c r="V63" s="80" t="s">
        <v>272</v>
      </c>
      <c r="X63" s="77" t="s">
        <v>273</v>
      </c>
      <c r="Y63" s="78" t="s">
        <v>101</v>
      </c>
      <c r="AA63" s="77" t="s">
        <v>191</v>
      </c>
      <c r="AB63" s="77" t="s">
        <v>78</v>
      </c>
      <c r="AC63" s="77" t="s">
        <v>90</v>
      </c>
      <c r="AD63" s="77" t="s">
        <v>274</v>
      </c>
      <c r="AE63" s="77" t="s">
        <v>192</v>
      </c>
    </row>
    <row r="64" spans="1:31" x14ac:dyDescent="0.3">
      <c r="A64" s="77" t="s">
        <v>293</v>
      </c>
      <c r="B64" s="77" t="s">
        <v>294</v>
      </c>
      <c r="G64" s="77" t="s">
        <v>186</v>
      </c>
      <c r="H64" s="77" t="s">
        <v>77</v>
      </c>
      <c r="I64" s="77" t="s">
        <v>78</v>
      </c>
      <c r="J64" s="77" t="s">
        <v>79</v>
      </c>
      <c r="K64" s="77" t="s">
        <v>80</v>
      </c>
      <c r="L64" s="77" t="s">
        <v>271</v>
      </c>
      <c r="M64" s="77" t="s">
        <v>82</v>
      </c>
      <c r="N64" s="77" t="s">
        <v>83</v>
      </c>
      <c r="Q64" s="77" t="s">
        <v>188</v>
      </c>
      <c r="S64" s="77" t="s">
        <v>188</v>
      </c>
      <c r="U64" s="77" t="s">
        <v>85</v>
      </c>
      <c r="V64" s="80" t="s">
        <v>272</v>
      </c>
      <c r="X64" s="77" t="s">
        <v>273</v>
      </c>
      <c r="Y64" s="78" t="s">
        <v>101</v>
      </c>
      <c r="AA64" s="77" t="s">
        <v>191</v>
      </c>
      <c r="AB64" s="77" t="s">
        <v>78</v>
      </c>
      <c r="AC64" s="77" t="s">
        <v>90</v>
      </c>
      <c r="AD64" s="77" t="s">
        <v>274</v>
      </c>
      <c r="AE64" s="77" t="s">
        <v>192</v>
      </c>
    </row>
    <row r="65" spans="1:33" x14ac:dyDescent="0.3">
      <c r="A65" s="77" t="s">
        <v>295</v>
      </c>
      <c r="B65" s="77" t="s">
        <v>296</v>
      </c>
      <c r="G65" s="77" t="s">
        <v>186</v>
      </c>
      <c r="H65" s="77" t="s">
        <v>77</v>
      </c>
      <c r="I65" s="77" t="s">
        <v>78</v>
      </c>
      <c r="J65" s="77" t="s">
        <v>79</v>
      </c>
      <c r="K65" s="77" t="s">
        <v>80</v>
      </c>
      <c r="L65" s="77" t="s">
        <v>271</v>
      </c>
      <c r="M65" s="77" t="s">
        <v>82</v>
      </c>
      <c r="N65" s="77" t="s">
        <v>83</v>
      </c>
      <c r="Q65" s="77" t="s">
        <v>188</v>
      </c>
      <c r="S65" s="77" t="s">
        <v>188</v>
      </c>
      <c r="U65" s="77" t="s">
        <v>85</v>
      </c>
      <c r="V65" s="80" t="s">
        <v>272</v>
      </c>
      <c r="X65" s="77" t="s">
        <v>273</v>
      </c>
      <c r="Y65" s="78" t="s">
        <v>101</v>
      </c>
      <c r="AA65" s="77" t="s">
        <v>191</v>
      </c>
      <c r="AB65" s="77" t="s">
        <v>78</v>
      </c>
      <c r="AC65" s="77" t="s">
        <v>90</v>
      </c>
      <c r="AD65" s="77" t="s">
        <v>274</v>
      </c>
      <c r="AE65" s="77" t="s">
        <v>192</v>
      </c>
    </row>
    <row r="66" spans="1:33" x14ac:dyDescent="0.3">
      <c r="A66" s="77" t="s">
        <v>297</v>
      </c>
      <c r="B66" s="77" t="s">
        <v>298</v>
      </c>
      <c r="G66" s="77" t="s">
        <v>186</v>
      </c>
      <c r="H66" s="77" t="s">
        <v>77</v>
      </c>
      <c r="I66" s="77" t="s">
        <v>78</v>
      </c>
      <c r="J66" s="77" t="s">
        <v>79</v>
      </c>
      <c r="K66" s="77" t="s">
        <v>80</v>
      </c>
      <c r="L66" s="77" t="s">
        <v>299</v>
      </c>
      <c r="M66" s="77" t="s">
        <v>82</v>
      </c>
      <c r="N66" s="77" t="s">
        <v>83</v>
      </c>
      <c r="Q66" s="77" t="s">
        <v>188</v>
      </c>
      <c r="S66" s="77" t="s">
        <v>188</v>
      </c>
      <c r="U66" s="77" t="s">
        <v>85</v>
      </c>
      <c r="V66" s="80" t="s">
        <v>272</v>
      </c>
      <c r="X66" s="77" t="s">
        <v>273</v>
      </c>
      <c r="Y66" s="78" t="s">
        <v>101</v>
      </c>
      <c r="AA66" s="77" t="s">
        <v>191</v>
      </c>
      <c r="AB66" s="77" t="s">
        <v>78</v>
      </c>
      <c r="AC66" s="77" t="s">
        <v>90</v>
      </c>
      <c r="AD66" s="77" t="s">
        <v>274</v>
      </c>
      <c r="AE66" s="77" t="s">
        <v>192</v>
      </c>
    </row>
    <row r="67" spans="1:33" x14ac:dyDescent="0.3">
      <c r="A67" s="77" t="s">
        <v>300</v>
      </c>
      <c r="B67" s="77" t="s">
        <v>301</v>
      </c>
      <c r="G67" s="77" t="s">
        <v>186</v>
      </c>
      <c r="H67" s="77" t="s">
        <v>77</v>
      </c>
      <c r="I67" s="77" t="s">
        <v>78</v>
      </c>
      <c r="J67" s="77" t="s">
        <v>79</v>
      </c>
      <c r="K67" s="77" t="s">
        <v>80</v>
      </c>
      <c r="L67" s="77" t="s">
        <v>299</v>
      </c>
      <c r="M67" s="77" t="s">
        <v>82</v>
      </c>
      <c r="N67" s="77" t="s">
        <v>83</v>
      </c>
      <c r="Q67" s="77" t="s">
        <v>188</v>
      </c>
      <c r="S67" s="77" t="s">
        <v>188</v>
      </c>
      <c r="U67" s="77" t="s">
        <v>85</v>
      </c>
      <c r="V67" s="80" t="s">
        <v>272</v>
      </c>
      <c r="X67" s="77" t="s">
        <v>273</v>
      </c>
      <c r="Y67" s="78" t="s">
        <v>101</v>
      </c>
      <c r="AA67" s="77" t="s">
        <v>191</v>
      </c>
      <c r="AB67" s="77" t="s">
        <v>78</v>
      </c>
      <c r="AC67" s="77" t="s">
        <v>90</v>
      </c>
      <c r="AD67" s="77" t="s">
        <v>274</v>
      </c>
      <c r="AE67" s="77" t="s">
        <v>192</v>
      </c>
    </row>
    <row r="68" spans="1:33" x14ac:dyDescent="0.3">
      <c r="A68" s="77" t="s">
        <v>302</v>
      </c>
      <c r="B68" s="77" t="s">
        <v>303</v>
      </c>
      <c r="G68" s="77" t="s">
        <v>186</v>
      </c>
      <c r="H68" s="77" t="s">
        <v>77</v>
      </c>
      <c r="I68" s="77" t="s">
        <v>78</v>
      </c>
      <c r="J68" s="77" t="s">
        <v>79</v>
      </c>
      <c r="K68" s="77" t="s">
        <v>80</v>
      </c>
      <c r="L68" s="77" t="s">
        <v>299</v>
      </c>
      <c r="M68" s="77" t="s">
        <v>82</v>
      </c>
      <c r="N68" s="77" t="s">
        <v>83</v>
      </c>
      <c r="Q68" s="77" t="s">
        <v>188</v>
      </c>
      <c r="S68" s="77" t="s">
        <v>188</v>
      </c>
      <c r="U68" s="77" t="s">
        <v>85</v>
      </c>
      <c r="V68" s="80" t="s">
        <v>272</v>
      </c>
      <c r="X68" s="77" t="s">
        <v>273</v>
      </c>
      <c r="Y68" s="78" t="s">
        <v>101</v>
      </c>
      <c r="AA68" s="77" t="s">
        <v>191</v>
      </c>
      <c r="AB68" s="77" t="s">
        <v>78</v>
      </c>
      <c r="AC68" s="77" t="s">
        <v>90</v>
      </c>
      <c r="AD68" s="77" t="s">
        <v>274</v>
      </c>
      <c r="AE68" s="77" t="s">
        <v>192</v>
      </c>
    </row>
    <row r="69" spans="1:33" x14ac:dyDescent="0.3">
      <c r="A69" s="77" t="s">
        <v>304</v>
      </c>
      <c r="B69" s="77" t="s">
        <v>305</v>
      </c>
      <c r="G69" s="77" t="s">
        <v>186</v>
      </c>
      <c r="H69" s="77" t="s">
        <v>77</v>
      </c>
      <c r="I69" s="77" t="s">
        <v>78</v>
      </c>
      <c r="J69" s="77" t="s">
        <v>79</v>
      </c>
      <c r="K69" s="77" t="s">
        <v>80</v>
      </c>
      <c r="L69" s="77" t="s">
        <v>299</v>
      </c>
      <c r="M69" s="77" t="s">
        <v>82</v>
      </c>
      <c r="N69" s="77" t="s">
        <v>83</v>
      </c>
      <c r="Q69" s="77" t="s">
        <v>188</v>
      </c>
      <c r="S69" s="77" t="s">
        <v>188</v>
      </c>
      <c r="U69" s="77" t="s">
        <v>85</v>
      </c>
      <c r="V69" s="80" t="s">
        <v>272</v>
      </c>
      <c r="X69" s="77" t="s">
        <v>273</v>
      </c>
      <c r="Y69" s="78" t="s">
        <v>101</v>
      </c>
      <c r="AA69" s="77" t="s">
        <v>191</v>
      </c>
      <c r="AB69" s="77" t="s">
        <v>78</v>
      </c>
      <c r="AC69" s="77" t="s">
        <v>90</v>
      </c>
      <c r="AD69" s="77" t="s">
        <v>274</v>
      </c>
      <c r="AE69" s="77" t="s">
        <v>192</v>
      </c>
    </row>
    <row r="70" spans="1:33" x14ac:dyDescent="0.3">
      <c r="A70" s="77" t="s">
        <v>306</v>
      </c>
      <c r="B70" s="77" t="s">
        <v>307</v>
      </c>
      <c r="G70" s="77" t="s">
        <v>186</v>
      </c>
      <c r="H70" s="77" t="s">
        <v>77</v>
      </c>
      <c r="I70" s="77" t="s">
        <v>78</v>
      </c>
      <c r="J70" s="77" t="s">
        <v>79</v>
      </c>
      <c r="K70" s="77" t="s">
        <v>80</v>
      </c>
      <c r="L70" s="77" t="s">
        <v>299</v>
      </c>
      <c r="M70" s="77" t="s">
        <v>82</v>
      </c>
      <c r="N70" s="77" t="s">
        <v>83</v>
      </c>
      <c r="Q70" s="77" t="s">
        <v>188</v>
      </c>
      <c r="S70" s="77" t="s">
        <v>188</v>
      </c>
      <c r="U70" s="77" t="s">
        <v>85</v>
      </c>
      <c r="V70" s="80" t="s">
        <v>272</v>
      </c>
      <c r="X70" s="77" t="s">
        <v>273</v>
      </c>
      <c r="Y70" s="78" t="s">
        <v>101</v>
      </c>
      <c r="AA70" s="77" t="s">
        <v>191</v>
      </c>
      <c r="AB70" s="77" t="s">
        <v>78</v>
      </c>
      <c r="AC70" s="77" t="s">
        <v>90</v>
      </c>
      <c r="AD70" s="77" t="s">
        <v>274</v>
      </c>
      <c r="AE70" s="77" t="s">
        <v>192</v>
      </c>
    </row>
    <row r="71" spans="1:33" x14ac:dyDescent="0.3">
      <c r="A71" s="77" t="s">
        <v>308</v>
      </c>
      <c r="B71" s="77" t="s">
        <v>309</v>
      </c>
      <c r="G71" s="77" t="s">
        <v>186</v>
      </c>
      <c r="H71" s="77" t="s">
        <v>77</v>
      </c>
      <c r="I71" s="77" t="s">
        <v>78</v>
      </c>
      <c r="J71" s="77" t="s">
        <v>79</v>
      </c>
      <c r="K71" s="77" t="s">
        <v>80</v>
      </c>
      <c r="L71" s="77" t="s">
        <v>299</v>
      </c>
      <c r="M71" s="77" t="s">
        <v>82</v>
      </c>
      <c r="N71" s="77" t="s">
        <v>83</v>
      </c>
      <c r="Q71" s="77" t="s">
        <v>188</v>
      </c>
      <c r="S71" s="77" t="s">
        <v>188</v>
      </c>
      <c r="U71" s="77" t="s">
        <v>85</v>
      </c>
      <c r="V71" s="80" t="s">
        <v>272</v>
      </c>
      <c r="X71" s="77" t="s">
        <v>273</v>
      </c>
      <c r="Y71" s="78" t="s">
        <v>101</v>
      </c>
      <c r="AA71" s="77" t="s">
        <v>191</v>
      </c>
      <c r="AB71" s="77" t="s">
        <v>78</v>
      </c>
      <c r="AC71" s="77" t="s">
        <v>90</v>
      </c>
      <c r="AD71" s="77" t="s">
        <v>274</v>
      </c>
      <c r="AE71" s="77" t="s">
        <v>192</v>
      </c>
    </row>
    <row r="72" spans="1:33" x14ac:dyDescent="0.3">
      <c r="A72" s="77" t="s">
        <v>310</v>
      </c>
      <c r="B72" s="77" t="s">
        <v>311</v>
      </c>
      <c r="G72" s="77" t="s">
        <v>186</v>
      </c>
      <c r="H72" s="77" t="s">
        <v>77</v>
      </c>
      <c r="I72" s="77" t="s">
        <v>78</v>
      </c>
      <c r="J72" s="77" t="s">
        <v>79</v>
      </c>
      <c r="K72" s="77" t="s">
        <v>80</v>
      </c>
      <c r="L72" s="77" t="s">
        <v>299</v>
      </c>
      <c r="M72" s="77" t="s">
        <v>82</v>
      </c>
      <c r="N72" s="77" t="s">
        <v>83</v>
      </c>
      <c r="Q72" s="77" t="s">
        <v>188</v>
      </c>
      <c r="S72" s="77" t="s">
        <v>188</v>
      </c>
      <c r="U72" s="77" t="s">
        <v>85</v>
      </c>
      <c r="V72" s="80" t="s">
        <v>272</v>
      </c>
      <c r="X72" s="77" t="s">
        <v>273</v>
      </c>
      <c r="Y72" s="78" t="s">
        <v>101</v>
      </c>
      <c r="AA72" s="77" t="s">
        <v>191</v>
      </c>
      <c r="AB72" s="77" t="s">
        <v>78</v>
      </c>
      <c r="AC72" s="77" t="s">
        <v>90</v>
      </c>
      <c r="AD72" s="77" t="s">
        <v>274</v>
      </c>
      <c r="AE72" s="77" t="s">
        <v>192</v>
      </c>
    </row>
    <row r="73" spans="1:33" x14ac:dyDescent="0.3">
      <c r="A73" s="77" t="s">
        <v>312</v>
      </c>
      <c r="B73" s="77" t="s">
        <v>313</v>
      </c>
      <c r="G73" s="77" t="s">
        <v>186</v>
      </c>
      <c r="H73" s="77" t="s">
        <v>77</v>
      </c>
      <c r="I73" s="77" t="s">
        <v>78</v>
      </c>
      <c r="J73" s="77" t="s">
        <v>79</v>
      </c>
      <c r="K73" s="77" t="s">
        <v>80</v>
      </c>
      <c r="L73" s="77" t="s">
        <v>299</v>
      </c>
      <c r="M73" s="77" t="s">
        <v>82</v>
      </c>
      <c r="N73" s="77" t="s">
        <v>83</v>
      </c>
      <c r="Q73" s="77" t="s">
        <v>188</v>
      </c>
      <c r="S73" s="77" t="s">
        <v>188</v>
      </c>
      <c r="U73" s="77" t="s">
        <v>85</v>
      </c>
      <c r="V73" s="80" t="s">
        <v>272</v>
      </c>
      <c r="X73" s="77" t="s">
        <v>273</v>
      </c>
      <c r="Y73" s="78" t="s">
        <v>101</v>
      </c>
      <c r="AA73" s="77" t="s">
        <v>191</v>
      </c>
      <c r="AB73" s="77" t="s">
        <v>78</v>
      </c>
      <c r="AC73" s="77" t="s">
        <v>90</v>
      </c>
      <c r="AD73" s="77" t="s">
        <v>274</v>
      </c>
      <c r="AE73" s="77" t="s">
        <v>192</v>
      </c>
    </row>
    <row r="74" spans="1:33" x14ac:dyDescent="0.3">
      <c r="A74" s="77" t="s">
        <v>314</v>
      </c>
      <c r="B74" s="77" t="s">
        <v>315</v>
      </c>
      <c r="G74" s="77" t="s">
        <v>186</v>
      </c>
      <c r="H74" s="77" t="s">
        <v>77</v>
      </c>
      <c r="I74" s="77" t="s">
        <v>78</v>
      </c>
      <c r="J74" s="77" t="s">
        <v>79</v>
      </c>
      <c r="K74" s="77" t="s">
        <v>80</v>
      </c>
      <c r="L74" s="77" t="s">
        <v>299</v>
      </c>
      <c r="M74" s="77" t="s">
        <v>82</v>
      </c>
      <c r="N74" s="77" t="s">
        <v>83</v>
      </c>
      <c r="Q74" s="77" t="s">
        <v>188</v>
      </c>
      <c r="S74" s="77" t="s">
        <v>188</v>
      </c>
      <c r="U74" s="77" t="s">
        <v>85</v>
      </c>
      <c r="V74" s="80" t="s">
        <v>272</v>
      </c>
      <c r="X74" s="77" t="s">
        <v>273</v>
      </c>
      <c r="Y74" s="78" t="s">
        <v>101</v>
      </c>
      <c r="AA74" s="77" t="s">
        <v>191</v>
      </c>
      <c r="AB74" s="77" t="s">
        <v>78</v>
      </c>
      <c r="AC74" s="77" t="s">
        <v>90</v>
      </c>
      <c r="AD74" s="77" t="s">
        <v>274</v>
      </c>
      <c r="AE74" s="77" t="s">
        <v>192</v>
      </c>
    </row>
    <row r="75" spans="1:33" x14ac:dyDescent="0.3">
      <c r="A75" s="77" t="s">
        <v>316</v>
      </c>
      <c r="B75" s="77" t="s">
        <v>317</v>
      </c>
      <c r="G75" s="77" t="s">
        <v>186</v>
      </c>
      <c r="H75" s="77" t="s">
        <v>77</v>
      </c>
      <c r="I75" s="77" t="s">
        <v>78</v>
      </c>
      <c r="J75" s="77" t="s">
        <v>79</v>
      </c>
      <c r="K75" s="77" t="s">
        <v>80</v>
      </c>
      <c r="L75" s="77" t="s">
        <v>299</v>
      </c>
      <c r="M75" s="77" t="s">
        <v>82</v>
      </c>
      <c r="N75" s="77" t="s">
        <v>83</v>
      </c>
      <c r="Q75" s="77" t="s">
        <v>188</v>
      </c>
      <c r="S75" s="77" t="s">
        <v>188</v>
      </c>
      <c r="U75" s="77" t="s">
        <v>85</v>
      </c>
      <c r="V75" s="80" t="s">
        <v>272</v>
      </c>
      <c r="X75" s="77" t="s">
        <v>273</v>
      </c>
      <c r="Y75" s="78" t="s">
        <v>101</v>
      </c>
      <c r="AA75" s="77" t="s">
        <v>191</v>
      </c>
      <c r="AB75" s="77" t="s">
        <v>78</v>
      </c>
      <c r="AC75" s="77" t="s">
        <v>90</v>
      </c>
      <c r="AD75" s="77" t="s">
        <v>274</v>
      </c>
      <c r="AE75" s="77" t="s">
        <v>192</v>
      </c>
    </row>
    <row r="76" spans="1:33" x14ac:dyDescent="0.3">
      <c r="A76" s="77" t="s">
        <v>318</v>
      </c>
      <c r="B76" s="77" t="s">
        <v>319</v>
      </c>
      <c r="G76" s="77" t="s">
        <v>186</v>
      </c>
      <c r="H76" s="77" t="s">
        <v>77</v>
      </c>
      <c r="I76" s="77" t="s">
        <v>78</v>
      </c>
      <c r="J76" s="77" t="s">
        <v>79</v>
      </c>
      <c r="K76" s="77" t="s">
        <v>80</v>
      </c>
      <c r="L76" s="77" t="s">
        <v>299</v>
      </c>
      <c r="M76" s="77" t="s">
        <v>82</v>
      </c>
      <c r="N76" s="77" t="s">
        <v>83</v>
      </c>
      <c r="Q76" s="77" t="s">
        <v>188</v>
      </c>
      <c r="S76" s="77" t="s">
        <v>188</v>
      </c>
      <c r="U76" s="77" t="s">
        <v>85</v>
      </c>
      <c r="V76" s="80" t="s">
        <v>272</v>
      </c>
      <c r="X76" s="77" t="s">
        <v>273</v>
      </c>
      <c r="Y76" s="78" t="s">
        <v>101</v>
      </c>
      <c r="AA76" s="77" t="s">
        <v>191</v>
      </c>
      <c r="AB76" s="77" t="s">
        <v>78</v>
      </c>
      <c r="AC76" s="77" t="s">
        <v>90</v>
      </c>
      <c r="AD76" s="77" t="s">
        <v>274</v>
      </c>
      <c r="AE76" s="77" t="s">
        <v>192</v>
      </c>
    </row>
    <row r="77" spans="1:33" x14ac:dyDescent="0.3">
      <c r="A77" s="77" t="s">
        <v>320</v>
      </c>
      <c r="B77" s="77" t="s">
        <v>321</v>
      </c>
      <c r="G77" s="77" t="s">
        <v>186</v>
      </c>
      <c r="H77" s="77" t="s">
        <v>77</v>
      </c>
      <c r="I77" s="77" t="s">
        <v>78</v>
      </c>
      <c r="J77" s="77" t="s">
        <v>79</v>
      </c>
      <c r="K77" s="77" t="s">
        <v>80</v>
      </c>
      <c r="L77" s="77" t="s">
        <v>299</v>
      </c>
      <c r="M77" s="77" t="s">
        <v>82</v>
      </c>
      <c r="N77" s="77" t="s">
        <v>83</v>
      </c>
      <c r="Q77" s="77" t="s">
        <v>188</v>
      </c>
      <c r="S77" s="77" t="s">
        <v>188</v>
      </c>
      <c r="U77" s="77" t="s">
        <v>85</v>
      </c>
      <c r="V77" s="80" t="s">
        <v>272</v>
      </c>
      <c r="X77" s="77" t="s">
        <v>273</v>
      </c>
      <c r="Y77" s="78" t="s">
        <v>101</v>
      </c>
      <c r="AA77" s="77" t="s">
        <v>191</v>
      </c>
      <c r="AB77" s="77" t="s">
        <v>78</v>
      </c>
      <c r="AC77" s="77" t="s">
        <v>90</v>
      </c>
      <c r="AD77" s="77" t="s">
        <v>274</v>
      </c>
      <c r="AE77" s="77" t="s">
        <v>192</v>
      </c>
    </row>
    <row r="78" spans="1:33" x14ac:dyDescent="0.3">
      <c r="A78" s="77" t="s">
        <v>322</v>
      </c>
      <c r="B78" s="77" t="s">
        <v>323</v>
      </c>
      <c r="G78" s="77" t="s">
        <v>186</v>
      </c>
      <c r="H78" s="77" t="s">
        <v>77</v>
      </c>
      <c r="I78" s="77" t="s">
        <v>78</v>
      </c>
      <c r="J78" s="77" t="s">
        <v>79</v>
      </c>
      <c r="K78" s="77" t="s">
        <v>80</v>
      </c>
      <c r="L78" s="77" t="s">
        <v>324</v>
      </c>
      <c r="M78" s="77" t="s">
        <v>82</v>
      </c>
      <c r="N78" s="77" t="s">
        <v>83</v>
      </c>
      <c r="Q78" s="77" t="s">
        <v>188</v>
      </c>
      <c r="T78" s="77" t="s">
        <v>112</v>
      </c>
      <c r="U78" s="77" t="s">
        <v>85</v>
      </c>
      <c r="V78" s="80" t="s">
        <v>325</v>
      </c>
      <c r="X78" s="77" t="s">
        <v>326</v>
      </c>
      <c r="Y78" s="78" t="s">
        <v>101</v>
      </c>
      <c r="AA78" s="77" t="s">
        <v>191</v>
      </c>
      <c r="AB78" s="77" t="s">
        <v>78</v>
      </c>
      <c r="AC78" s="77" t="s">
        <v>90</v>
      </c>
      <c r="AD78" s="77" t="s">
        <v>327</v>
      </c>
      <c r="AE78" s="77" t="s">
        <v>192</v>
      </c>
      <c r="AG78" s="77" t="s">
        <v>112</v>
      </c>
    </row>
    <row r="79" spans="1:33" x14ac:dyDescent="0.3">
      <c r="A79" s="77" t="s">
        <v>328</v>
      </c>
      <c r="B79" s="77" t="s">
        <v>329</v>
      </c>
      <c r="G79" s="77" t="s">
        <v>186</v>
      </c>
      <c r="H79" s="77" t="s">
        <v>77</v>
      </c>
      <c r="I79" s="77" t="s">
        <v>78</v>
      </c>
      <c r="J79" s="77" t="s">
        <v>79</v>
      </c>
      <c r="K79" s="77" t="s">
        <v>80</v>
      </c>
      <c r="L79" s="77" t="s">
        <v>330</v>
      </c>
      <c r="M79" s="77" t="s">
        <v>82</v>
      </c>
      <c r="N79" s="77" t="s">
        <v>83</v>
      </c>
      <c r="Q79" s="77" t="s">
        <v>188</v>
      </c>
      <c r="T79" s="77" t="s">
        <v>112</v>
      </c>
      <c r="U79" s="77" t="s">
        <v>85</v>
      </c>
      <c r="V79" s="80" t="s">
        <v>331</v>
      </c>
      <c r="X79" s="77" t="s">
        <v>332</v>
      </c>
      <c r="Y79" s="78" t="s">
        <v>88</v>
      </c>
      <c r="AA79" s="77" t="s">
        <v>191</v>
      </c>
      <c r="AB79" s="77" t="s">
        <v>78</v>
      </c>
      <c r="AC79" s="77" t="s">
        <v>90</v>
      </c>
      <c r="AD79" s="77" t="s">
        <v>91</v>
      </c>
      <c r="AE79" s="77" t="s">
        <v>192</v>
      </c>
      <c r="AG79" s="77" t="s">
        <v>112</v>
      </c>
    </row>
    <row r="80" spans="1:33" x14ac:dyDescent="0.3">
      <c r="A80" s="77" t="s">
        <v>333</v>
      </c>
      <c r="B80" s="77" t="s">
        <v>334</v>
      </c>
      <c r="G80" s="77" t="s">
        <v>186</v>
      </c>
      <c r="H80" s="77" t="s">
        <v>77</v>
      </c>
      <c r="I80" s="77" t="s">
        <v>78</v>
      </c>
      <c r="J80" s="77" t="s">
        <v>79</v>
      </c>
      <c r="K80" s="77" t="s">
        <v>80</v>
      </c>
      <c r="L80" s="77" t="s">
        <v>330</v>
      </c>
      <c r="M80" s="77" t="s">
        <v>82</v>
      </c>
      <c r="N80" s="77" t="s">
        <v>83</v>
      </c>
      <c r="Q80" s="77" t="s">
        <v>188</v>
      </c>
      <c r="T80" s="77" t="s">
        <v>112</v>
      </c>
      <c r="U80" s="77" t="s">
        <v>85</v>
      </c>
      <c r="V80" s="80" t="s">
        <v>331</v>
      </c>
      <c r="X80" s="77" t="s">
        <v>332</v>
      </c>
      <c r="Y80" s="78" t="s">
        <v>88</v>
      </c>
      <c r="AA80" s="77" t="s">
        <v>191</v>
      </c>
      <c r="AB80" s="77" t="s">
        <v>78</v>
      </c>
      <c r="AC80" s="77" t="s">
        <v>90</v>
      </c>
      <c r="AD80" s="77" t="s">
        <v>91</v>
      </c>
      <c r="AE80" s="77" t="s">
        <v>192</v>
      </c>
      <c r="AG80" s="77" t="s">
        <v>112</v>
      </c>
    </row>
    <row r="81" spans="1:33" x14ac:dyDescent="0.3">
      <c r="A81" s="77" t="s">
        <v>335</v>
      </c>
      <c r="B81" s="77" t="s">
        <v>336</v>
      </c>
      <c r="G81" s="77" t="s">
        <v>186</v>
      </c>
      <c r="H81" s="77" t="s">
        <v>77</v>
      </c>
      <c r="I81" s="77" t="s">
        <v>78</v>
      </c>
      <c r="J81" s="77" t="s">
        <v>79</v>
      </c>
      <c r="K81" s="77" t="s">
        <v>80</v>
      </c>
      <c r="L81" s="77" t="s">
        <v>337</v>
      </c>
      <c r="M81" s="77" t="s">
        <v>82</v>
      </c>
      <c r="N81" s="77" t="s">
        <v>83</v>
      </c>
      <c r="Q81" s="77" t="s">
        <v>188</v>
      </c>
      <c r="T81" s="77" t="s">
        <v>112</v>
      </c>
      <c r="U81" s="77" t="s">
        <v>85</v>
      </c>
      <c r="V81" s="80" t="s">
        <v>331</v>
      </c>
      <c r="X81" s="77" t="s">
        <v>332</v>
      </c>
      <c r="Y81" s="78" t="s">
        <v>88</v>
      </c>
      <c r="AA81" s="77" t="s">
        <v>191</v>
      </c>
      <c r="AB81" s="77" t="s">
        <v>78</v>
      </c>
      <c r="AC81" s="77" t="s">
        <v>90</v>
      </c>
      <c r="AD81" s="77" t="s">
        <v>91</v>
      </c>
      <c r="AE81" s="77" t="s">
        <v>192</v>
      </c>
      <c r="AG81" s="77" t="s">
        <v>112</v>
      </c>
    </row>
    <row r="82" spans="1:33" x14ac:dyDescent="0.3">
      <c r="A82" s="77" t="s">
        <v>338</v>
      </c>
      <c r="B82" s="77" t="s">
        <v>339</v>
      </c>
      <c r="G82" s="77" t="s">
        <v>186</v>
      </c>
      <c r="H82" s="77" t="s">
        <v>77</v>
      </c>
      <c r="I82" s="77" t="s">
        <v>78</v>
      </c>
      <c r="J82" s="77" t="s">
        <v>79</v>
      </c>
      <c r="K82" s="77" t="s">
        <v>80</v>
      </c>
      <c r="L82" s="77" t="s">
        <v>340</v>
      </c>
      <c r="M82" s="77" t="s">
        <v>82</v>
      </c>
      <c r="N82" s="77" t="s">
        <v>83</v>
      </c>
      <c r="Q82" s="77" t="s">
        <v>188</v>
      </c>
      <c r="T82" s="77" t="s">
        <v>112</v>
      </c>
      <c r="U82" s="77" t="s">
        <v>85</v>
      </c>
      <c r="V82" s="80" t="s">
        <v>341</v>
      </c>
      <c r="X82" s="77" t="s">
        <v>342</v>
      </c>
      <c r="Y82" s="78" t="s">
        <v>88</v>
      </c>
      <c r="AA82" s="77" t="s">
        <v>191</v>
      </c>
      <c r="AB82" s="77" t="s">
        <v>78</v>
      </c>
      <c r="AC82" s="77" t="s">
        <v>90</v>
      </c>
      <c r="AD82" s="77" t="s">
        <v>91</v>
      </c>
      <c r="AE82" s="77" t="s">
        <v>192</v>
      </c>
      <c r="AG82" s="77" t="s">
        <v>112</v>
      </c>
    </row>
    <row r="83" spans="1:33" x14ac:dyDescent="0.3">
      <c r="A83" s="77" t="s">
        <v>343</v>
      </c>
      <c r="B83" s="77" t="s">
        <v>344</v>
      </c>
      <c r="G83" s="77" t="s">
        <v>186</v>
      </c>
      <c r="H83" s="77" t="s">
        <v>77</v>
      </c>
      <c r="I83" s="77" t="s">
        <v>78</v>
      </c>
      <c r="J83" s="77" t="s">
        <v>79</v>
      </c>
      <c r="K83" s="77" t="s">
        <v>80</v>
      </c>
      <c r="L83" s="77" t="s">
        <v>340</v>
      </c>
      <c r="M83" s="77" t="s">
        <v>82</v>
      </c>
      <c r="N83" s="77" t="s">
        <v>83</v>
      </c>
      <c r="Q83" s="77" t="s">
        <v>188</v>
      </c>
      <c r="T83" s="77" t="s">
        <v>112</v>
      </c>
      <c r="U83" s="77" t="s">
        <v>85</v>
      </c>
      <c r="V83" s="80" t="s">
        <v>341</v>
      </c>
      <c r="X83" s="77" t="s">
        <v>342</v>
      </c>
      <c r="Y83" s="78" t="s">
        <v>88</v>
      </c>
      <c r="AA83" s="77" t="s">
        <v>191</v>
      </c>
      <c r="AB83" s="77" t="s">
        <v>78</v>
      </c>
      <c r="AC83" s="77" t="s">
        <v>90</v>
      </c>
      <c r="AD83" s="77" t="s">
        <v>91</v>
      </c>
      <c r="AE83" s="77" t="s">
        <v>192</v>
      </c>
      <c r="AG83" s="77" t="s">
        <v>112</v>
      </c>
    </row>
    <row r="84" spans="1:33" x14ac:dyDescent="0.3">
      <c r="A84" s="77" t="s">
        <v>345</v>
      </c>
      <c r="B84" s="77" t="s">
        <v>346</v>
      </c>
      <c r="G84" s="77" t="s">
        <v>186</v>
      </c>
      <c r="H84" s="77" t="s">
        <v>77</v>
      </c>
      <c r="I84" s="77" t="s">
        <v>78</v>
      </c>
      <c r="J84" s="77" t="s">
        <v>79</v>
      </c>
      <c r="K84" s="77" t="s">
        <v>80</v>
      </c>
      <c r="L84" s="77" t="s">
        <v>340</v>
      </c>
      <c r="M84" s="77" t="s">
        <v>82</v>
      </c>
      <c r="N84" s="77" t="s">
        <v>83</v>
      </c>
      <c r="Q84" s="77" t="s">
        <v>188</v>
      </c>
      <c r="T84" s="77" t="s">
        <v>112</v>
      </c>
      <c r="U84" s="77" t="s">
        <v>85</v>
      </c>
      <c r="V84" s="80" t="s">
        <v>341</v>
      </c>
      <c r="X84" s="77" t="s">
        <v>342</v>
      </c>
      <c r="Y84" s="78" t="s">
        <v>88</v>
      </c>
      <c r="AA84" s="77" t="s">
        <v>191</v>
      </c>
      <c r="AB84" s="77" t="s">
        <v>78</v>
      </c>
      <c r="AC84" s="77" t="s">
        <v>90</v>
      </c>
      <c r="AD84" s="77" t="s">
        <v>91</v>
      </c>
      <c r="AE84" s="77" t="s">
        <v>192</v>
      </c>
      <c r="AG84" s="77" t="s">
        <v>112</v>
      </c>
    </row>
    <row r="85" spans="1:33" x14ac:dyDescent="0.3">
      <c r="A85" s="77" t="s">
        <v>347</v>
      </c>
      <c r="B85" s="77" t="s">
        <v>348</v>
      </c>
      <c r="G85" s="77" t="s">
        <v>186</v>
      </c>
      <c r="H85" s="77" t="s">
        <v>77</v>
      </c>
      <c r="I85" s="77" t="s">
        <v>78</v>
      </c>
      <c r="J85" s="77" t="s">
        <v>79</v>
      </c>
      <c r="K85" s="77" t="s">
        <v>80</v>
      </c>
      <c r="L85" s="77" t="s">
        <v>349</v>
      </c>
      <c r="M85" s="77" t="s">
        <v>82</v>
      </c>
      <c r="N85" s="77" t="s">
        <v>83</v>
      </c>
      <c r="Q85" s="77" t="s">
        <v>188</v>
      </c>
      <c r="T85" s="77" t="s">
        <v>112</v>
      </c>
      <c r="U85" s="77" t="s">
        <v>85</v>
      </c>
      <c r="V85" s="80" t="s">
        <v>341</v>
      </c>
      <c r="X85" s="77" t="s">
        <v>342</v>
      </c>
      <c r="Y85" s="78" t="s">
        <v>88</v>
      </c>
      <c r="AA85" s="77" t="s">
        <v>191</v>
      </c>
      <c r="AB85" s="77" t="s">
        <v>78</v>
      </c>
      <c r="AC85" s="77" t="s">
        <v>90</v>
      </c>
      <c r="AD85" s="77" t="s">
        <v>91</v>
      </c>
      <c r="AE85" s="77" t="s">
        <v>192</v>
      </c>
      <c r="AG85" s="77" t="s">
        <v>112</v>
      </c>
    </row>
    <row r="86" spans="1:33" x14ac:dyDescent="0.3">
      <c r="A86" s="77" t="s">
        <v>350</v>
      </c>
      <c r="B86" s="77" t="s">
        <v>351</v>
      </c>
      <c r="G86" s="77" t="s">
        <v>186</v>
      </c>
      <c r="H86" s="77" t="s">
        <v>77</v>
      </c>
      <c r="I86" s="77" t="s">
        <v>78</v>
      </c>
      <c r="J86" s="77" t="s">
        <v>79</v>
      </c>
      <c r="K86" s="77" t="s">
        <v>80</v>
      </c>
      <c r="L86" s="77" t="s">
        <v>352</v>
      </c>
      <c r="M86" s="77" t="s">
        <v>82</v>
      </c>
      <c r="N86" s="77" t="s">
        <v>83</v>
      </c>
      <c r="Q86" s="77" t="s">
        <v>188</v>
      </c>
      <c r="T86" s="77" t="s">
        <v>112</v>
      </c>
      <c r="U86" s="77" t="s">
        <v>85</v>
      </c>
      <c r="V86" s="80" t="s">
        <v>86</v>
      </c>
      <c r="X86" s="77" t="s">
        <v>87</v>
      </c>
      <c r="Y86" s="78" t="s">
        <v>88</v>
      </c>
      <c r="AA86" s="77" t="s">
        <v>191</v>
      </c>
      <c r="AB86" s="77" t="s">
        <v>78</v>
      </c>
      <c r="AC86" s="77" t="s">
        <v>90</v>
      </c>
      <c r="AD86" s="77" t="s">
        <v>91</v>
      </c>
      <c r="AE86" s="77" t="s">
        <v>192</v>
      </c>
      <c r="AG86" s="77" t="s">
        <v>112</v>
      </c>
    </row>
    <row r="87" spans="1:33" x14ac:dyDescent="0.3">
      <c r="A87" s="77" t="s">
        <v>353</v>
      </c>
      <c r="B87" s="77" t="s">
        <v>354</v>
      </c>
      <c r="G87" s="77" t="s">
        <v>186</v>
      </c>
      <c r="H87" s="77" t="s">
        <v>77</v>
      </c>
      <c r="I87" s="77" t="s">
        <v>78</v>
      </c>
      <c r="J87" s="77" t="s">
        <v>79</v>
      </c>
      <c r="K87" s="77" t="s">
        <v>80</v>
      </c>
      <c r="L87" s="77" t="s">
        <v>355</v>
      </c>
      <c r="M87" s="77" t="s">
        <v>82</v>
      </c>
      <c r="N87" s="77" t="s">
        <v>83</v>
      </c>
      <c r="Q87" s="77" t="s">
        <v>188</v>
      </c>
      <c r="T87" s="77" t="s">
        <v>112</v>
      </c>
      <c r="U87" s="77" t="s">
        <v>85</v>
      </c>
      <c r="V87" s="80" t="s">
        <v>95</v>
      </c>
      <c r="X87" s="77" t="s">
        <v>96</v>
      </c>
      <c r="Y87" s="78" t="s">
        <v>88</v>
      </c>
      <c r="AA87" s="77" t="s">
        <v>191</v>
      </c>
      <c r="AB87" s="77" t="s">
        <v>78</v>
      </c>
      <c r="AC87" s="77" t="s">
        <v>90</v>
      </c>
      <c r="AD87" s="77" t="s">
        <v>91</v>
      </c>
      <c r="AE87" s="77" t="s">
        <v>192</v>
      </c>
      <c r="AG87" s="77" t="s">
        <v>112</v>
      </c>
    </row>
    <row r="88" spans="1:33" x14ac:dyDescent="0.3">
      <c r="A88" s="77" t="s">
        <v>356</v>
      </c>
      <c r="B88" s="77" t="s">
        <v>357</v>
      </c>
      <c r="G88" s="77" t="s">
        <v>186</v>
      </c>
      <c r="H88" s="77" t="s">
        <v>77</v>
      </c>
      <c r="I88" s="77" t="s">
        <v>78</v>
      </c>
      <c r="J88" s="77" t="s">
        <v>79</v>
      </c>
      <c r="K88" s="77" t="s">
        <v>80</v>
      </c>
      <c r="L88" s="77" t="s">
        <v>358</v>
      </c>
      <c r="M88" s="77" t="s">
        <v>82</v>
      </c>
      <c r="N88" s="77" t="s">
        <v>83</v>
      </c>
      <c r="Q88" s="77" t="s">
        <v>188</v>
      </c>
      <c r="T88" s="77" t="s">
        <v>112</v>
      </c>
      <c r="U88" s="77" t="s">
        <v>85</v>
      </c>
      <c r="V88" s="80" t="s">
        <v>99</v>
      </c>
      <c r="X88" s="77" t="s">
        <v>100</v>
      </c>
      <c r="Y88" s="78" t="s">
        <v>101</v>
      </c>
      <c r="AA88" s="77" t="s">
        <v>191</v>
      </c>
      <c r="AB88" s="77" t="s">
        <v>78</v>
      </c>
      <c r="AC88" s="77" t="s">
        <v>90</v>
      </c>
      <c r="AD88" s="77" t="s">
        <v>102</v>
      </c>
      <c r="AE88" s="77" t="s">
        <v>192</v>
      </c>
      <c r="AG88" s="77" t="s">
        <v>112</v>
      </c>
    </row>
    <row r="89" spans="1:33" x14ac:dyDescent="0.3">
      <c r="A89" s="77" t="s">
        <v>359</v>
      </c>
      <c r="B89" s="77" t="s">
        <v>360</v>
      </c>
      <c r="G89" s="77" t="s">
        <v>186</v>
      </c>
      <c r="H89" s="77" t="s">
        <v>77</v>
      </c>
      <c r="I89" s="77" t="s">
        <v>78</v>
      </c>
      <c r="J89" s="77" t="s">
        <v>79</v>
      </c>
      <c r="K89" s="77" t="s">
        <v>80</v>
      </c>
      <c r="L89" s="77" t="s">
        <v>361</v>
      </c>
      <c r="M89" s="77" t="s">
        <v>82</v>
      </c>
      <c r="N89" s="77" t="s">
        <v>83</v>
      </c>
      <c r="Q89" s="77" t="s">
        <v>188</v>
      </c>
      <c r="T89" s="77" t="s">
        <v>112</v>
      </c>
      <c r="U89" s="77" t="s">
        <v>85</v>
      </c>
      <c r="V89" s="80" t="s">
        <v>105</v>
      </c>
      <c r="X89" s="77" t="s">
        <v>106</v>
      </c>
      <c r="Y89" s="78" t="s">
        <v>101</v>
      </c>
      <c r="AA89" s="77" t="s">
        <v>191</v>
      </c>
      <c r="AB89" s="77" t="s">
        <v>78</v>
      </c>
      <c r="AC89" s="77" t="s">
        <v>90</v>
      </c>
      <c r="AD89" s="77" t="s">
        <v>102</v>
      </c>
      <c r="AE89" s="77" t="s">
        <v>192</v>
      </c>
      <c r="AG89" s="77" t="s">
        <v>112</v>
      </c>
    </row>
    <row r="90" spans="1:33" x14ac:dyDescent="0.3">
      <c r="A90" s="77" t="s">
        <v>362</v>
      </c>
      <c r="B90" s="77" t="s">
        <v>363</v>
      </c>
      <c r="G90" s="77" t="s">
        <v>186</v>
      </c>
      <c r="H90" s="77" t="s">
        <v>77</v>
      </c>
      <c r="I90" s="77" t="s">
        <v>78</v>
      </c>
      <c r="J90" s="77" t="s">
        <v>79</v>
      </c>
      <c r="K90" s="77" t="s">
        <v>80</v>
      </c>
      <c r="L90" s="77" t="s">
        <v>364</v>
      </c>
      <c r="M90" s="77" t="s">
        <v>82</v>
      </c>
      <c r="N90" s="77" t="s">
        <v>83</v>
      </c>
      <c r="Q90" s="77" t="s">
        <v>188</v>
      </c>
      <c r="T90" s="77" t="s">
        <v>112</v>
      </c>
      <c r="U90" s="77" t="s">
        <v>85</v>
      </c>
      <c r="V90" s="80" t="s">
        <v>365</v>
      </c>
      <c r="X90" s="77" t="s">
        <v>366</v>
      </c>
      <c r="Y90" s="78" t="s">
        <v>88</v>
      </c>
      <c r="AA90" s="77" t="s">
        <v>191</v>
      </c>
      <c r="AB90" s="77" t="s">
        <v>78</v>
      </c>
      <c r="AC90" s="77" t="s">
        <v>90</v>
      </c>
      <c r="AD90" s="77" t="s">
        <v>91</v>
      </c>
      <c r="AE90" s="77" t="s">
        <v>192</v>
      </c>
      <c r="AG90" s="77" t="s">
        <v>112</v>
      </c>
    </row>
    <row r="91" spans="1:33" x14ac:dyDescent="0.3">
      <c r="A91" s="77" t="s">
        <v>367</v>
      </c>
      <c r="B91" s="77" t="s">
        <v>368</v>
      </c>
      <c r="G91" s="77" t="s">
        <v>186</v>
      </c>
      <c r="H91" s="77" t="s">
        <v>77</v>
      </c>
      <c r="I91" s="77" t="s">
        <v>78</v>
      </c>
      <c r="J91" s="77" t="s">
        <v>79</v>
      </c>
      <c r="K91" s="77" t="s">
        <v>80</v>
      </c>
      <c r="L91" s="77" t="s">
        <v>369</v>
      </c>
      <c r="M91" s="77" t="s">
        <v>82</v>
      </c>
      <c r="N91" s="77" t="s">
        <v>83</v>
      </c>
      <c r="Q91" s="77" t="s">
        <v>188</v>
      </c>
      <c r="T91" s="77" t="s">
        <v>112</v>
      </c>
      <c r="U91" s="77" t="s">
        <v>85</v>
      </c>
      <c r="V91" s="80" t="s">
        <v>370</v>
      </c>
      <c r="X91" s="77" t="s">
        <v>371</v>
      </c>
      <c r="Y91" s="78" t="s">
        <v>88</v>
      </c>
      <c r="AA91" s="77" t="s">
        <v>191</v>
      </c>
      <c r="AB91" s="77" t="s">
        <v>78</v>
      </c>
      <c r="AC91" s="77" t="s">
        <v>90</v>
      </c>
      <c r="AD91" s="77" t="s">
        <v>91</v>
      </c>
      <c r="AE91" s="77" t="s">
        <v>192</v>
      </c>
      <c r="AG91" s="77" t="s">
        <v>112</v>
      </c>
    </row>
    <row r="92" spans="1:33" x14ac:dyDescent="0.3">
      <c r="A92" s="77" t="s">
        <v>372</v>
      </c>
      <c r="B92" s="77" t="s">
        <v>373</v>
      </c>
      <c r="G92" s="77" t="s">
        <v>186</v>
      </c>
      <c r="H92" s="77" t="s">
        <v>77</v>
      </c>
      <c r="I92" s="77" t="s">
        <v>78</v>
      </c>
      <c r="J92" s="77" t="s">
        <v>79</v>
      </c>
      <c r="K92" s="77" t="s">
        <v>80</v>
      </c>
      <c r="L92" s="77" t="s">
        <v>374</v>
      </c>
      <c r="M92" s="77" t="s">
        <v>82</v>
      </c>
      <c r="N92" s="77" t="s">
        <v>83</v>
      </c>
      <c r="Q92" s="77" t="s">
        <v>188</v>
      </c>
      <c r="T92" s="77" t="s">
        <v>112</v>
      </c>
      <c r="U92" s="77" t="s">
        <v>85</v>
      </c>
      <c r="V92" s="80" t="s">
        <v>375</v>
      </c>
      <c r="X92" s="77" t="s">
        <v>376</v>
      </c>
      <c r="Y92" s="78" t="s">
        <v>101</v>
      </c>
      <c r="AA92" s="77" t="s">
        <v>191</v>
      </c>
      <c r="AB92" s="77" t="s">
        <v>78</v>
      </c>
      <c r="AC92" s="77" t="s">
        <v>90</v>
      </c>
      <c r="AD92" s="77" t="s">
        <v>102</v>
      </c>
      <c r="AE92" s="77" t="s">
        <v>192</v>
      </c>
      <c r="AG92" s="77" t="s">
        <v>112</v>
      </c>
    </row>
    <row r="93" spans="1:33" x14ac:dyDescent="0.3">
      <c r="A93" s="77" t="s">
        <v>377</v>
      </c>
      <c r="B93" s="77" t="s">
        <v>378</v>
      </c>
      <c r="G93" s="77" t="s">
        <v>186</v>
      </c>
      <c r="H93" s="77" t="s">
        <v>77</v>
      </c>
      <c r="I93" s="77" t="s">
        <v>78</v>
      </c>
      <c r="J93" s="77" t="s">
        <v>79</v>
      </c>
      <c r="K93" s="77" t="s">
        <v>80</v>
      </c>
      <c r="L93" s="77" t="s">
        <v>379</v>
      </c>
      <c r="M93" s="77" t="s">
        <v>82</v>
      </c>
      <c r="N93" s="77" t="s">
        <v>83</v>
      </c>
      <c r="Q93" s="77" t="s">
        <v>188</v>
      </c>
      <c r="T93" s="77" t="s">
        <v>112</v>
      </c>
      <c r="U93" s="77" t="s">
        <v>85</v>
      </c>
      <c r="V93" s="80" t="s">
        <v>380</v>
      </c>
      <c r="X93" s="77" t="s">
        <v>381</v>
      </c>
      <c r="Y93" s="78" t="s">
        <v>101</v>
      </c>
      <c r="AA93" s="77" t="s">
        <v>191</v>
      </c>
      <c r="AB93" s="77" t="s">
        <v>78</v>
      </c>
      <c r="AC93" s="77" t="s">
        <v>90</v>
      </c>
      <c r="AD93" s="77" t="s">
        <v>102</v>
      </c>
      <c r="AE93" s="77" t="s">
        <v>192</v>
      </c>
      <c r="AG93" s="77" t="s">
        <v>112</v>
      </c>
    </row>
    <row r="94" spans="1:33" x14ac:dyDescent="0.3">
      <c r="A94" s="77" t="s">
        <v>382</v>
      </c>
      <c r="B94" s="77" t="s">
        <v>383</v>
      </c>
      <c r="G94" s="77" t="s">
        <v>186</v>
      </c>
      <c r="H94" s="77" t="s">
        <v>77</v>
      </c>
      <c r="I94" s="77" t="s">
        <v>78</v>
      </c>
      <c r="J94" s="77" t="s">
        <v>79</v>
      </c>
      <c r="K94" s="77" t="s">
        <v>80</v>
      </c>
      <c r="L94" s="77" t="s">
        <v>384</v>
      </c>
      <c r="M94" s="77" t="s">
        <v>82</v>
      </c>
      <c r="N94" s="77" t="s">
        <v>83</v>
      </c>
      <c r="Q94" s="77" t="s">
        <v>188</v>
      </c>
      <c r="T94" s="77" t="s">
        <v>112</v>
      </c>
      <c r="U94" s="77" t="s">
        <v>85</v>
      </c>
      <c r="V94" s="80" t="s">
        <v>86</v>
      </c>
      <c r="X94" s="77" t="s">
        <v>87</v>
      </c>
      <c r="Y94" s="78" t="s">
        <v>88</v>
      </c>
      <c r="AA94" s="77" t="s">
        <v>191</v>
      </c>
      <c r="AB94" s="77" t="s">
        <v>78</v>
      </c>
      <c r="AC94" s="77" t="s">
        <v>90</v>
      </c>
      <c r="AD94" s="77" t="s">
        <v>91</v>
      </c>
      <c r="AE94" s="77" t="s">
        <v>192</v>
      </c>
      <c r="AG94" s="77" t="s">
        <v>112</v>
      </c>
    </row>
    <row r="95" spans="1:33" x14ac:dyDescent="0.3">
      <c r="A95" s="77" t="s">
        <v>385</v>
      </c>
      <c r="B95" s="77" t="s">
        <v>386</v>
      </c>
      <c r="G95" s="77" t="s">
        <v>186</v>
      </c>
      <c r="H95" s="77" t="s">
        <v>77</v>
      </c>
      <c r="I95" s="77" t="s">
        <v>78</v>
      </c>
      <c r="J95" s="77" t="s">
        <v>79</v>
      </c>
      <c r="K95" s="77" t="s">
        <v>80</v>
      </c>
      <c r="L95" s="77" t="s">
        <v>387</v>
      </c>
      <c r="M95" s="77" t="s">
        <v>82</v>
      </c>
      <c r="N95" s="77" t="s">
        <v>83</v>
      </c>
      <c r="Q95" s="77" t="s">
        <v>188</v>
      </c>
      <c r="T95" s="77" t="s">
        <v>112</v>
      </c>
      <c r="U95" s="77" t="s">
        <v>85</v>
      </c>
      <c r="V95" s="80" t="s">
        <v>95</v>
      </c>
      <c r="X95" s="77" t="s">
        <v>96</v>
      </c>
      <c r="Y95" s="78" t="s">
        <v>88</v>
      </c>
      <c r="AA95" s="77" t="s">
        <v>191</v>
      </c>
      <c r="AB95" s="77" t="s">
        <v>78</v>
      </c>
      <c r="AC95" s="77" t="s">
        <v>90</v>
      </c>
      <c r="AD95" s="77" t="s">
        <v>91</v>
      </c>
      <c r="AE95" s="77" t="s">
        <v>192</v>
      </c>
      <c r="AG95" s="77" t="s">
        <v>112</v>
      </c>
    </row>
    <row r="96" spans="1:33" x14ac:dyDescent="0.3">
      <c r="A96" s="77" t="s">
        <v>388</v>
      </c>
      <c r="B96" s="77" t="s">
        <v>389</v>
      </c>
      <c r="G96" s="77" t="s">
        <v>186</v>
      </c>
      <c r="H96" s="77" t="s">
        <v>77</v>
      </c>
      <c r="I96" s="77" t="s">
        <v>78</v>
      </c>
      <c r="J96" s="77" t="s">
        <v>79</v>
      </c>
      <c r="K96" s="77" t="s">
        <v>80</v>
      </c>
      <c r="L96" s="77" t="s">
        <v>390</v>
      </c>
      <c r="M96" s="77" t="s">
        <v>82</v>
      </c>
      <c r="N96" s="77" t="s">
        <v>83</v>
      </c>
      <c r="Q96" s="77" t="s">
        <v>188</v>
      </c>
      <c r="T96" s="77" t="s">
        <v>112</v>
      </c>
      <c r="U96" s="77" t="s">
        <v>85</v>
      </c>
      <c r="V96" s="80" t="s">
        <v>99</v>
      </c>
      <c r="X96" s="77" t="s">
        <v>100</v>
      </c>
      <c r="Y96" s="78" t="s">
        <v>101</v>
      </c>
      <c r="AA96" s="77" t="s">
        <v>191</v>
      </c>
      <c r="AB96" s="77" t="s">
        <v>78</v>
      </c>
      <c r="AC96" s="77" t="s">
        <v>90</v>
      </c>
      <c r="AD96" s="77" t="s">
        <v>102</v>
      </c>
      <c r="AE96" s="77" t="s">
        <v>192</v>
      </c>
      <c r="AG96" s="77" t="s">
        <v>112</v>
      </c>
    </row>
    <row r="97" spans="1:33" x14ac:dyDescent="0.3">
      <c r="A97" s="77" t="s">
        <v>391</v>
      </c>
      <c r="B97" s="77" t="s">
        <v>392</v>
      </c>
      <c r="G97" s="77" t="s">
        <v>186</v>
      </c>
      <c r="H97" s="77" t="s">
        <v>77</v>
      </c>
      <c r="I97" s="77" t="s">
        <v>78</v>
      </c>
      <c r="J97" s="77" t="s">
        <v>79</v>
      </c>
      <c r="K97" s="77" t="s">
        <v>80</v>
      </c>
      <c r="L97" s="77" t="s">
        <v>393</v>
      </c>
      <c r="M97" s="77" t="s">
        <v>82</v>
      </c>
      <c r="N97" s="77" t="s">
        <v>83</v>
      </c>
      <c r="Q97" s="77" t="s">
        <v>188</v>
      </c>
      <c r="T97" s="77" t="s">
        <v>112</v>
      </c>
      <c r="U97" s="77" t="s">
        <v>85</v>
      </c>
      <c r="V97" s="80" t="s">
        <v>105</v>
      </c>
      <c r="X97" s="77" t="s">
        <v>106</v>
      </c>
      <c r="Y97" s="78" t="s">
        <v>101</v>
      </c>
      <c r="AA97" s="77" t="s">
        <v>191</v>
      </c>
      <c r="AB97" s="77" t="s">
        <v>78</v>
      </c>
      <c r="AC97" s="77" t="s">
        <v>90</v>
      </c>
      <c r="AD97" s="77" t="s">
        <v>102</v>
      </c>
      <c r="AE97" s="77" t="s">
        <v>192</v>
      </c>
      <c r="AG97" s="77" t="s">
        <v>112</v>
      </c>
    </row>
    <row r="98" spans="1:33" x14ac:dyDescent="0.3">
      <c r="A98" s="77" t="s">
        <v>394</v>
      </c>
      <c r="B98" s="77" t="s">
        <v>395</v>
      </c>
      <c r="G98" s="77" t="s">
        <v>186</v>
      </c>
      <c r="H98" s="77" t="s">
        <v>77</v>
      </c>
      <c r="I98" s="77" t="s">
        <v>78</v>
      </c>
      <c r="J98" s="77" t="s">
        <v>79</v>
      </c>
      <c r="K98" s="77" t="s">
        <v>80</v>
      </c>
      <c r="L98" s="77" t="s">
        <v>396</v>
      </c>
      <c r="M98" s="77" t="s">
        <v>82</v>
      </c>
      <c r="N98" s="77" t="s">
        <v>83</v>
      </c>
      <c r="Q98" s="77" t="s">
        <v>188</v>
      </c>
      <c r="T98" s="77" t="s">
        <v>112</v>
      </c>
      <c r="U98" s="77" t="s">
        <v>85</v>
      </c>
      <c r="V98" s="80" t="s">
        <v>86</v>
      </c>
      <c r="X98" s="77" t="s">
        <v>87</v>
      </c>
      <c r="Y98" s="78" t="s">
        <v>88</v>
      </c>
      <c r="AA98" s="77" t="s">
        <v>191</v>
      </c>
      <c r="AB98" s="77" t="s">
        <v>78</v>
      </c>
      <c r="AC98" s="77" t="s">
        <v>90</v>
      </c>
      <c r="AD98" s="77" t="s">
        <v>91</v>
      </c>
      <c r="AE98" s="77" t="s">
        <v>192</v>
      </c>
      <c r="AG98" s="77" t="s">
        <v>112</v>
      </c>
    </row>
    <row r="99" spans="1:33" x14ac:dyDescent="0.3">
      <c r="A99" s="77" t="s">
        <v>397</v>
      </c>
      <c r="B99" s="77" t="s">
        <v>398</v>
      </c>
      <c r="G99" s="77" t="s">
        <v>186</v>
      </c>
      <c r="H99" s="77" t="s">
        <v>77</v>
      </c>
      <c r="I99" s="77" t="s">
        <v>78</v>
      </c>
      <c r="J99" s="77" t="s">
        <v>79</v>
      </c>
      <c r="K99" s="77" t="s">
        <v>80</v>
      </c>
      <c r="L99" s="77" t="s">
        <v>396</v>
      </c>
      <c r="M99" s="77" t="s">
        <v>82</v>
      </c>
      <c r="N99" s="77" t="s">
        <v>83</v>
      </c>
      <c r="Q99" s="77" t="s">
        <v>188</v>
      </c>
      <c r="T99" s="77" t="s">
        <v>112</v>
      </c>
      <c r="U99" s="77" t="s">
        <v>85</v>
      </c>
      <c r="V99" s="80" t="s">
        <v>86</v>
      </c>
      <c r="X99" s="77" t="s">
        <v>87</v>
      </c>
      <c r="Y99" s="78" t="s">
        <v>88</v>
      </c>
      <c r="AA99" s="77" t="s">
        <v>191</v>
      </c>
      <c r="AB99" s="77" t="s">
        <v>78</v>
      </c>
      <c r="AC99" s="77" t="s">
        <v>90</v>
      </c>
      <c r="AD99" s="77" t="s">
        <v>91</v>
      </c>
      <c r="AE99" s="77" t="s">
        <v>192</v>
      </c>
      <c r="AG99" s="77" t="s">
        <v>112</v>
      </c>
    </row>
    <row r="100" spans="1:33" x14ac:dyDescent="0.3">
      <c r="A100" s="77" t="s">
        <v>399</v>
      </c>
      <c r="B100" s="77" t="s">
        <v>400</v>
      </c>
      <c r="G100" s="77" t="s">
        <v>186</v>
      </c>
      <c r="H100" s="77" t="s">
        <v>77</v>
      </c>
      <c r="I100" s="77" t="s">
        <v>78</v>
      </c>
      <c r="J100" s="77" t="s">
        <v>79</v>
      </c>
      <c r="K100" s="77" t="s">
        <v>80</v>
      </c>
      <c r="L100" s="77" t="s">
        <v>396</v>
      </c>
      <c r="M100" s="77" t="s">
        <v>82</v>
      </c>
      <c r="N100" s="77" t="s">
        <v>83</v>
      </c>
      <c r="Q100" s="77" t="s">
        <v>188</v>
      </c>
      <c r="T100" s="77" t="s">
        <v>112</v>
      </c>
      <c r="U100" s="77" t="s">
        <v>85</v>
      </c>
      <c r="V100" s="80" t="s">
        <v>86</v>
      </c>
      <c r="X100" s="77" t="s">
        <v>87</v>
      </c>
      <c r="Y100" s="78" t="s">
        <v>88</v>
      </c>
      <c r="AA100" s="77" t="s">
        <v>191</v>
      </c>
      <c r="AB100" s="77" t="s">
        <v>78</v>
      </c>
      <c r="AC100" s="77" t="s">
        <v>90</v>
      </c>
      <c r="AD100" s="77" t="s">
        <v>91</v>
      </c>
      <c r="AE100" s="77" t="s">
        <v>192</v>
      </c>
      <c r="AG100" s="77" t="s">
        <v>112</v>
      </c>
    </row>
    <row r="101" spans="1:33" x14ac:dyDescent="0.3">
      <c r="A101" s="77" t="s">
        <v>401</v>
      </c>
      <c r="B101" s="77" t="s">
        <v>402</v>
      </c>
      <c r="G101" s="77" t="s">
        <v>186</v>
      </c>
      <c r="H101" s="77" t="s">
        <v>77</v>
      </c>
      <c r="I101" s="77" t="s">
        <v>78</v>
      </c>
      <c r="J101" s="77" t="s">
        <v>79</v>
      </c>
      <c r="K101" s="77" t="s">
        <v>80</v>
      </c>
      <c r="L101" s="77" t="s">
        <v>396</v>
      </c>
      <c r="M101" s="77" t="s">
        <v>82</v>
      </c>
      <c r="N101" s="77" t="s">
        <v>83</v>
      </c>
      <c r="Q101" s="77" t="s">
        <v>188</v>
      </c>
      <c r="T101" s="77" t="s">
        <v>112</v>
      </c>
      <c r="U101" s="77" t="s">
        <v>85</v>
      </c>
      <c r="V101" s="80" t="s">
        <v>86</v>
      </c>
      <c r="X101" s="77" t="s">
        <v>87</v>
      </c>
      <c r="Y101" s="78" t="s">
        <v>88</v>
      </c>
      <c r="AA101" s="77" t="s">
        <v>191</v>
      </c>
      <c r="AB101" s="77" t="s">
        <v>78</v>
      </c>
      <c r="AC101" s="77" t="s">
        <v>90</v>
      </c>
      <c r="AD101" s="77" t="s">
        <v>91</v>
      </c>
      <c r="AE101" s="77" t="s">
        <v>192</v>
      </c>
      <c r="AG101" s="77" t="s">
        <v>112</v>
      </c>
    </row>
    <row r="102" spans="1:33" x14ac:dyDescent="0.3">
      <c r="A102" s="77" t="s">
        <v>403</v>
      </c>
      <c r="B102" s="77" t="s">
        <v>404</v>
      </c>
      <c r="G102" s="77" t="s">
        <v>186</v>
      </c>
      <c r="H102" s="77" t="s">
        <v>77</v>
      </c>
      <c r="I102" s="77" t="s">
        <v>78</v>
      </c>
      <c r="J102" s="77" t="s">
        <v>79</v>
      </c>
      <c r="K102" s="77" t="s">
        <v>80</v>
      </c>
      <c r="L102" s="77" t="s">
        <v>396</v>
      </c>
      <c r="M102" s="77" t="s">
        <v>82</v>
      </c>
      <c r="N102" s="77" t="s">
        <v>83</v>
      </c>
      <c r="Q102" s="77" t="s">
        <v>188</v>
      </c>
      <c r="T102" s="77" t="s">
        <v>112</v>
      </c>
      <c r="U102" s="77" t="s">
        <v>85</v>
      </c>
      <c r="V102" s="80" t="s">
        <v>86</v>
      </c>
      <c r="X102" s="77" t="s">
        <v>87</v>
      </c>
      <c r="Y102" s="78" t="s">
        <v>88</v>
      </c>
      <c r="AA102" s="77" t="s">
        <v>191</v>
      </c>
      <c r="AB102" s="77" t="s">
        <v>78</v>
      </c>
      <c r="AC102" s="77" t="s">
        <v>90</v>
      </c>
      <c r="AD102" s="77" t="s">
        <v>91</v>
      </c>
      <c r="AE102" s="77" t="s">
        <v>192</v>
      </c>
      <c r="AG102" s="77" t="s">
        <v>112</v>
      </c>
    </row>
    <row r="103" spans="1:33" x14ac:dyDescent="0.3">
      <c r="A103" s="77" t="s">
        <v>405</v>
      </c>
      <c r="B103" s="77" t="s">
        <v>406</v>
      </c>
      <c r="G103" s="77" t="s">
        <v>186</v>
      </c>
      <c r="H103" s="77" t="s">
        <v>77</v>
      </c>
      <c r="I103" s="77" t="s">
        <v>78</v>
      </c>
      <c r="J103" s="77" t="s">
        <v>79</v>
      </c>
      <c r="K103" s="77" t="s">
        <v>80</v>
      </c>
      <c r="L103" s="77" t="s">
        <v>396</v>
      </c>
      <c r="M103" s="77" t="s">
        <v>82</v>
      </c>
      <c r="N103" s="77" t="s">
        <v>83</v>
      </c>
      <c r="Q103" s="77" t="s">
        <v>188</v>
      </c>
      <c r="T103" s="77" t="s">
        <v>112</v>
      </c>
      <c r="U103" s="77" t="s">
        <v>85</v>
      </c>
      <c r="V103" s="80" t="s">
        <v>86</v>
      </c>
      <c r="X103" s="77" t="s">
        <v>87</v>
      </c>
      <c r="Y103" s="78" t="s">
        <v>88</v>
      </c>
      <c r="AA103" s="77" t="s">
        <v>191</v>
      </c>
      <c r="AB103" s="77" t="s">
        <v>78</v>
      </c>
      <c r="AC103" s="77" t="s">
        <v>90</v>
      </c>
      <c r="AD103" s="77" t="s">
        <v>91</v>
      </c>
      <c r="AE103" s="77" t="s">
        <v>192</v>
      </c>
      <c r="AG103" s="77" t="s">
        <v>112</v>
      </c>
    </row>
    <row r="104" spans="1:33" x14ac:dyDescent="0.3">
      <c r="A104" s="77" t="s">
        <v>407</v>
      </c>
      <c r="B104" s="77" t="s">
        <v>408</v>
      </c>
      <c r="G104" s="77" t="s">
        <v>186</v>
      </c>
      <c r="H104" s="77" t="s">
        <v>77</v>
      </c>
      <c r="I104" s="77" t="s">
        <v>78</v>
      </c>
      <c r="J104" s="77" t="s">
        <v>79</v>
      </c>
      <c r="K104" s="77" t="s">
        <v>80</v>
      </c>
      <c r="L104" s="77" t="s">
        <v>409</v>
      </c>
      <c r="M104" s="77" t="s">
        <v>82</v>
      </c>
      <c r="N104" s="77" t="s">
        <v>83</v>
      </c>
      <c r="Q104" s="77" t="s">
        <v>188</v>
      </c>
      <c r="T104" s="77" t="s">
        <v>112</v>
      </c>
      <c r="U104" s="77" t="s">
        <v>85</v>
      </c>
      <c r="V104" s="80" t="s">
        <v>86</v>
      </c>
      <c r="X104" s="77" t="s">
        <v>87</v>
      </c>
      <c r="Y104" s="78" t="s">
        <v>88</v>
      </c>
      <c r="AA104" s="77" t="s">
        <v>191</v>
      </c>
      <c r="AB104" s="77" t="s">
        <v>78</v>
      </c>
      <c r="AC104" s="77" t="s">
        <v>90</v>
      </c>
      <c r="AD104" s="77" t="s">
        <v>91</v>
      </c>
      <c r="AE104" s="77" t="s">
        <v>192</v>
      </c>
      <c r="AG104" s="77" t="s">
        <v>112</v>
      </c>
    </row>
    <row r="105" spans="1:33" x14ac:dyDescent="0.3">
      <c r="A105" s="77" t="s">
        <v>410</v>
      </c>
      <c r="B105" s="77" t="s">
        <v>411</v>
      </c>
      <c r="G105" s="77" t="s">
        <v>186</v>
      </c>
      <c r="H105" s="77" t="s">
        <v>77</v>
      </c>
      <c r="I105" s="77" t="s">
        <v>78</v>
      </c>
      <c r="J105" s="77" t="s">
        <v>79</v>
      </c>
      <c r="K105" s="77" t="s">
        <v>80</v>
      </c>
      <c r="L105" s="77" t="s">
        <v>409</v>
      </c>
      <c r="M105" s="77" t="s">
        <v>82</v>
      </c>
      <c r="N105" s="77" t="s">
        <v>83</v>
      </c>
      <c r="Q105" s="77" t="s">
        <v>188</v>
      </c>
      <c r="T105" s="77" t="s">
        <v>112</v>
      </c>
      <c r="U105" s="77" t="s">
        <v>85</v>
      </c>
      <c r="V105" s="80" t="s">
        <v>86</v>
      </c>
      <c r="X105" s="77" t="s">
        <v>87</v>
      </c>
      <c r="Y105" s="78" t="s">
        <v>88</v>
      </c>
      <c r="AA105" s="77" t="s">
        <v>191</v>
      </c>
      <c r="AB105" s="77" t="s">
        <v>78</v>
      </c>
      <c r="AC105" s="77" t="s">
        <v>90</v>
      </c>
      <c r="AD105" s="77" t="s">
        <v>91</v>
      </c>
      <c r="AE105" s="77" t="s">
        <v>192</v>
      </c>
      <c r="AG105" s="77" t="s">
        <v>112</v>
      </c>
    </row>
    <row r="106" spans="1:33" x14ac:dyDescent="0.3">
      <c r="A106" s="77" t="s">
        <v>412</v>
      </c>
      <c r="B106" s="77" t="s">
        <v>413</v>
      </c>
      <c r="G106" s="77" t="s">
        <v>186</v>
      </c>
      <c r="H106" s="77" t="s">
        <v>77</v>
      </c>
      <c r="I106" s="77" t="s">
        <v>78</v>
      </c>
      <c r="J106" s="77" t="s">
        <v>79</v>
      </c>
      <c r="K106" s="77" t="s">
        <v>80</v>
      </c>
      <c r="L106" s="77" t="s">
        <v>409</v>
      </c>
      <c r="M106" s="77" t="s">
        <v>82</v>
      </c>
      <c r="N106" s="77" t="s">
        <v>83</v>
      </c>
      <c r="Q106" s="77" t="s">
        <v>188</v>
      </c>
      <c r="T106" s="77" t="s">
        <v>112</v>
      </c>
      <c r="U106" s="77" t="s">
        <v>85</v>
      </c>
      <c r="V106" s="80" t="s">
        <v>86</v>
      </c>
      <c r="X106" s="77" t="s">
        <v>87</v>
      </c>
      <c r="Y106" s="78" t="s">
        <v>88</v>
      </c>
      <c r="AA106" s="77" t="s">
        <v>191</v>
      </c>
      <c r="AB106" s="77" t="s">
        <v>78</v>
      </c>
      <c r="AC106" s="77" t="s">
        <v>90</v>
      </c>
      <c r="AD106" s="77" t="s">
        <v>91</v>
      </c>
      <c r="AE106" s="77" t="s">
        <v>192</v>
      </c>
      <c r="AG106" s="77" t="s">
        <v>112</v>
      </c>
    </row>
    <row r="107" spans="1:33" x14ac:dyDescent="0.3">
      <c r="A107" s="77" t="s">
        <v>414</v>
      </c>
      <c r="B107" s="77" t="s">
        <v>415</v>
      </c>
      <c r="G107" s="77" t="s">
        <v>186</v>
      </c>
      <c r="H107" s="77" t="s">
        <v>77</v>
      </c>
      <c r="I107" s="77" t="s">
        <v>78</v>
      </c>
      <c r="J107" s="77" t="s">
        <v>79</v>
      </c>
      <c r="K107" s="77" t="s">
        <v>80</v>
      </c>
      <c r="L107" s="77" t="s">
        <v>409</v>
      </c>
      <c r="M107" s="77" t="s">
        <v>82</v>
      </c>
      <c r="N107" s="77" t="s">
        <v>83</v>
      </c>
      <c r="Q107" s="77" t="s">
        <v>188</v>
      </c>
      <c r="T107" s="77" t="s">
        <v>112</v>
      </c>
      <c r="U107" s="77" t="s">
        <v>85</v>
      </c>
      <c r="V107" s="80" t="s">
        <v>86</v>
      </c>
      <c r="X107" s="77" t="s">
        <v>87</v>
      </c>
      <c r="Y107" s="78" t="s">
        <v>88</v>
      </c>
      <c r="AA107" s="77" t="s">
        <v>191</v>
      </c>
      <c r="AB107" s="77" t="s">
        <v>78</v>
      </c>
      <c r="AC107" s="77" t="s">
        <v>90</v>
      </c>
      <c r="AD107" s="77" t="s">
        <v>91</v>
      </c>
      <c r="AE107" s="77" t="s">
        <v>192</v>
      </c>
      <c r="AG107" s="77" t="s">
        <v>112</v>
      </c>
    </row>
    <row r="108" spans="1:33" x14ac:dyDescent="0.3">
      <c r="A108" s="77" t="s">
        <v>416</v>
      </c>
      <c r="B108" s="77" t="s">
        <v>417</v>
      </c>
      <c r="G108" s="77" t="s">
        <v>186</v>
      </c>
      <c r="H108" s="77" t="s">
        <v>77</v>
      </c>
      <c r="I108" s="77" t="s">
        <v>78</v>
      </c>
      <c r="J108" s="77" t="s">
        <v>79</v>
      </c>
      <c r="K108" s="77" t="s">
        <v>80</v>
      </c>
      <c r="L108" s="77" t="s">
        <v>409</v>
      </c>
      <c r="M108" s="77" t="s">
        <v>82</v>
      </c>
      <c r="N108" s="77" t="s">
        <v>83</v>
      </c>
      <c r="Q108" s="77" t="s">
        <v>188</v>
      </c>
      <c r="T108" s="77" t="s">
        <v>112</v>
      </c>
      <c r="U108" s="77" t="s">
        <v>85</v>
      </c>
      <c r="V108" s="80" t="s">
        <v>86</v>
      </c>
      <c r="X108" s="77" t="s">
        <v>87</v>
      </c>
      <c r="Y108" s="78" t="s">
        <v>88</v>
      </c>
      <c r="AA108" s="77" t="s">
        <v>191</v>
      </c>
      <c r="AB108" s="77" t="s">
        <v>78</v>
      </c>
      <c r="AC108" s="77" t="s">
        <v>90</v>
      </c>
      <c r="AD108" s="77" t="s">
        <v>91</v>
      </c>
      <c r="AE108" s="77" t="s">
        <v>192</v>
      </c>
      <c r="AG108" s="77" t="s">
        <v>112</v>
      </c>
    </row>
    <row r="109" spans="1:33" x14ac:dyDescent="0.3">
      <c r="A109" s="77" t="s">
        <v>418</v>
      </c>
      <c r="B109" s="77" t="s">
        <v>419</v>
      </c>
      <c r="G109" s="77" t="s">
        <v>186</v>
      </c>
      <c r="H109" s="77" t="s">
        <v>77</v>
      </c>
      <c r="I109" s="77" t="s">
        <v>78</v>
      </c>
      <c r="J109" s="77" t="s">
        <v>79</v>
      </c>
      <c r="K109" s="77" t="s">
        <v>80</v>
      </c>
      <c r="L109" s="77" t="s">
        <v>409</v>
      </c>
      <c r="M109" s="77" t="s">
        <v>82</v>
      </c>
      <c r="N109" s="77" t="s">
        <v>83</v>
      </c>
      <c r="Q109" s="77" t="s">
        <v>188</v>
      </c>
      <c r="T109" s="77" t="s">
        <v>112</v>
      </c>
      <c r="U109" s="77" t="s">
        <v>85</v>
      </c>
      <c r="V109" s="80" t="s">
        <v>86</v>
      </c>
      <c r="X109" s="77" t="s">
        <v>87</v>
      </c>
      <c r="Y109" s="78" t="s">
        <v>88</v>
      </c>
      <c r="AA109" s="77" t="s">
        <v>191</v>
      </c>
      <c r="AB109" s="77" t="s">
        <v>78</v>
      </c>
      <c r="AC109" s="77" t="s">
        <v>90</v>
      </c>
      <c r="AD109" s="77" t="s">
        <v>91</v>
      </c>
      <c r="AE109" s="77" t="s">
        <v>192</v>
      </c>
      <c r="AG109" s="77" t="s">
        <v>112</v>
      </c>
    </row>
    <row r="110" spans="1:33" x14ac:dyDescent="0.3">
      <c r="A110" s="77" t="s">
        <v>420</v>
      </c>
      <c r="B110" s="77" t="s">
        <v>421</v>
      </c>
      <c r="G110" s="77" t="s">
        <v>186</v>
      </c>
      <c r="H110" s="77" t="s">
        <v>77</v>
      </c>
      <c r="I110" s="77" t="s">
        <v>78</v>
      </c>
      <c r="J110" s="77" t="s">
        <v>79</v>
      </c>
      <c r="K110" s="77" t="s">
        <v>80</v>
      </c>
      <c r="L110" s="77" t="s">
        <v>422</v>
      </c>
      <c r="M110" s="77" t="s">
        <v>82</v>
      </c>
      <c r="N110" s="77" t="s">
        <v>83</v>
      </c>
      <c r="Q110" s="77" t="s">
        <v>188</v>
      </c>
      <c r="T110" s="77" t="s">
        <v>112</v>
      </c>
      <c r="U110" s="77" t="s">
        <v>85</v>
      </c>
      <c r="V110" s="80" t="s">
        <v>95</v>
      </c>
      <c r="X110" s="77" t="s">
        <v>96</v>
      </c>
      <c r="Y110" s="78" t="s">
        <v>88</v>
      </c>
      <c r="AA110" s="77" t="s">
        <v>191</v>
      </c>
      <c r="AB110" s="77" t="s">
        <v>78</v>
      </c>
      <c r="AC110" s="77" t="s">
        <v>90</v>
      </c>
      <c r="AD110" s="77" t="s">
        <v>91</v>
      </c>
      <c r="AE110" s="77" t="s">
        <v>192</v>
      </c>
      <c r="AG110" s="77" t="s">
        <v>112</v>
      </c>
    </row>
    <row r="111" spans="1:33" x14ac:dyDescent="0.3">
      <c r="A111" s="77" t="s">
        <v>423</v>
      </c>
      <c r="B111" s="77" t="s">
        <v>424</v>
      </c>
      <c r="G111" s="77" t="s">
        <v>186</v>
      </c>
      <c r="H111" s="77" t="s">
        <v>77</v>
      </c>
      <c r="I111" s="77" t="s">
        <v>78</v>
      </c>
      <c r="J111" s="77" t="s">
        <v>79</v>
      </c>
      <c r="K111" s="77" t="s">
        <v>80</v>
      </c>
      <c r="L111" s="77" t="s">
        <v>422</v>
      </c>
      <c r="M111" s="77" t="s">
        <v>82</v>
      </c>
      <c r="N111" s="77" t="s">
        <v>83</v>
      </c>
      <c r="Q111" s="77" t="s">
        <v>188</v>
      </c>
      <c r="T111" s="77" t="s">
        <v>112</v>
      </c>
      <c r="U111" s="77" t="s">
        <v>85</v>
      </c>
      <c r="V111" s="80" t="s">
        <v>95</v>
      </c>
      <c r="X111" s="77" t="s">
        <v>96</v>
      </c>
      <c r="Y111" s="78" t="s">
        <v>88</v>
      </c>
      <c r="AA111" s="77" t="s">
        <v>191</v>
      </c>
      <c r="AB111" s="77" t="s">
        <v>78</v>
      </c>
      <c r="AC111" s="77" t="s">
        <v>90</v>
      </c>
      <c r="AD111" s="77" t="s">
        <v>91</v>
      </c>
      <c r="AE111" s="77" t="s">
        <v>192</v>
      </c>
      <c r="AG111" s="77" t="s">
        <v>112</v>
      </c>
    </row>
    <row r="112" spans="1:33" x14ac:dyDescent="0.3">
      <c r="A112" s="77" t="s">
        <v>425</v>
      </c>
      <c r="B112" s="77" t="s">
        <v>426</v>
      </c>
      <c r="G112" s="77" t="s">
        <v>186</v>
      </c>
      <c r="H112" s="77" t="s">
        <v>77</v>
      </c>
      <c r="I112" s="77" t="s">
        <v>78</v>
      </c>
      <c r="J112" s="77" t="s">
        <v>79</v>
      </c>
      <c r="K112" s="77" t="s">
        <v>80</v>
      </c>
      <c r="L112" s="77" t="s">
        <v>422</v>
      </c>
      <c r="M112" s="77" t="s">
        <v>82</v>
      </c>
      <c r="N112" s="77" t="s">
        <v>83</v>
      </c>
      <c r="Q112" s="77" t="s">
        <v>188</v>
      </c>
      <c r="T112" s="77" t="s">
        <v>112</v>
      </c>
      <c r="U112" s="77" t="s">
        <v>85</v>
      </c>
      <c r="V112" s="80" t="s">
        <v>95</v>
      </c>
      <c r="X112" s="77" t="s">
        <v>96</v>
      </c>
      <c r="Y112" s="78" t="s">
        <v>88</v>
      </c>
      <c r="AA112" s="77" t="s">
        <v>191</v>
      </c>
      <c r="AB112" s="77" t="s">
        <v>78</v>
      </c>
      <c r="AC112" s="77" t="s">
        <v>90</v>
      </c>
      <c r="AD112" s="77" t="s">
        <v>91</v>
      </c>
      <c r="AE112" s="77" t="s">
        <v>192</v>
      </c>
      <c r="AG112" s="77" t="s">
        <v>112</v>
      </c>
    </row>
    <row r="113" spans="1:33" x14ac:dyDescent="0.3">
      <c r="A113" s="77" t="s">
        <v>427</v>
      </c>
      <c r="B113" s="77" t="s">
        <v>428</v>
      </c>
      <c r="G113" s="77" t="s">
        <v>186</v>
      </c>
      <c r="H113" s="77" t="s">
        <v>77</v>
      </c>
      <c r="I113" s="77" t="s">
        <v>78</v>
      </c>
      <c r="J113" s="77" t="s">
        <v>79</v>
      </c>
      <c r="K113" s="77" t="s">
        <v>80</v>
      </c>
      <c r="L113" s="77" t="s">
        <v>422</v>
      </c>
      <c r="M113" s="77" t="s">
        <v>82</v>
      </c>
      <c r="N113" s="77" t="s">
        <v>83</v>
      </c>
      <c r="Q113" s="77" t="s">
        <v>188</v>
      </c>
      <c r="T113" s="77" t="s">
        <v>112</v>
      </c>
      <c r="U113" s="77" t="s">
        <v>85</v>
      </c>
      <c r="V113" s="80" t="s">
        <v>95</v>
      </c>
      <c r="X113" s="77" t="s">
        <v>96</v>
      </c>
      <c r="Y113" s="78" t="s">
        <v>88</v>
      </c>
      <c r="AA113" s="77" t="s">
        <v>191</v>
      </c>
      <c r="AB113" s="77" t="s">
        <v>78</v>
      </c>
      <c r="AC113" s="77" t="s">
        <v>90</v>
      </c>
      <c r="AD113" s="77" t="s">
        <v>91</v>
      </c>
      <c r="AE113" s="77" t="s">
        <v>192</v>
      </c>
      <c r="AG113" s="77" t="s">
        <v>112</v>
      </c>
    </row>
    <row r="114" spans="1:33" x14ac:dyDescent="0.3">
      <c r="A114" s="77" t="s">
        <v>429</v>
      </c>
      <c r="B114" s="77" t="s">
        <v>430</v>
      </c>
      <c r="G114" s="77" t="s">
        <v>186</v>
      </c>
      <c r="H114" s="77" t="s">
        <v>77</v>
      </c>
      <c r="I114" s="77" t="s">
        <v>78</v>
      </c>
      <c r="J114" s="77" t="s">
        <v>79</v>
      </c>
      <c r="K114" s="77" t="s">
        <v>80</v>
      </c>
      <c r="L114" s="77" t="s">
        <v>422</v>
      </c>
      <c r="M114" s="77" t="s">
        <v>82</v>
      </c>
      <c r="N114" s="77" t="s">
        <v>83</v>
      </c>
      <c r="Q114" s="77" t="s">
        <v>188</v>
      </c>
      <c r="T114" s="77" t="s">
        <v>112</v>
      </c>
      <c r="U114" s="77" t="s">
        <v>85</v>
      </c>
      <c r="V114" s="80" t="s">
        <v>95</v>
      </c>
      <c r="X114" s="77" t="s">
        <v>96</v>
      </c>
      <c r="Y114" s="78" t="s">
        <v>88</v>
      </c>
      <c r="AA114" s="77" t="s">
        <v>191</v>
      </c>
      <c r="AB114" s="77" t="s">
        <v>78</v>
      </c>
      <c r="AC114" s="77" t="s">
        <v>90</v>
      </c>
      <c r="AD114" s="77" t="s">
        <v>91</v>
      </c>
      <c r="AE114" s="77" t="s">
        <v>192</v>
      </c>
      <c r="AG114" s="77" t="s">
        <v>112</v>
      </c>
    </row>
    <row r="115" spans="1:33" x14ac:dyDescent="0.3">
      <c r="A115" s="77" t="s">
        <v>431</v>
      </c>
      <c r="B115" s="77" t="s">
        <v>432</v>
      </c>
      <c r="G115" s="77" t="s">
        <v>186</v>
      </c>
      <c r="H115" s="77" t="s">
        <v>77</v>
      </c>
      <c r="I115" s="77" t="s">
        <v>78</v>
      </c>
      <c r="J115" s="77" t="s">
        <v>79</v>
      </c>
      <c r="K115" s="77" t="s">
        <v>80</v>
      </c>
      <c r="L115" s="77" t="s">
        <v>422</v>
      </c>
      <c r="M115" s="77" t="s">
        <v>82</v>
      </c>
      <c r="N115" s="77" t="s">
        <v>83</v>
      </c>
      <c r="Q115" s="77" t="s">
        <v>188</v>
      </c>
      <c r="T115" s="77" t="s">
        <v>112</v>
      </c>
      <c r="U115" s="77" t="s">
        <v>85</v>
      </c>
      <c r="V115" s="80" t="s">
        <v>95</v>
      </c>
      <c r="X115" s="77" t="s">
        <v>96</v>
      </c>
      <c r="Y115" s="78" t="s">
        <v>88</v>
      </c>
      <c r="AA115" s="77" t="s">
        <v>191</v>
      </c>
      <c r="AB115" s="77" t="s">
        <v>78</v>
      </c>
      <c r="AC115" s="77" t="s">
        <v>90</v>
      </c>
      <c r="AD115" s="77" t="s">
        <v>91</v>
      </c>
      <c r="AE115" s="77" t="s">
        <v>192</v>
      </c>
      <c r="AG115" s="77" t="s">
        <v>112</v>
      </c>
    </row>
    <row r="116" spans="1:33" x14ac:dyDescent="0.3">
      <c r="A116" s="77" t="s">
        <v>433</v>
      </c>
      <c r="B116" s="77" t="s">
        <v>434</v>
      </c>
      <c r="G116" s="77" t="s">
        <v>186</v>
      </c>
      <c r="H116" s="77" t="s">
        <v>77</v>
      </c>
      <c r="I116" s="77" t="s">
        <v>78</v>
      </c>
      <c r="J116" s="77" t="s">
        <v>79</v>
      </c>
      <c r="K116" s="77" t="s">
        <v>80</v>
      </c>
      <c r="L116" s="77" t="s">
        <v>435</v>
      </c>
      <c r="M116" s="77" t="s">
        <v>82</v>
      </c>
      <c r="N116" s="77" t="s">
        <v>83</v>
      </c>
      <c r="Q116" s="77" t="s">
        <v>188</v>
      </c>
      <c r="T116" s="77" t="s">
        <v>112</v>
      </c>
      <c r="U116" s="77" t="s">
        <v>85</v>
      </c>
      <c r="V116" s="80" t="s">
        <v>95</v>
      </c>
      <c r="X116" s="77" t="s">
        <v>96</v>
      </c>
      <c r="Y116" s="78" t="s">
        <v>88</v>
      </c>
      <c r="AA116" s="77" t="s">
        <v>191</v>
      </c>
      <c r="AB116" s="77" t="s">
        <v>78</v>
      </c>
      <c r="AC116" s="77" t="s">
        <v>90</v>
      </c>
      <c r="AD116" s="77" t="s">
        <v>91</v>
      </c>
      <c r="AE116" s="77" t="s">
        <v>192</v>
      </c>
      <c r="AG116" s="77" t="s">
        <v>112</v>
      </c>
    </row>
    <row r="117" spans="1:33" x14ac:dyDescent="0.3">
      <c r="A117" s="77" t="s">
        <v>436</v>
      </c>
      <c r="B117" s="77" t="s">
        <v>437</v>
      </c>
      <c r="G117" s="77" t="s">
        <v>186</v>
      </c>
      <c r="H117" s="77" t="s">
        <v>77</v>
      </c>
      <c r="I117" s="77" t="s">
        <v>78</v>
      </c>
      <c r="J117" s="77" t="s">
        <v>79</v>
      </c>
      <c r="K117" s="77" t="s">
        <v>80</v>
      </c>
      <c r="L117" s="77" t="s">
        <v>435</v>
      </c>
      <c r="M117" s="77" t="s">
        <v>82</v>
      </c>
      <c r="N117" s="77" t="s">
        <v>83</v>
      </c>
      <c r="Q117" s="77" t="s">
        <v>188</v>
      </c>
      <c r="T117" s="77" t="s">
        <v>112</v>
      </c>
      <c r="U117" s="77" t="s">
        <v>85</v>
      </c>
      <c r="V117" s="80" t="s">
        <v>95</v>
      </c>
      <c r="X117" s="77" t="s">
        <v>96</v>
      </c>
      <c r="Y117" s="78" t="s">
        <v>88</v>
      </c>
      <c r="AA117" s="77" t="s">
        <v>191</v>
      </c>
      <c r="AB117" s="77" t="s">
        <v>78</v>
      </c>
      <c r="AC117" s="77" t="s">
        <v>90</v>
      </c>
      <c r="AD117" s="77" t="s">
        <v>91</v>
      </c>
      <c r="AE117" s="77" t="s">
        <v>192</v>
      </c>
      <c r="AG117" s="77" t="s">
        <v>112</v>
      </c>
    </row>
    <row r="118" spans="1:33" x14ac:dyDescent="0.3">
      <c r="A118" s="77" t="s">
        <v>438</v>
      </c>
      <c r="B118" s="77" t="s">
        <v>439</v>
      </c>
      <c r="G118" s="77" t="s">
        <v>186</v>
      </c>
      <c r="H118" s="77" t="s">
        <v>77</v>
      </c>
      <c r="I118" s="77" t="s">
        <v>78</v>
      </c>
      <c r="J118" s="77" t="s">
        <v>79</v>
      </c>
      <c r="K118" s="77" t="s">
        <v>80</v>
      </c>
      <c r="L118" s="77" t="s">
        <v>435</v>
      </c>
      <c r="M118" s="77" t="s">
        <v>82</v>
      </c>
      <c r="N118" s="77" t="s">
        <v>83</v>
      </c>
      <c r="Q118" s="77" t="s">
        <v>188</v>
      </c>
      <c r="T118" s="77" t="s">
        <v>112</v>
      </c>
      <c r="U118" s="77" t="s">
        <v>85</v>
      </c>
      <c r="V118" s="80" t="s">
        <v>95</v>
      </c>
      <c r="X118" s="77" t="s">
        <v>96</v>
      </c>
      <c r="Y118" s="78" t="s">
        <v>88</v>
      </c>
      <c r="AA118" s="77" t="s">
        <v>191</v>
      </c>
      <c r="AB118" s="77" t="s">
        <v>78</v>
      </c>
      <c r="AC118" s="77" t="s">
        <v>90</v>
      </c>
      <c r="AD118" s="77" t="s">
        <v>91</v>
      </c>
      <c r="AE118" s="77" t="s">
        <v>192</v>
      </c>
      <c r="AG118" s="77" t="s">
        <v>112</v>
      </c>
    </row>
    <row r="119" spans="1:33" x14ac:dyDescent="0.3">
      <c r="A119" s="77" t="s">
        <v>440</v>
      </c>
      <c r="B119" s="77" t="s">
        <v>441</v>
      </c>
      <c r="G119" s="77" t="s">
        <v>186</v>
      </c>
      <c r="H119" s="77" t="s">
        <v>77</v>
      </c>
      <c r="I119" s="77" t="s">
        <v>78</v>
      </c>
      <c r="J119" s="77" t="s">
        <v>79</v>
      </c>
      <c r="K119" s="77" t="s">
        <v>80</v>
      </c>
      <c r="L119" s="77" t="s">
        <v>435</v>
      </c>
      <c r="M119" s="77" t="s">
        <v>82</v>
      </c>
      <c r="N119" s="77" t="s">
        <v>83</v>
      </c>
      <c r="Q119" s="77" t="s">
        <v>188</v>
      </c>
      <c r="T119" s="77" t="s">
        <v>112</v>
      </c>
      <c r="U119" s="77" t="s">
        <v>85</v>
      </c>
      <c r="V119" s="80" t="s">
        <v>95</v>
      </c>
      <c r="X119" s="77" t="s">
        <v>96</v>
      </c>
      <c r="Y119" s="78" t="s">
        <v>88</v>
      </c>
      <c r="AA119" s="77" t="s">
        <v>191</v>
      </c>
      <c r="AB119" s="77" t="s">
        <v>78</v>
      </c>
      <c r="AC119" s="77" t="s">
        <v>90</v>
      </c>
      <c r="AD119" s="77" t="s">
        <v>91</v>
      </c>
      <c r="AE119" s="77" t="s">
        <v>192</v>
      </c>
      <c r="AG119" s="77" t="s">
        <v>112</v>
      </c>
    </row>
    <row r="120" spans="1:33" x14ac:dyDescent="0.3">
      <c r="A120" s="77" t="s">
        <v>442</v>
      </c>
      <c r="B120" s="77" t="s">
        <v>443</v>
      </c>
      <c r="G120" s="77" t="s">
        <v>186</v>
      </c>
      <c r="H120" s="77" t="s">
        <v>77</v>
      </c>
      <c r="I120" s="77" t="s">
        <v>78</v>
      </c>
      <c r="J120" s="77" t="s">
        <v>79</v>
      </c>
      <c r="K120" s="77" t="s">
        <v>80</v>
      </c>
      <c r="L120" s="77" t="s">
        <v>435</v>
      </c>
      <c r="M120" s="77" t="s">
        <v>82</v>
      </c>
      <c r="N120" s="77" t="s">
        <v>83</v>
      </c>
      <c r="Q120" s="77" t="s">
        <v>188</v>
      </c>
      <c r="T120" s="77" t="s">
        <v>112</v>
      </c>
      <c r="U120" s="77" t="s">
        <v>85</v>
      </c>
      <c r="V120" s="80" t="s">
        <v>95</v>
      </c>
      <c r="X120" s="77" t="s">
        <v>96</v>
      </c>
      <c r="Y120" s="78" t="s">
        <v>88</v>
      </c>
      <c r="AA120" s="77" t="s">
        <v>191</v>
      </c>
      <c r="AB120" s="77" t="s">
        <v>78</v>
      </c>
      <c r="AC120" s="77" t="s">
        <v>90</v>
      </c>
      <c r="AD120" s="77" t="s">
        <v>91</v>
      </c>
      <c r="AE120" s="77" t="s">
        <v>192</v>
      </c>
      <c r="AG120" s="77" t="s">
        <v>112</v>
      </c>
    </row>
    <row r="121" spans="1:33" x14ac:dyDescent="0.3">
      <c r="A121" s="77" t="s">
        <v>444</v>
      </c>
      <c r="B121" s="77" t="s">
        <v>445</v>
      </c>
      <c r="G121" s="77" t="s">
        <v>186</v>
      </c>
      <c r="H121" s="77" t="s">
        <v>77</v>
      </c>
      <c r="I121" s="77" t="s">
        <v>78</v>
      </c>
      <c r="J121" s="77" t="s">
        <v>79</v>
      </c>
      <c r="K121" s="77" t="s">
        <v>80</v>
      </c>
      <c r="L121" s="77" t="s">
        <v>435</v>
      </c>
      <c r="M121" s="77" t="s">
        <v>82</v>
      </c>
      <c r="N121" s="77" t="s">
        <v>83</v>
      </c>
      <c r="Q121" s="77" t="s">
        <v>188</v>
      </c>
      <c r="T121" s="77" t="s">
        <v>112</v>
      </c>
      <c r="U121" s="77" t="s">
        <v>85</v>
      </c>
      <c r="V121" s="80" t="s">
        <v>95</v>
      </c>
      <c r="X121" s="77" t="s">
        <v>96</v>
      </c>
      <c r="Y121" s="78" t="s">
        <v>88</v>
      </c>
      <c r="AA121" s="77" t="s">
        <v>191</v>
      </c>
      <c r="AB121" s="77" t="s">
        <v>78</v>
      </c>
      <c r="AC121" s="77" t="s">
        <v>90</v>
      </c>
      <c r="AD121" s="77" t="s">
        <v>91</v>
      </c>
      <c r="AE121" s="77" t="s">
        <v>192</v>
      </c>
      <c r="AG121" s="77" t="s">
        <v>112</v>
      </c>
    </row>
    <row r="122" spans="1:33" x14ac:dyDescent="0.3">
      <c r="A122" s="77" t="s">
        <v>446</v>
      </c>
      <c r="B122" s="77" t="s">
        <v>447</v>
      </c>
      <c r="G122" s="77" t="s">
        <v>186</v>
      </c>
      <c r="H122" s="77" t="s">
        <v>77</v>
      </c>
      <c r="I122" s="77" t="s">
        <v>78</v>
      </c>
      <c r="J122" s="77" t="s">
        <v>79</v>
      </c>
      <c r="K122" s="77" t="s">
        <v>80</v>
      </c>
      <c r="L122" s="77" t="s">
        <v>448</v>
      </c>
      <c r="M122" s="77" t="s">
        <v>82</v>
      </c>
      <c r="N122" s="77" t="s">
        <v>83</v>
      </c>
      <c r="Q122" s="77" t="s">
        <v>188</v>
      </c>
      <c r="T122" s="77" t="s">
        <v>112</v>
      </c>
      <c r="U122" s="77" t="s">
        <v>85</v>
      </c>
      <c r="V122" s="80" t="s">
        <v>99</v>
      </c>
      <c r="X122" s="77" t="s">
        <v>100</v>
      </c>
      <c r="Y122" s="78" t="s">
        <v>101</v>
      </c>
      <c r="AA122" s="77" t="s">
        <v>191</v>
      </c>
      <c r="AB122" s="77" t="s">
        <v>78</v>
      </c>
      <c r="AC122" s="77" t="s">
        <v>90</v>
      </c>
      <c r="AD122" s="77" t="s">
        <v>102</v>
      </c>
      <c r="AE122" s="77" t="s">
        <v>192</v>
      </c>
      <c r="AG122" s="77" t="s">
        <v>112</v>
      </c>
    </row>
    <row r="123" spans="1:33" x14ac:dyDescent="0.3">
      <c r="A123" s="77" t="s">
        <v>449</v>
      </c>
      <c r="B123" s="77" t="s">
        <v>450</v>
      </c>
      <c r="G123" s="77" t="s">
        <v>186</v>
      </c>
      <c r="H123" s="77" t="s">
        <v>77</v>
      </c>
      <c r="I123" s="77" t="s">
        <v>78</v>
      </c>
      <c r="J123" s="77" t="s">
        <v>79</v>
      </c>
      <c r="K123" s="77" t="s">
        <v>80</v>
      </c>
      <c r="L123" s="77" t="s">
        <v>448</v>
      </c>
      <c r="M123" s="77" t="s">
        <v>82</v>
      </c>
      <c r="N123" s="77" t="s">
        <v>83</v>
      </c>
      <c r="Q123" s="77" t="s">
        <v>188</v>
      </c>
      <c r="T123" s="77" t="s">
        <v>112</v>
      </c>
      <c r="U123" s="77" t="s">
        <v>85</v>
      </c>
      <c r="V123" s="80" t="s">
        <v>99</v>
      </c>
      <c r="X123" s="77" t="s">
        <v>100</v>
      </c>
      <c r="Y123" s="78" t="s">
        <v>101</v>
      </c>
      <c r="AA123" s="77" t="s">
        <v>191</v>
      </c>
      <c r="AB123" s="77" t="s">
        <v>78</v>
      </c>
      <c r="AC123" s="77" t="s">
        <v>90</v>
      </c>
      <c r="AD123" s="77" t="s">
        <v>102</v>
      </c>
      <c r="AE123" s="77" t="s">
        <v>192</v>
      </c>
      <c r="AG123" s="77" t="s">
        <v>112</v>
      </c>
    </row>
    <row r="124" spans="1:33" x14ac:dyDescent="0.3">
      <c r="A124" s="77" t="s">
        <v>451</v>
      </c>
      <c r="B124" s="77" t="s">
        <v>452</v>
      </c>
      <c r="G124" s="77" t="s">
        <v>186</v>
      </c>
      <c r="H124" s="77" t="s">
        <v>77</v>
      </c>
      <c r="I124" s="77" t="s">
        <v>78</v>
      </c>
      <c r="J124" s="77" t="s">
        <v>79</v>
      </c>
      <c r="K124" s="77" t="s">
        <v>80</v>
      </c>
      <c r="L124" s="77" t="s">
        <v>448</v>
      </c>
      <c r="M124" s="77" t="s">
        <v>82</v>
      </c>
      <c r="N124" s="77" t="s">
        <v>83</v>
      </c>
      <c r="Q124" s="77" t="s">
        <v>188</v>
      </c>
      <c r="T124" s="77" t="s">
        <v>112</v>
      </c>
      <c r="U124" s="77" t="s">
        <v>85</v>
      </c>
      <c r="V124" s="80" t="s">
        <v>99</v>
      </c>
      <c r="X124" s="77" t="s">
        <v>100</v>
      </c>
      <c r="Y124" s="78" t="s">
        <v>101</v>
      </c>
      <c r="AA124" s="77" t="s">
        <v>191</v>
      </c>
      <c r="AB124" s="77" t="s">
        <v>78</v>
      </c>
      <c r="AC124" s="77" t="s">
        <v>90</v>
      </c>
      <c r="AD124" s="77" t="s">
        <v>102</v>
      </c>
      <c r="AE124" s="77" t="s">
        <v>192</v>
      </c>
      <c r="AG124" s="77" t="s">
        <v>112</v>
      </c>
    </row>
    <row r="125" spans="1:33" x14ac:dyDescent="0.3">
      <c r="A125" s="77" t="s">
        <v>453</v>
      </c>
      <c r="B125" s="77" t="s">
        <v>454</v>
      </c>
      <c r="G125" s="77" t="s">
        <v>186</v>
      </c>
      <c r="H125" s="77" t="s">
        <v>77</v>
      </c>
      <c r="I125" s="77" t="s">
        <v>78</v>
      </c>
      <c r="J125" s="77" t="s">
        <v>79</v>
      </c>
      <c r="K125" s="77" t="s">
        <v>80</v>
      </c>
      <c r="L125" s="77" t="s">
        <v>448</v>
      </c>
      <c r="M125" s="77" t="s">
        <v>82</v>
      </c>
      <c r="N125" s="77" t="s">
        <v>83</v>
      </c>
      <c r="Q125" s="77" t="s">
        <v>188</v>
      </c>
      <c r="T125" s="77" t="s">
        <v>112</v>
      </c>
      <c r="U125" s="77" t="s">
        <v>85</v>
      </c>
      <c r="V125" s="80" t="s">
        <v>99</v>
      </c>
      <c r="X125" s="77" t="s">
        <v>100</v>
      </c>
      <c r="Y125" s="78" t="s">
        <v>101</v>
      </c>
      <c r="AA125" s="77" t="s">
        <v>191</v>
      </c>
      <c r="AB125" s="77" t="s">
        <v>78</v>
      </c>
      <c r="AC125" s="77" t="s">
        <v>90</v>
      </c>
      <c r="AD125" s="77" t="s">
        <v>102</v>
      </c>
      <c r="AE125" s="77" t="s">
        <v>192</v>
      </c>
      <c r="AG125" s="77" t="s">
        <v>112</v>
      </c>
    </row>
    <row r="126" spans="1:33" x14ac:dyDescent="0.3">
      <c r="A126" s="77" t="s">
        <v>455</v>
      </c>
      <c r="B126" s="77" t="s">
        <v>456</v>
      </c>
      <c r="G126" s="77" t="s">
        <v>186</v>
      </c>
      <c r="H126" s="77" t="s">
        <v>77</v>
      </c>
      <c r="I126" s="77" t="s">
        <v>78</v>
      </c>
      <c r="J126" s="77" t="s">
        <v>79</v>
      </c>
      <c r="K126" s="77" t="s">
        <v>80</v>
      </c>
      <c r="L126" s="77" t="s">
        <v>448</v>
      </c>
      <c r="M126" s="77" t="s">
        <v>82</v>
      </c>
      <c r="N126" s="77" t="s">
        <v>83</v>
      </c>
      <c r="Q126" s="77" t="s">
        <v>188</v>
      </c>
      <c r="T126" s="77" t="s">
        <v>112</v>
      </c>
      <c r="U126" s="77" t="s">
        <v>85</v>
      </c>
      <c r="V126" s="80" t="s">
        <v>99</v>
      </c>
      <c r="X126" s="77" t="s">
        <v>100</v>
      </c>
      <c r="Y126" s="78" t="s">
        <v>101</v>
      </c>
      <c r="AA126" s="77" t="s">
        <v>191</v>
      </c>
      <c r="AB126" s="77" t="s">
        <v>78</v>
      </c>
      <c r="AC126" s="77" t="s">
        <v>90</v>
      </c>
      <c r="AD126" s="77" t="s">
        <v>102</v>
      </c>
      <c r="AE126" s="77" t="s">
        <v>192</v>
      </c>
      <c r="AG126" s="77" t="s">
        <v>112</v>
      </c>
    </row>
    <row r="127" spans="1:33" x14ac:dyDescent="0.3">
      <c r="A127" s="77" t="s">
        <v>457</v>
      </c>
      <c r="B127" s="77" t="s">
        <v>458</v>
      </c>
      <c r="G127" s="77" t="s">
        <v>186</v>
      </c>
      <c r="H127" s="77" t="s">
        <v>77</v>
      </c>
      <c r="I127" s="77" t="s">
        <v>78</v>
      </c>
      <c r="J127" s="77" t="s">
        <v>79</v>
      </c>
      <c r="K127" s="77" t="s">
        <v>80</v>
      </c>
      <c r="L127" s="77" t="s">
        <v>448</v>
      </c>
      <c r="M127" s="77" t="s">
        <v>82</v>
      </c>
      <c r="N127" s="77" t="s">
        <v>83</v>
      </c>
      <c r="Q127" s="77" t="s">
        <v>188</v>
      </c>
      <c r="T127" s="77" t="s">
        <v>112</v>
      </c>
      <c r="U127" s="77" t="s">
        <v>85</v>
      </c>
      <c r="V127" s="80" t="s">
        <v>99</v>
      </c>
      <c r="X127" s="77" t="s">
        <v>100</v>
      </c>
      <c r="Y127" s="78" t="s">
        <v>101</v>
      </c>
      <c r="AA127" s="77" t="s">
        <v>191</v>
      </c>
      <c r="AB127" s="77" t="s">
        <v>78</v>
      </c>
      <c r="AC127" s="77" t="s">
        <v>90</v>
      </c>
      <c r="AD127" s="77" t="s">
        <v>102</v>
      </c>
      <c r="AE127" s="77" t="s">
        <v>192</v>
      </c>
      <c r="AG127" s="77" t="s">
        <v>112</v>
      </c>
    </row>
    <row r="128" spans="1:33" x14ac:dyDescent="0.3">
      <c r="A128" s="77" t="s">
        <v>459</v>
      </c>
      <c r="B128" s="77" t="s">
        <v>460</v>
      </c>
      <c r="G128" s="77" t="s">
        <v>186</v>
      </c>
      <c r="H128" s="77" t="s">
        <v>77</v>
      </c>
      <c r="I128" s="77" t="s">
        <v>78</v>
      </c>
      <c r="J128" s="77" t="s">
        <v>79</v>
      </c>
      <c r="K128" s="77" t="s">
        <v>80</v>
      </c>
      <c r="L128" s="77" t="s">
        <v>461</v>
      </c>
      <c r="M128" s="77" t="s">
        <v>82</v>
      </c>
      <c r="N128" s="77" t="s">
        <v>83</v>
      </c>
      <c r="Q128" s="77" t="s">
        <v>188</v>
      </c>
      <c r="T128" s="77" t="s">
        <v>112</v>
      </c>
      <c r="U128" s="77" t="s">
        <v>85</v>
      </c>
      <c r="V128" s="80" t="s">
        <v>99</v>
      </c>
      <c r="X128" s="77" t="s">
        <v>100</v>
      </c>
      <c r="Y128" s="78" t="s">
        <v>101</v>
      </c>
      <c r="AA128" s="77" t="s">
        <v>191</v>
      </c>
      <c r="AB128" s="77" t="s">
        <v>78</v>
      </c>
      <c r="AC128" s="77" t="s">
        <v>90</v>
      </c>
      <c r="AD128" s="77" t="s">
        <v>102</v>
      </c>
      <c r="AE128" s="77" t="s">
        <v>192</v>
      </c>
      <c r="AG128" s="77" t="s">
        <v>112</v>
      </c>
    </row>
    <row r="129" spans="1:33" x14ac:dyDescent="0.3">
      <c r="A129" s="77" t="s">
        <v>462</v>
      </c>
      <c r="B129" s="77" t="s">
        <v>463</v>
      </c>
      <c r="G129" s="77" t="s">
        <v>186</v>
      </c>
      <c r="H129" s="77" t="s">
        <v>77</v>
      </c>
      <c r="I129" s="77" t="s">
        <v>78</v>
      </c>
      <c r="J129" s="77" t="s">
        <v>79</v>
      </c>
      <c r="K129" s="77" t="s">
        <v>80</v>
      </c>
      <c r="L129" s="77" t="s">
        <v>461</v>
      </c>
      <c r="M129" s="77" t="s">
        <v>82</v>
      </c>
      <c r="N129" s="77" t="s">
        <v>83</v>
      </c>
      <c r="Q129" s="77" t="s">
        <v>188</v>
      </c>
      <c r="T129" s="77" t="s">
        <v>112</v>
      </c>
      <c r="U129" s="77" t="s">
        <v>85</v>
      </c>
      <c r="V129" s="80" t="s">
        <v>99</v>
      </c>
      <c r="X129" s="77" t="s">
        <v>100</v>
      </c>
      <c r="Y129" s="78" t="s">
        <v>101</v>
      </c>
      <c r="AA129" s="77" t="s">
        <v>191</v>
      </c>
      <c r="AB129" s="77" t="s">
        <v>78</v>
      </c>
      <c r="AC129" s="77" t="s">
        <v>90</v>
      </c>
      <c r="AD129" s="77" t="s">
        <v>102</v>
      </c>
      <c r="AE129" s="77" t="s">
        <v>192</v>
      </c>
      <c r="AG129" s="77" t="s">
        <v>112</v>
      </c>
    </row>
    <row r="130" spans="1:33" x14ac:dyDescent="0.3">
      <c r="A130" s="77" t="s">
        <v>464</v>
      </c>
      <c r="B130" s="77" t="s">
        <v>465</v>
      </c>
      <c r="G130" s="77" t="s">
        <v>186</v>
      </c>
      <c r="H130" s="77" t="s">
        <v>77</v>
      </c>
      <c r="I130" s="77" t="s">
        <v>78</v>
      </c>
      <c r="J130" s="77" t="s">
        <v>79</v>
      </c>
      <c r="K130" s="77" t="s">
        <v>80</v>
      </c>
      <c r="L130" s="77" t="s">
        <v>461</v>
      </c>
      <c r="M130" s="77" t="s">
        <v>82</v>
      </c>
      <c r="N130" s="77" t="s">
        <v>83</v>
      </c>
      <c r="Q130" s="77" t="s">
        <v>188</v>
      </c>
      <c r="T130" s="77" t="s">
        <v>112</v>
      </c>
      <c r="U130" s="77" t="s">
        <v>85</v>
      </c>
      <c r="V130" s="80" t="s">
        <v>99</v>
      </c>
      <c r="X130" s="77" t="s">
        <v>100</v>
      </c>
      <c r="Y130" s="78" t="s">
        <v>101</v>
      </c>
      <c r="AA130" s="77" t="s">
        <v>191</v>
      </c>
      <c r="AB130" s="77" t="s">
        <v>78</v>
      </c>
      <c r="AC130" s="77" t="s">
        <v>90</v>
      </c>
      <c r="AD130" s="77" t="s">
        <v>102</v>
      </c>
      <c r="AE130" s="77" t="s">
        <v>192</v>
      </c>
      <c r="AG130" s="77" t="s">
        <v>112</v>
      </c>
    </row>
    <row r="131" spans="1:33" x14ac:dyDescent="0.3">
      <c r="A131" s="77" t="s">
        <v>466</v>
      </c>
      <c r="B131" s="77" t="s">
        <v>467</v>
      </c>
      <c r="G131" s="77" t="s">
        <v>186</v>
      </c>
      <c r="H131" s="77" t="s">
        <v>77</v>
      </c>
      <c r="I131" s="77" t="s">
        <v>78</v>
      </c>
      <c r="J131" s="77" t="s">
        <v>79</v>
      </c>
      <c r="K131" s="77" t="s">
        <v>80</v>
      </c>
      <c r="L131" s="77" t="s">
        <v>461</v>
      </c>
      <c r="M131" s="77" t="s">
        <v>82</v>
      </c>
      <c r="N131" s="77" t="s">
        <v>83</v>
      </c>
      <c r="Q131" s="77" t="s">
        <v>188</v>
      </c>
      <c r="T131" s="77" t="s">
        <v>112</v>
      </c>
      <c r="U131" s="77" t="s">
        <v>85</v>
      </c>
      <c r="V131" s="80" t="s">
        <v>99</v>
      </c>
      <c r="X131" s="77" t="s">
        <v>100</v>
      </c>
      <c r="Y131" s="78" t="s">
        <v>101</v>
      </c>
      <c r="AA131" s="77" t="s">
        <v>191</v>
      </c>
      <c r="AB131" s="77" t="s">
        <v>78</v>
      </c>
      <c r="AC131" s="77" t="s">
        <v>90</v>
      </c>
      <c r="AD131" s="77" t="s">
        <v>102</v>
      </c>
      <c r="AE131" s="77" t="s">
        <v>192</v>
      </c>
      <c r="AG131" s="77" t="s">
        <v>112</v>
      </c>
    </row>
    <row r="132" spans="1:33" x14ac:dyDescent="0.3">
      <c r="A132" s="77" t="s">
        <v>468</v>
      </c>
      <c r="B132" s="77" t="s">
        <v>469</v>
      </c>
      <c r="G132" s="77" t="s">
        <v>186</v>
      </c>
      <c r="H132" s="77" t="s">
        <v>77</v>
      </c>
      <c r="I132" s="77" t="s">
        <v>78</v>
      </c>
      <c r="J132" s="77" t="s">
        <v>79</v>
      </c>
      <c r="K132" s="77" t="s">
        <v>80</v>
      </c>
      <c r="L132" s="77" t="s">
        <v>461</v>
      </c>
      <c r="M132" s="77" t="s">
        <v>82</v>
      </c>
      <c r="N132" s="77" t="s">
        <v>83</v>
      </c>
      <c r="Q132" s="77" t="s">
        <v>188</v>
      </c>
      <c r="T132" s="77" t="s">
        <v>112</v>
      </c>
      <c r="U132" s="77" t="s">
        <v>85</v>
      </c>
      <c r="V132" s="80" t="s">
        <v>99</v>
      </c>
      <c r="X132" s="77" t="s">
        <v>100</v>
      </c>
      <c r="Y132" s="78" t="s">
        <v>101</v>
      </c>
      <c r="AA132" s="77" t="s">
        <v>191</v>
      </c>
      <c r="AB132" s="77" t="s">
        <v>78</v>
      </c>
      <c r="AC132" s="77" t="s">
        <v>90</v>
      </c>
      <c r="AD132" s="77" t="s">
        <v>102</v>
      </c>
      <c r="AE132" s="77" t="s">
        <v>192</v>
      </c>
      <c r="AG132" s="77" t="s">
        <v>112</v>
      </c>
    </row>
    <row r="133" spans="1:33" x14ac:dyDescent="0.3">
      <c r="A133" s="77" t="s">
        <v>470</v>
      </c>
      <c r="B133" s="77" t="s">
        <v>471</v>
      </c>
      <c r="G133" s="77" t="s">
        <v>186</v>
      </c>
      <c r="H133" s="77" t="s">
        <v>77</v>
      </c>
      <c r="I133" s="77" t="s">
        <v>78</v>
      </c>
      <c r="J133" s="77" t="s">
        <v>79</v>
      </c>
      <c r="K133" s="77" t="s">
        <v>80</v>
      </c>
      <c r="L133" s="77" t="s">
        <v>461</v>
      </c>
      <c r="M133" s="77" t="s">
        <v>82</v>
      </c>
      <c r="N133" s="77" t="s">
        <v>83</v>
      </c>
      <c r="Q133" s="77" t="s">
        <v>188</v>
      </c>
      <c r="T133" s="77" t="s">
        <v>112</v>
      </c>
      <c r="U133" s="77" t="s">
        <v>85</v>
      </c>
      <c r="V133" s="80" t="s">
        <v>99</v>
      </c>
      <c r="X133" s="77" t="s">
        <v>100</v>
      </c>
      <c r="Y133" s="78" t="s">
        <v>101</v>
      </c>
      <c r="AA133" s="77" t="s">
        <v>191</v>
      </c>
      <c r="AB133" s="77" t="s">
        <v>78</v>
      </c>
      <c r="AC133" s="77" t="s">
        <v>90</v>
      </c>
      <c r="AD133" s="77" t="s">
        <v>102</v>
      </c>
      <c r="AE133" s="77" t="s">
        <v>192</v>
      </c>
      <c r="AG133" s="77" t="s">
        <v>112</v>
      </c>
    </row>
    <row r="134" spans="1:33" x14ac:dyDescent="0.3">
      <c r="A134" s="77" t="s">
        <v>472</v>
      </c>
      <c r="B134" s="77" t="s">
        <v>473</v>
      </c>
      <c r="G134" s="77" t="s">
        <v>186</v>
      </c>
      <c r="H134" s="77" t="s">
        <v>77</v>
      </c>
      <c r="I134" s="77" t="s">
        <v>78</v>
      </c>
      <c r="J134" s="77" t="s">
        <v>79</v>
      </c>
      <c r="K134" s="77" t="s">
        <v>80</v>
      </c>
      <c r="L134" s="77" t="s">
        <v>474</v>
      </c>
      <c r="M134" s="77" t="s">
        <v>82</v>
      </c>
      <c r="N134" s="77" t="s">
        <v>83</v>
      </c>
      <c r="Q134" s="77" t="s">
        <v>188</v>
      </c>
      <c r="T134" s="77" t="s">
        <v>112</v>
      </c>
      <c r="U134" s="77" t="s">
        <v>85</v>
      </c>
      <c r="V134" s="80" t="s">
        <v>105</v>
      </c>
      <c r="X134" s="77" t="s">
        <v>106</v>
      </c>
      <c r="Y134" s="78" t="s">
        <v>101</v>
      </c>
      <c r="AA134" s="77" t="s">
        <v>191</v>
      </c>
      <c r="AB134" s="77" t="s">
        <v>78</v>
      </c>
      <c r="AC134" s="77" t="s">
        <v>90</v>
      </c>
      <c r="AD134" s="77" t="s">
        <v>102</v>
      </c>
      <c r="AE134" s="77" t="s">
        <v>192</v>
      </c>
      <c r="AG134" s="77" t="s">
        <v>112</v>
      </c>
    </row>
    <row r="135" spans="1:33" x14ac:dyDescent="0.3">
      <c r="A135" s="77" t="s">
        <v>475</v>
      </c>
      <c r="B135" s="77" t="s">
        <v>476</v>
      </c>
      <c r="G135" s="77" t="s">
        <v>186</v>
      </c>
      <c r="H135" s="77" t="s">
        <v>77</v>
      </c>
      <c r="I135" s="77" t="s">
        <v>78</v>
      </c>
      <c r="J135" s="77" t="s">
        <v>79</v>
      </c>
      <c r="K135" s="77" t="s">
        <v>80</v>
      </c>
      <c r="L135" s="77" t="s">
        <v>474</v>
      </c>
      <c r="M135" s="77" t="s">
        <v>82</v>
      </c>
      <c r="N135" s="77" t="s">
        <v>83</v>
      </c>
      <c r="Q135" s="77" t="s">
        <v>188</v>
      </c>
      <c r="T135" s="77" t="s">
        <v>112</v>
      </c>
      <c r="U135" s="77" t="s">
        <v>85</v>
      </c>
      <c r="V135" s="80" t="s">
        <v>105</v>
      </c>
      <c r="X135" s="77" t="s">
        <v>106</v>
      </c>
      <c r="Y135" s="78" t="s">
        <v>101</v>
      </c>
      <c r="AA135" s="77" t="s">
        <v>191</v>
      </c>
      <c r="AB135" s="77" t="s">
        <v>78</v>
      </c>
      <c r="AC135" s="77" t="s">
        <v>90</v>
      </c>
      <c r="AD135" s="77" t="s">
        <v>102</v>
      </c>
      <c r="AE135" s="77" t="s">
        <v>192</v>
      </c>
      <c r="AG135" s="77" t="s">
        <v>112</v>
      </c>
    </row>
    <row r="136" spans="1:33" x14ac:dyDescent="0.3">
      <c r="A136" s="77" t="s">
        <v>477</v>
      </c>
      <c r="B136" s="77" t="s">
        <v>478</v>
      </c>
      <c r="G136" s="77" t="s">
        <v>186</v>
      </c>
      <c r="H136" s="77" t="s">
        <v>77</v>
      </c>
      <c r="I136" s="77" t="s">
        <v>78</v>
      </c>
      <c r="J136" s="77" t="s">
        <v>79</v>
      </c>
      <c r="K136" s="77" t="s">
        <v>80</v>
      </c>
      <c r="L136" s="77" t="s">
        <v>474</v>
      </c>
      <c r="M136" s="77" t="s">
        <v>82</v>
      </c>
      <c r="N136" s="77" t="s">
        <v>83</v>
      </c>
      <c r="Q136" s="77" t="s">
        <v>188</v>
      </c>
      <c r="T136" s="77" t="s">
        <v>112</v>
      </c>
      <c r="U136" s="77" t="s">
        <v>85</v>
      </c>
      <c r="V136" s="80" t="s">
        <v>105</v>
      </c>
      <c r="X136" s="77" t="s">
        <v>106</v>
      </c>
      <c r="Y136" s="78" t="s">
        <v>101</v>
      </c>
      <c r="AA136" s="77" t="s">
        <v>191</v>
      </c>
      <c r="AB136" s="77" t="s">
        <v>78</v>
      </c>
      <c r="AC136" s="77" t="s">
        <v>90</v>
      </c>
      <c r="AD136" s="77" t="s">
        <v>102</v>
      </c>
      <c r="AE136" s="77" t="s">
        <v>192</v>
      </c>
      <c r="AG136" s="77" t="s">
        <v>112</v>
      </c>
    </row>
    <row r="137" spans="1:33" x14ac:dyDescent="0.3">
      <c r="A137" s="77" t="s">
        <v>479</v>
      </c>
      <c r="B137" s="77" t="s">
        <v>480</v>
      </c>
      <c r="G137" s="77" t="s">
        <v>186</v>
      </c>
      <c r="H137" s="77" t="s">
        <v>77</v>
      </c>
      <c r="I137" s="77" t="s">
        <v>78</v>
      </c>
      <c r="J137" s="77" t="s">
        <v>79</v>
      </c>
      <c r="K137" s="77" t="s">
        <v>80</v>
      </c>
      <c r="L137" s="77" t="s">
        <v>474</v>
      </c>
      <c r="M137" s="77" t="s">
        <v>82</v>
      </c>
      <c r="N137" s="77" t="s">
        <v>83</v>
      </c>
      <c r="Q137" s="77" t="s">
        <v>188</v>
      </c>
      <c r="T137" s="77" t="s">
        <v>112</v>
      </c>
      <c r="U137" s="77" t="s">
        <v>85</v>
      </c>
      <c r="V137" s="80" t="s">
        <v>105</v>
      </c>
      <c r="X137" s="77" t="s">
        <v>106</v>
      </c>
      <c r="Y137" s="78" t="s">
        <v>101</v>
      </c>
      <c r="AA137" s="77" t="s">
        <v>191</v>
      </c>
      <c r="AB137" s="77" t="s">
        <v>78</v>
      </c>
      <c r="AC137" s="77" t="s">
        <v>90</v>
      </c>
      <c r="AD137" s="77" t="s">
        <v>102</v>
      </c>
      <c r="AE137" s="77" t="s">
        <v>192</v>
      </c>
      <c r="AG137" s="77" t="s">
        <v>112</v>
      </c>
    </row>
    <row r="138" spans="1:33" x14ac:dyDescent="0.3">
      <c r="A138" s="77" t="s">
        <v>481</v>
      </c>
      <c r="B138" s="77" t="s">
        <v>482</v>
      </c>
      <c r="G138" s="77" t="s">
        <v>186</v>
      </c>
      <c r="H138" s="77" t="s">
        <v>77</v>
      </c>
      <c r="I138" s="77" t="s">
        <v>78</v>
      </c>
      <c r="J138" s="77" t="s">
        <v>79</v>
      </c>
      <c r="K138" s="77" t="s">
        <v>80</v>
      </c>
      <c r="L138" s="77" t="s">
        <v>474</v>
      </c>
      <c r="M138" s="77" t="s">
        <v>82</v>
      </c>
      <c r="N138" s="77" t="s">
        <v>83</v>
      </c>
      <c r="Q138" s="77" t="s">
        <v>188</v>
      </c>
      <c r="T138" s="77" t="s">
        <v>112</v>
      </c>
      <c r="U138" s="77" t="s">
        <v>85</v>
      </c>
      <c r="V138" s="80" t="s">
        <v>105</v>
      </c>
      <c r="X138" s="77" t="s">
        <v>106</v>
      </c>
      <c r="Y138" s="78" t="s">
        <v>101</v>
      </c>
      <c r="AA138" s="77" t="s">
        <v>191</v>
      </c>
      <c r="AB138" s="77" t="s">
        <v>78</v>
      </c>
      <c r="AC138" s="77" t="s">
        <v>90</v>
      </c>
      <c r="AD138" s="77" t="s">
        <v>102</v>
      </c>
      <c r="AE138" s="77" t="s">
        <v>192</v>
      </c>
      <c r="AG138" s="77" t="s">
        <v>112</v>
      </c>
    </row>
    <row r="139" spans="1:33" x14ac:dyDescent="0.3">
      <c r="A139" s="77" t="s">
        <v>483</v>
      </c>
      <c r="B139" s="77" t="s">
        <v>484</v>
      </c>
      <c r="G139" s="77" t="s">
        <v>186</v>
      </c>
      <c r="H139" s="77" t="s">
        <v>77</v>
      </c>
      <c r="I139" s="77" t="s">
        <v>78</v>
      </c>
      <c r="J139" s="77" t="s">
        <v>79</v>
      </c>
      <c r="K139" s="77" t="s">
        <v>80</v>
      </c>
      <c r="L139" s="77" t="s">
        <v>474</v>
      </c>
      <c r="M139" s="77" t="s">
        <v>82</v>
      </c>
      <c r="N139" s="77" t="s">
        <v>83</v>
      </c>
      <c r="Q139" s="77" t="s">
        <v>188</v>
      </c>
      <c r="T139" s="77" t="s">
        <v>112</v>
      </c>
      <c r="U139" s="77" t="s">
        <v>85</v>
      </c>
      <c r="V139" s="80" t="s">
        <v>105</v>
      </c>
      <c r="X139" s="77" t="s">
        <v>106</v>
      </c>
      <c r="Y139" s="78" t="s">
        <v>101</v>
      </c>
      <c r="AA139" s="77" t="s">
        <v>191</v>
      </c>
      <c r="AB139" s="77" t="s">
        <v>78</v>
      </c>
      <c r="AC139" s="77" t="s">
        <v>90</v>
      </c>
      <c r="AD139" s="77" t="s">
        <v>102</v>
      </c>
      <c r="AE139" s="77" t="s">
        <v>192</v>
      </c>
      <c r="AG139" s="77" t="s">
        <v>112</v>
      </c>
    </row>
    <row r="140" spans="1:33" x14ac:dyDescent="0.3">
      <c r="A140" s="77" t="s">
        <v>485</v>
      </c>
      <c r="B140" s="77" t="s">
        <v>486</v>
      </c>
      <c r="G140" s="77" t="s">
        <v>186</v>
      </c>
      <c r="H140" s="77" t="s">
        <v>77</v>
      </c>
      <c r="I140" s="77" t="s">
        <v>78</v>
      </c>
      <c r="J140" s="77" t="s">
        <v>79</v>
      </c>
      <c r="K140" s="77" t="s">
        <v>80</v>
      </c>
      <c r="L140" s="77" t="s">
        <v>487</v>
      </c>
      <c r="M140" s="77" t="s">
        <v>82</v>
      </c>
      <c r="N140" s="77" t="s">
        <v>83</v>
      </c>
      <c r="Q140" s="77" t="s">
        <v>188</v>
      </c>
      <c r="T140" s="77" t="s">
        <v>112</v>
      </c>
      <c r="U140" s="77" t="s">
        <v>85</v>
      </c>
      <c r="V140" s="80" t="s">
        <v>105</v>
      </c>
      <c r="X140" s="77" t="s">
        <v>106</v>
      </c>
      <c r="Y140" s="78" t="s">
        <v>101</v>
      </c>
      <c r="AA140" s="77" t="s">
        <v>191</v>
      </c>
      <c r="AB140" s="77" t="s">
        <v>78</v>
      </c>
      <c r="AC140" s="77" t="s">
        <v>90</v>
      </c>
      <c r="AD140" s="77" t="s">
        <v>102</v>
      </c>
      <c r="AE140" s="77" t="s">
        <v>192</v>
      </c>
      <c r="AG140" s="77" t="s">
        <v>112</v>
      </c>
    </row>
    <row r="141" spans="1:33" x14ac:dyDescent="0.3">
      <c r="A141" s="77" t="s">
        <v>488</v>
      </c>
      <c r="B141" s="77" t="s">
        <v>489</v>
      </c>
      <c r="G141" s="77" t="s">
        <v>186</v>
      </c>
      <c r="H141" s="77" t="s">
        <v>77</v>
      </c>
      <c r="I141" s="77" t="s">
        <v>78</v>
      </c>
      <c r="J141" s="77" t="s">
        <v>79</v>
      </c>
      <c r="K141" s="77" t="s">
        <v>80</v>
      </c>
      <c r="L141" s="77" t="s">
        <v>487</v>
      </c>
      <c r="M141" s="77" t="s">
        <v>82</v>
      </c>
      <c r="N141" s="77" t="s">
        <v>83</v>
      </c>
      <c r="Q141" s="77" t="s">
        <v>188</v>
      </c>
      <c r="T141" s="77" t="s">
        <v>112</v>
      </c>
      <c r="U141" s="77" t="s">
        <v>85</v>
      </c>
      <c r="V141" s="80" t="s">
        <v>105</v>
      </c>
      <c r="X141" s="77" t="s">
        <v>106</v>
      </c>
      <c r="Y141" s="78" t="s">
        <v>101</v>
      </c>
      <c r="AA141" s="77" t="s">
        <v>191</v>
      </c>
      <c r="AB141" s="77" t="s">
        <v>78</v>
      </c>
      <c r="AC141" s="77" t="s">
        <v>90</v>
      </c>
      <c r="AD141" s="77" t="s">
        <v>102</v>
      </c>
      <c r="AE141" s="77" t="s">
        <v>192</v>
      </c>
      <c r="AG141" s="77" t="s">
        <v>112</v>
      </c>
    </row>
    <row r="142" spans="1:33" x14ac:dyDescent="0.3">
      <c r="A142" s="77" t="s">
        <v>490</v>
      </c>
      <c r="B142" s="77" t="s">
        <v>491</v>
      </c>
      <c r="G142" s="77" t="s">
        <v>186</v>
      </c>
      <c r="H142" s="77" t="s">
        <v>77</v>
      </c>
      <c r="I142" s="77" t="s">
        <v>78</v>
      </c>
      <c r="J142" s="77" t="s">
        <v>79</v>
      </c>
      <c r="K142" s="77" t="s">
        <v>80</v>
      </c>
      <c r="L142" s="77" t="s">
        <v>487</v>
      </c>
      <c r="M142" s="77" t="s">
        <v>82</v>
      </c>
      <c r="N142" s="77" t="s">
        <v>83</v>
      </c>
      <c r="Q142" s="77" t="s">
        <v>188</v>
      </c>
      <c r="T142" s="77" t="s">
        <v>112</v>
      </c>
      <c r="U142" s="77" t="s">
        <v>85</v>
      </c>
      <c r="V142" s="80" t="s">
        <v>105</v>
      </c>
      <c r="X142" s="77" t="s">
        <v>106</v>
      </c>
      <c r="Y142" s="78" t="s">
        <v>101</v>
      </c>
      <c r="AA142" s="77" t="s">
        <v>191</v>
      </c>
      <c r="AB142" s="77" t="s">
        <v>78</v>
      </c>
      <c r="AC142" s="77" t="s">
        <v>90</v>
      </c>
      <c r="AD142" s="77" t="s">
        <v>102</v>
      </c>
      <c r="AE142" s="77" t="s">
        <v>192</v>
      </c>
      <c r="AG142" s="77" t="s">
        <v>112</v>
      </c>
    </row>
    <row r="143" spans="1:33" x14ac:dyDescent="0.3">
      <c r="A143" s="77" t="s">
        <v>492</v>
      </c>
      <c r="B143" s="77" t="s">
        <v>493</v>
      </c>
      <c r="G143" s="77" t="s">
        <v>186</v>
      </c>
      <c r="H143" s="77" t="s">
        <v>77</v>
      </c>
      <c r="I143" s="77" t="s">
        <v>78</v>
      </c>
      <c r="J143" s="77" t="s">
        <v>79</v>
      </c>
      <c r="K143" s="77" t="s">
        <v>80</v>
      </c>
      <c r="L143" s="77" t="s">
        <v>487</v>
      </c>
      <c r="M143" s="77" t="s">
        <v>82</v>
      </c>
      <c r="N143" s="77" t="s">
        <v>83</v>
      </c>
      <c r="Q143" s="77" t="s">
        <v>188</v>
      </c>
      <c r="T143" s="77" t="s">
        <v>112</v>
      </c>
      <c r="U143" s="77" t="s">
        <v>85</v>
      </c>
      <c r="V143" s="80" t="s">
        <v>105</v>
      </c>
      <c r="X143" s="77" t="s">
        <v>106</v>
      </c>
      <c r="Y143" s="78" t="s">
        <v>101</v>
      </c>
      <c r="AA143" s="77" t="s">
        <v>191</v>
      </c>
      <c r="AB143" s="77" t="s">
        <v>78</v>
      </c>
      <c r="AC143" s="77" t="s">
        <v>90</v>
      </c>
      <c r="AD143" s="77" t="s">
        <v>102</v>
      </c>
      <c r="AE143" s="77" t="s">
        <v>192</v>
      </c>
      <c r="AG143" s="77" t="s">
        <v>112</v>
      </c>
    </row>
    <row r="144" spans="1:33" x14ac:dyDescent="0.3">
      <c r="A144" s="77" t="s">
        <v>494</v>
      </c>
      <c r="B144" s="77" t="s">
        <v>495</v>
      </c>
      <c r="G144" s="77" t="s">
        <v>186</v>
      </c>
      <c r="H144" s="77" t="s">
        <v>77</v>
      </c>
      <c r="I144" s="77" t="s">
        <v>78</v>
      </c>
      <c r="J144" s="77" t="s">
        <v>79</v>
      </c>
      <c r="K144" s="77" t="s">
        <v>80</v>
      </c>
      <c r="L144" s="77" t="s">
        <v>487</v>
      </c>
      <c r="M144" s="77" t="s">
        <v>82</v>
      </c>
      <c r="N144" s="77" t="s">
        <v>83</v>
      </c>
      <c r="Q144" s="77" t="s">
        <v>188</v>
      </c>
      <c r="T144" s="77" t="s">
        <v>112</v>
      </c>
      <c r="U144" s="77" t="s">
        <v>85</v>
      </c>
      <c r="V144" s="80" t="s">
        <v>105</v>
      </c>
      <c r="X144" s="77" t="s">
        <v>106</v>
      </c>
      <c r="Y144" s="78" t="s">
        <v>101</v>
      </c>
      <c r="AA144" s="77" t="s">
        <v>191</v>
      </c>
      <c r="AB144" s="77" t="s">
        <v>78</v>
      </c>
      <c r="AC144" s="77" t="s">
        <v>90</v>
      </c>
      <c r="AD144" s="77" t="s">
        <v>102</v>
      </c>
      <c r="AE144" s="77" t="s">
        <v>192</v>
      </c>
      <c r="AG144" s="77" t="s">
        <v>112</v>
      </c>
    </row>
    <row r="145" spans="1:33" x14ac:dyDescent="0.3">
      <c r="A145" s="77" t="s">
        <v>496</v>
      </c>
      <c r="B145" s="77" t="s">
        <v>497</v>
      </c>
      <c r="G145" s="77" t="s">
        <v>186</v>
      </c>
      <c r="H145" s="77" t="s">
        <v>77</v>
      </c>
      <c r="I145" s="77" t="s">
        <v>78</v>
      </c>
      <c r="J145" s="77" t="s">
        <v>79</v>
      </c>
      <c r="K145" s="77" t="s">
        <v>80</v>
      </c>
      <c r="L145" s="77" t="s">
        <v>487</v>
      </c>
      <c r="M145" s="77" t="s">
        <v>82</v>
      </c>
      <c r="N145" s="77" t="s">
        <v>83</v>
      </c>
      <c r="Q145" s="77" t="s">
        <v>188</v>
      </c>
      <c r="T145" s="77" t="s">
        <v>112</v>
      </c>
      <c r="U145" s="77" t="s">
        <v>85</v>
      </c>
      <c r="V145" s="80" t="s">
        <v>105</v>
      </c>
      <c r="X145" s="77" t="s">
        <v>106</v>
      </c>
      <c r="Y145" s="78" t="s">
        <v>101</v>
      </c>
      <c r="AA145" s="77" t="s">
        <v>191</v>
      </c>
      <c r="AB145" s="77" t="s">
        <v>78</v>
      </c>
      <c r="AC145" s="77" t="s">
        <v>90</v>
      </c>
      <c r="AD145" s="77" t="s">
        <v>102</v>
      </c>
      <c r="AE145" s="77" t="s">
        <v>192</v>
      </c>
      <c r="AG145" s="77" t="s">
        <v>112</v>
      </c>
    </row>
    <row r="146" spans="1:33" x14ac:dyDescent="0.3">
      <c r="A146" s="77" t="s">
        <v>498</v>
      </c>
      <c r="B146" s="77" t="s">
        <v>499</v>
      </c>
      <c r="G146" s="77" t="s">
        <v>186</v>
      </c>
      <c r="H146" s="77" t="s">
        <v>77</v>
      </c>
      <c r="I146" s="77" t="s">
        <v>78</v>
      </c>
      <c r="J146" s="77" t="s">
        <v>79</v>
      </c>
      <c r="K146" s="77" t="s">
        <v>80</v>
      </c>
      <c r="L146" s="77" t="s">
        <v>500</v>
      </c>
      <c r="M146" s="77" t="s">
        <v>82</v>
      </c>
      <c r="N146" s="77" t="s">
        <v>83</v>
      </c>
      <c r="Q146" s="77" t="s">
        <v>188</v>
      </c>
      <c r="T146" s="77" t="s">
        <v>112</v>
      </c>
      <c r="U146" s="77" t="s">
        <v>85</v>
      </c>
      <c r="V146" s="80" t="s">
        <v>231</v>
      </c>
      <c r="X146" s="77" t="s">
        <v>232</v>
      </c>
      <c r="Y146" s="78" t="s">
        <v>88</v>
      </c>
      <c r="AA146" s="77" t="s">
        <v>191</v>
      </c>
      <c r="AB146" s="77" t="s">
        <v>78</v>
      </c>
      <c r="AC146" s="77" t="s">
        <v>90</v>
      </c>
      <c r="AD146" s="77" t="s">
        <v>91</v>
      </c>
      <c r="AE146" s="77" t="s">
        <v>192</v>
      </c>
      <c r="AG146" s="77" t="s">
        <v>112</v>
      </c>
    </row>
    <row r="147" spans="1:33" x14ac:dyDescent="0.3">
      <c r="A147" s="77" t="s">
        <v>501</v>
      </c>
      <c r="B147" s="77" t="s">
        <v>502</v>
      </c>
      <c r="G147" s="77" t="s">
        <v>186</v>
      </c>
      <c r="H147" s="77" t="s">
        <v>77</v>
      </c>
      <c r="I147" s="77" t="s">
        <v>78</v>
      </c>
      <c r="J147" s="77" t="s">
        <v>79</v>
      </c>
      <c r="K147" s="77" t="s">
        <v>80</v>
      </c>
      <c r="L147" s="77" t="s">
        <v>503</v>
      </c>
      <c r="M147" s="77" t="s">
        <v>82</v>
      </c>
      <c r="N147" s="77" t="s">
        <v>83</v>
      </c>
      <c r="Q147" s="77" t="s">
        <v>188</v>
      </c>
      <c r="T147" s="77" t="s">
        <v>112</v>
      </c>
      <c r="U147" s="77" t="s">
        <v>85</v>
      </c>
      <c r="V147" s="80" t="s">
        <v>231</v>
      </c>
      <c r="X147" s="77" t="s">
        <v>232</v>
      </c>
      <c r="Y147" s="78" t="s">
        <v>88</v>
      </c>
      <c r="AA147" s="77" t="s">
        <v>191</v>
      </c>
      <c r="AB147" s="77" t="s">
        <v>78</v>
      </c>
      <c r="AC147" s="77" t="s">
        <v>90</v>
      </c>
      <c r="AD147" s="77" t="s">
        <v>91</v>
      </c>
      <c r="AE147" s="77" t="s">
        <v>192</v>
      </c>
      <c r="AG147" s="77" t="s">
        <v>112</v>
      </c>
    </row>
    <row r="148" spans="1:33" x14ac:dyDescent="0.3">
      <c r="A148" s="77" t="s">
        <v>504</v>
      </c>
      <c r="B148" s="77" t="s">
        <v>505</v>
      </c>
      <c r="G148" s="77" t="s">
        <v>186</v>
      </c>
      <c r="H148" s="77" t="s">
        <v>77</v>
      </c>
      <c r="I148" s="77" t="s">
        <v>78</v>
      </c>
      <c r="J148" s="77" t="s">
        <v>79</v>
      </c>
      <c r="K148" s="77" t="s">
        <v>80</v>
      </c>
      <c r="L148" s="77" t="s">
        <v>506</v>
      </c>
      <c r="M148" s="77" t="s">
        <v>82</v>
      </c>
      <c r="N148" s="77" t="s">
        <v>83</v>
      </c>
      <c r="Q148" s="77" t="s">
        <v>188</v>
      </c>
      <c r="T148" s="77" t="s">
        <v>112</v>
      </c>
      <c r="U148" s="77" t="s">
        <v>85</v>
      </c>
      <c r="V148" s="80" t="s">
        <v>507</v>
      </c>
      <c r="X148" s="77" t="s">
        <v>508</v>
      </c>
      <c r="Y148" s="78" t="s">
        <v>88</v>
      </c>
      <c r="AA148" s="77" t="s">
        <v>191</v>
      </c>
      <c r="AB148" s="77" t="s">
        <v>78</v>
      </c>
      <c r="AC148" s="77" t="s">
        <v>90</v>
      </c>
      <c r="AD148" s="77" t="s">
        <v>91</v>
      </c>
      <c r="AE148" s="77" t="s">
        <v>192</v>
      </c>
      <c r="AG148" s="77" t="s">
        <v>112</v>
      </c>
    </row>
    <row r="149" spans="1:33" x14ac:dyDescent="0.3">
      <c r="A149" s="77" t="s">
        <v>509</v>
      </c>
      <c r="B149" s="77" t="s">
        <v>510</v>
      </c>
      <c r="G149" s="77" t="s">
        <v>186</v>
      </c>
      <c r="H149" s="77" t="s">
        <v>77</v>
      </c>
      <c r="I149" s="77" t="s">
        <v>78</v>
      </c>
      <c r="J149" s="77" t="s">
        <v>79</v>
      </c>
      <c r="K149" s="77" t="s">
        <v>80</v>
      </c>
      <c r="L149" s="77" t="s">
        <v>506</v>
      </c>
      <c r="M149" s="77" t="s">
        <v>82</v>
      </c>
      <c r="N149" s="77" t="s">
        <v>83</v>
      </c>
      <c r="Q149" s="77" t="s">
        <v>188</v>
      </c>
      <c r="T149" s="77" t="s">
        <v>112</v>
      </c>
      <c r="U149" s="77" t="s">
        <v>85</v>
      </c>
      <c r="V149" s="80" t="s">
        <v>507</v>
      </c>
      <c r="X149" s="77" t="s">
        <v>508</v>
      </c>
      <c r="Y149" s="78" t="s">
        <v>88</v>
      </c>
      <c r="AA149" s="77" t="s">
        <v>191</v>
      </c>
      <c r="AB149" s="77" t="s">
        <v>78</v>
      </c>
      <c r="AC149" s="77" t="s">
        <v>90</v>
      </c>
      <c r="AD149" s="77" t="s">
        <v>91</v>
      </c>
      <c r="AE149" s="77" t="s">
        <v>192</v>
      </c>
      <c r="AG149" s="77" t="s">
        <v>112</v>
      </c>
    </row>
    <row r="150" spans="1:33" x14ac:dyDescent="0.3">
      <c r="A150" s="77" t="s">
        <v>511</v>
      </c>
      <c r="B150" s="77" t="s">
        <v>512</v>
      </c>
      <c r="G150" s="77" t="s">
        <v>186</v>
      </c>
      <c r="H150" s="77" t="s">
        <v>77</v>
      </c>
      <c r="I150" s="77" t="s">
        <v>78</v>
      </c>
      <c r="J150" s="77" t="s">
        <v>79</v>
      </c>
      <c r="K150" s="77" t="s">
        <v>80</v>
      </c>
      <c r="L150" s="77" t="s">
        <v>513</v>
      </c>
      <c r="M150" s="77" t="s">
        <v>82</v>
      </c>
      <c r="N150" s="77" t="s">
        <v>83</v>
      </c>
      <c r="Q150" s="77" t="s">
        <v>188</v>
      </c>
      <c r="T150" s="77" t="s">
        <v>112</v>
      </c>
      <c r="U150" s="77" t="s">
        <v>85</v>
      </c>
      <c r="V150" s="80" t="s">
        <v>514</v>
      </c>
      <c r="X150" s="77" t="s">
        <v>515</v>
      </c>
      <c r="Y150" s="78" t="s">
        <v>88</v>
      </c>
      <c r="AA150" s="77" t="s">
        <v>191</v>
      </c>
      <c r="AB150" s="77" t="s">
        <v>78</v>
      </c>
      <c r="AC150" s="77" t="s">
        <v>90</v>
      </c>
      <c r="AD150" s="77" t="s">
        <v>91</v>
      </c>
      <c r="AE150" s="77" t="s">
        <v>192</v>
      </c>
      <c r="AG150" s="77" t="s">
        <v>112</v>
      </c>
    </row>
    <row r="151" spans="1:33" x14ac:dyDescent="0.3">
      <c r="A151" s="77" t="s">
        <v>516</v>
      </c>
      <c r="B151" s="77" t="s">
        <v>517</v>
      </c>
      <c r="G151" s="77" t="s">
        <v>186</v>
      </c>
      <c r="H151" s="77" t="s">
        <v>77</v>
      </c>
      <c r="I151" s="77" t="s">
        <v>78</v>
      </c>
      <c r="J151" s="77" t="s">
        <v>79</v>
      </c>
      <c r="K151" s="77" t="s">
        <v>80</v>
      </c>
      <c r="L151" s="77" t="s">
        <v>513</v>
      </c>
      <c r="M151" s="77" t="s">
        <v>82</v>
      </c>
      <c r="N151" s="77" t="s">
        <v>83</v>
      </c>
      <c r="Q151" s="77" t="s">
        <v>188</v>
      </c>
      <c r="T151" s="77" t="s">
        <v>112</v>
      </c>
      <c r="U151" s="77" t="s">
        <v>85</v>
      </c>
      <c r="V151" s="80" t="s">
        <v>514</v>
      </c>
      <c r="X151" s="77" t="s">
        <v>515</v>
      </c>
      <c r="Y151" s="78" t="s">
        <v>88</v>
      </c>
      <c r="AA151" s="77" t="s">
        <v>191</v>
      </c>
      <c r="AB151" s="77" t="s">
        <v>78</v>
      </c>
      <c r="AC151" s="77" t="s">
        <v>90</v>
      </c>
      <c r="AD151" s="77" t="s">
        <v>91</v>
      </c>
      <c r="AE151" s="77" t="s">
        <v>192</v>
      </c>
      <c r="AG151" s="77" t="s">
        <v>112</v>
      </c>
    </row>
    <row r="152" spans="1:33" x14ac:dyDescent="0.3">
      <c r="A152" s="77" t="s">
        <v>518</v>
      </c>
      <c r="B152" s="77" t="s">
        <v>519</v>
      </c>
      <c r="G152" s="77" t="s">
        <v>186</v>
      </c>
      <c r="H152" s="77" t="s">
        <v>77</v>
      </c>
      <c r="I152" s="77" t="s">
        <v>78</v>
      </c>
      <c r="J152" s="77" t="s">
        <v>79</v>
      </c>
      <c r="K152" s="77" t="s">
        <v>80</v>
      </c>
      <c r="L152" s="77" t="s">
        <v>520</v>
      </c>
      <c r="M152" s="77" t="s">
        <v>82</v>
      </c>
      <c r="N152" s="77" t="s">
        <v>83</v>
      </c>
      <c r="Q152" s="77" t="s">
        <v>188</v>
      </c>
      <c r="T152" s="77" t="s">
        <v>112</v>
      </c>
      <c r="U152" s="77" t="s">
        <v>85</v>
      </c>
      <c r="V152" s="80" t="s">
        <v>521</v>
      </c>
      <c r="X152" s="77" t="s">
        <v>522</v>
      </c>
      <c r="Y152" s="78" t="s">
        <v>101</v>
      </c>
      <c r="AA152" s="77" t="s">
        <v>191</v>
      </c>
      <c r="AB152" s="77" t="s">
        <v>78</v>
      </c>
      <c r="AC152" s="77" t="s">
        <v>90</v>
      </c>
      <c r="AD152" s="77" t="s">
        <v>102</v>
      </c>
      <c r="AE152" s="77" t="s">
        <v>192</v>
      </c>
      <c r="AG152" s="77" t="s">
        <v>112</v>
      </c>
    </row>
    <row r="153" spans="1:33" x14ac:dyDescent="0.3">
      <c r="A153" s="77" t="s">
        <v>523</v>
      </c>
      <c r="B153" s="77" t="s">
        <v>524</v>
      </c>
      <c r="G153" s="77" t="s">
        <v>186</v>
      </c>
      <c r="H153" s="77" t="s">
        <v>77</v>
      </c>
      <c r="I153" s="77" t="s">
        <v>78</v>
      </c>
      <c r="J153" s="77" t="s">
        <v>79</v>
      </c>
      <c r="K153" s="77" t="s">
        <v>80</v>
      </c>
      <c r="L153" s="77" t="s">
        <v>520</v>
      </c>
      <c r="M153" s="77" t="s">
        <v>82</v>
      </c>
      <c r="N153" s="77" t="s">
        <v>83</v>
      </c>
      <c r="Q153" s="77" t="s">
        <v>188</v>
      </c>
      <c r="T153" s="77" t="s">
        <v>112</v>
      </c>
      <c r="U153" s="77" t="s">
        <v>85</v>
      </c>
      <c r="V153" s="80" t="s">
        <v>521</v>
      </c>
      <c r="X153" s="77" t="s">
        <v>522</v>
      </c>
      <c r="Y153" s="78" t="s">
        <v>101</v>
      </c>
      <c r="AA153" s="77" t="s">
        <v>191</v>
      </c>
      <c r="AB153" s="77" t="s">
        <v>78</v>
      </c>
      <c r="AC153" s="77" t="s">
        <v>90</v>
      </c>
      <c r="AD153" s="77" t="s">
        <v>102</v>
      </c>
      <c r="AE153" s="77" t="s">
        <v>192</v>
      </c>
      <c r="AG153" s="77" t="s">
        <v>112</v>
      </c>
    </row>
    <row r="154" spans="1:33" x14ac:dyDescent="0.3">
      <c r="A154" s="77" t="s">
        <v>525</v>
      </c>
      <c r="B154" s="77" t="s">
        <v>526</v>
      </c>
      <c r="G154" s="77" t="s">
        <v>186</v>
      </c>
      <c r="H154" s="77" t="s">
        <v>77</v>
      </c>
      <c r="I154" s="77" t="s">
        <v>78</v>
      </c>
      <c r="J154" s="77" t="s">
        <v>79</v>
      </c>
      <c r="K154" s="77" t="s">
        <v>80</v>
      </c>
      <c r="L154" s="77" t="s">
        <v>527</v>
      </c>
      <c r="M154" s="77" t="s">
        <v>82</v>
      </c>
      <c r="N154" s="77" t="s">
        <v>83</v>
      </c>
      <c r="Q154" s="77" t="s">
        <v>188</v>
      </c>
      <c r="T154" s="77" t="s">
        <v>112</v>
      </c>
      <c r="U154" s="77" t="s">
        <v>85</v>
      </c>
      <c r="V154" s="80" t="s">
        <v>528</v>
      </c>
      <c r="X154" s="77" t="s">
        <v>529</v>
      </c>
      <c r="Y154" s="78" t="s">
        <v>101</v>
      </c>
      <c r="AA154" s="77" t="s">
        <v>191</v>
      </c>
      <c r="AB154" s="77" t="s">
        <v>78</v>
      </c>
      <c r="AC154" s="77" t="s">
        <v>90</v>
      </c>
      <c r="AD154" s="77" t="s">
        <v>102</v>
      </c>
      <c r="AE154" s="77" t="s">
        <v>192</v>
      </c>
      <c r="AG154" s="77" t="s">
        <v>112</v>
      </c>
    </row>
    <row r="155" spans="1:33" x14ac:dyDescent="0.3">
      <c r="A155" s="77" t="s">
        <v>530</v>
      </c>
      <c r="B155" s="77" t="s">
        <v>531</v>
      </c>
      <c r="G155" s="77" t="s">
        <v>186</v>
      </c>
      <c r="H155" s="77" t="s">
        <v>77</v>
      </c>
      <c r="I155" s="77" t="s">
        <v>78</v>
      </c>
      <c r="J155" s="77" t="s">
        <v>79</v>
      </c>
      <c r="K155" s="77" t="s">
        <v>80</v>
      </c>
      <c r="L155" s="77" t="s">
        <v>527</v>
      </c>
      <c r="M155" s="77" t="s">
        <v>82</v>
      </c>
      <c r="N155" s="77" t="s">
        <v>83</v>
      </c>
      <c r="Q155" s="77" t="s">
        <v>188</v>
      </c>
      <c r="T155" s="77" t="s">
        <v>112</v>
      </c>
      <c r="U155" s="77" t="s">
        <v>85</v>
      </c>
      <c r="V155" s="80" t="s">
        <v>528</v>
      </c>
      <c r="X155" s="77" t="s">
        <v>529</v>
      </c>
      <c r="Y155" s="78" t="s">
        <v>101</v>
      </c>
      <c r="AA155" s="77" t="s">
        <v>191</v>
      </c>
      <c r="AB155" s="77" t="s">
        <v>78</v>
      </c>
      <c r="AC155" s="77" t="s">
        <v>90</v>
      </c>
      <c r="AD155" s="77" t="s">
        <v>102</v>
      </c>
      <c r="AE155" s="77" t="s">
        <v>192</v>
      </c>
      <c r="AG155" s="77" t="s">
        <v>112</v>
      </c>
    </row>
    <row r="156" spans="1:33" x14ac:dyDescent="0.3">
      <c r="A156" s="77" t="s">
        <v>532</v>
      </c>
      <c r="B156" s="77" t="s">
        <v>533</v>
      </c>
      <c r="G156" s="77" t="s">
        <v>186</v>
      </c>
      <c r="H156" s="77" t="s">
        <v>77</v>
      </c>
      <c r="I156" s="77" t="s">
        <v>78</v>
      </c>
      <c r="J156" s="77" t="s">
        <v>79</v>
      </c>
      <c r="K156" s="77" t="s">
        <v>80</v>
      </c>
      <c r="L156" s="77" t="s">
        <v>534</v>
      </c>
      <c r="M156" s="77" t="s">
        <v>82</v>
      </c>
      <c r="N156" s="77" t="s">
        <v>83</v>
      </c>
      <c r="Q156" s="77" t="s">
        <v>188</v>
      </c>
      <c r="T156" s="77" t="s">
        <v>112</v>
      </c>
      <c r="U156" s="77" t="s">
        <v>85</v>
      </c>
      <c r="V156" s="80" t="s">
        <v>507</v>
      </c>
      <c r="X156" s="77" t="s">
        <v>508</v>
      </c>
      <c r="Y156" s="78" t="s">
        <v>88</v>
      </c>
      <c r="AA156" s="77" t="s">
        <v>191</v>
      </c>
      <c r="AB156" s="77" t="s">
        <v>78</v>
      </c>
      <c r="AC156" s="77" t="s">
        <v>90</v>
      </c>
      <c r="AD156" s="77" t="s">
        <v>91</v>
      </c>
      <c r="AE156" s="77" t="s">
        <v>192</v>
      </c>
      <c r="AG156" s="77" t="s">
        <v>112</v>
      </c>
    </row>
    <row r="157" spans="1:33" x14ac:dyDescent="0.3">
      <c r="A157" s="77" t="s">
        <v>535</v>
      </c>
      <c r="B157" s="77" t="s">
        <v>536</v>
      </c>
      <c r="G157" s="77" t="s">
        <v>186</v>
      </c>
      <c r="H157" s="77" t="s">
        <v>77</v>
      </c>
      <c r="I157" s="77" t="s">
        <v>78</v>
      </c>
      <c r="J157" s="77" t="s">
        <v>79</v>
      </c>
      <c r="K157" s="77" t="s">
        <v>80</v>
      </c>
      <c r="L157" s="77" t="s">
        <v>537</v>
      </c>
      <c r="M157" s="77" t="s">
        <v>82</v>
      </c>
      <c r="N157" s="77" t="s">
        <v>83</v>
      </c>
      <c r="Q157" s="77" t="s">
        <v>188</v>
      </c>
      <c r="T157" s="77" t="s">
        <v>112</v>
      </c>
      <c r="U157" s="77" t="s">
        <v>85</v>
      </c>
      <c r="V157" s="80" t="s">
        <v>514</v>
      </c>
      <c r="X157" s="77" t="s">
        <v>515</v>
      </c>
      <c r="Y157" s="78" t="s">
        <v>88</v>
      </c>
      <c r="AA157" s="77" t="s">
        <v>191</v>
      </c>
      <c r="AB157" s="77" t="s">
        <v>78</v>
      </c>
      <c r="AC157" s="77" t="s">
        <v>90</v>
      </c>
      <c r="AD157" s="77" t="s">
        <v>91</v>
      </c>
      <c r="AE157" s="77" t="s">
        <v>192</v>
      </c>
      <c r="AG157" s="77" t="s">
        <v>112</v>
      </c>
    </row>
    <row r="158" spans="1:33" x14ac:dyDescent="0.3">
      <c r="A158" s="77" t="s">
        <v>538</v>
      </c>
      <c r="B158" s="77" t="s">
        <v>539</v>
      </c>
      <c r="G158" s="77" t="s">
        <v>186</v>
      </c>
      <c r="H158" s="77" t="s">
        <v>77</v>
      </c>
      <c r="I158" s="77" t="s">
        <v>78</v>
      </c>
      <c r="J158" s="77" t="s">
        <v>79</v>
      </c>
      <c r="K158" s="77" t="s">
        <v>80</v>
      </c>
      <c r="L158" s="77" t="s">
        <v>540</v>
      </c>
      <c r="M158" s="77" t="s">
        <v>82</v>
      </c>
      <c r="N158" s="77" t="s">
        <v>83</v>
      </c>
      <c r="Q158" s="77" t="s">
        <v>188</v>
      </c>
      <c r="T158" s="77" t="s">
        <v>112</v>
      </c>
      <c r="U158" s="77" t="s">
        <v>85</v>
      </c>
      <c r="V158" s="80" t="s">
        <v>521</v>
      </c>
      <c r="X158" s="77" t="s">
        <v>522</v>
      </c>
      <c r="Y158" s="78" t="s">
        <v>101</v>
      </c>
      <c r="AA158" s="77" t="s">
        <v>191</v>
      </c>
      <c r="AB158" s="77" t="s">
        <v>78</v>
      </c>
      <c r="AC158" s="77" t="s">
        <v>90</v>
      </c>
      <c r="AD158" s="77" t="s">
        <v>102</v>
      </c>
      <c r="AE158" s="77" t="s">
        <v>192</v>
      </c>
      <c r="AG158" s="77" t="s">
        <v>112</v>
      </c>
    </row>
    <row r="159" spans="1:33" x14ac:dyDescent="0.3">
      <c r="A159" s="77" t="s">
        <v>541</v>
      </c>
      <c r="B159" s="77" t="s">
        <v>542</v>
      </c>
      <c r="G159" s="77" t="s">
        <v>186</v>
      </c>
      <c r="H159" s="77" t="s">
        <v>77</v>
      </c>
      <c r="I159" s="77" t="s">
        <v>78</v>
      </c>
      <c r="J159" s="77" t="s">
        <v>79</v>
      </c>
      <c r="K159" s="77" t="s">
        <v>80</v>
      </c>
      <c r="L159" s="77" t="s">
        <v>543</v>
      </c>
      <c r="M159" s="77" t="s">
        <v>82</v>
      </c>
      <c r="N159" s="77" t="s">
        <v>83</v>
      </c>
      <c r="Q159" s="77" t="s">
        <v>188</v>
      </c>
      <c r="T159" s="77" t="s">
        <v>112</v>
      </c>
      <c r="U159" s="77" t="s">
        <v>85</v>
      </c>
      <c r="V159" s="80" t="s">
        <v>528</v>
      </c>
      <c r="X159" s="77" t="s">
        <v>529</v>
      </c>
      <c r="Y159" s="78" t="s">
        <v>101</v>
      </c>
      <c r="AA159" s="77" t="s">
        <v>191</v>
      </c>
      <c r="AB159" s="77" t="s">
        <v>78</v>
      </c>
      <c r="AC159" s="77" t="s">
        <v>90</v>
      </c>
      <c r="AD159" s="77" t="s">
        <v>102</v>
      </c>
      <c r="AE159" s="77" t="s">
        <v>192</v>
      </c>
      <c r="AG159" s="77" t="s">
        <v>112</v>
      </c>
    </row>
    <row r="160" spans="1:33" x14ac:dyDescent="0.3">
      <c r="A160" s="77" t="s">
        <v>544</v>
      </c>
      <c r="B160" s="77" t="s">
        <v>545</v>
      </c>
      <c r="G160" s="77" t="s">
        <v>186</v>
      </c>
      <c r="H160" s="77" t="s">
        <v>77</v>
      </c>
      <c r="I160" s="77" t="s">
        <v>78</v>
      </c>
      <c r="J160" s="77" t="s">
        <v>79</v>
      </c>
      <c r="K160" s="77" t="s">
        <v>80</v>
      </c>
      <c r="L160" s="77" t="s">
        <v>546</v>
      </c>
      <c r="M160" s="77" t="s">
        <v>82</v>
      </c>
      <c r="N160" s="77" t="s">
        <v>83</v>
      </c>
      <c r="Q160" s="77" t="s">
        <v>188</v>
      </c>
      <c r="T160" s="77" t="s">
        <v>112</v>
      </c>
      <c r="U160" s="77" t="s">
        <v>85</v>
      </c>
      <c r="V160" s="80" t="s">
        <v>547</v>
      </c>
      <c r="X160" s="77" t="s">
        <v>548</v>
      </c>
      <c r="Y160" s="78" t="s">
        <v>88</v>
      </c>
      <c r="AA160" s="77" t="s">
        <v>191</v>
      </c>
      <c r="AB160" s="77" t="s">
        <v>78</v>
      </c>
      <c r="AC160" s="77" t="s">
        <v>90</v>
      </c>
      <c r="AD160" s="77" t="s">
        <v>91</v>
      </c>
      <c r="AE160" s="77" t="s">
        <v>192</v>
      </c>
      <c r="AG160" s="77" t="s">
        <v>112</v>
      </c>
    </row>
    <row r="161" spans="1:33" x14ac:dyDescent="0.3">
      <c r="A161" s="77" t="s">
        <v>549</v>
      </c>
      <c r="B161" s="77" t="s">
        <v>550</v>
      </c>
      <c r="G161" s="77" t="s">
        <v>186</v>
      </c>
      <c r="H161" s="77" t="s">
        <v>77</v>
      </c>
      <c r="I161" s="77" t="s">
        <v>78</v>
      </c>
      <c r="J161" s="77" t="s">
        <v>79</v>
      </c>
      <c r="K161" s="77" t="s">
        <v>80</v>
      </c>
      <c r="L161" s="77" t="s">
        <v>546</v>
      </c>
      <c r="M161" s="77" t="s">
        <v>82</v>
      </c>
      <c r="N161" s="77" t="s">
        <v>83</v>
      </c>
      <c r="Q161" s="77" t="s">
        <v>188</v>
      </c>
      <c r="T161" s="77" t="s">
        <v>112</v>
      </c>
      <c r="U161" s="77" t="s">
        <v>85</v>
      </c>
      <c r="V161" s="80" t="s">
        <v>547</v>
      </c>
      <c r="X161" s="77" t="s">
        <v>548</v>
      </c>
      <c r="Y161" s="78" t="s">
        <v>88</v>
      </c>
      <c r="AA161" s="77" t="s">
        <v>191</v>
      </c>
      <c r="AB161" s="77" t="s">
        <v>78</v>
      </c>
      <c r="AC161" s="77" t="s">
        <v>90</v>
      </c>
      <c r="AD161" s="77" t="s">
        <v>91</v>
      </c>
      <c r="AE161" s="77" t="s">
        <v>192</v>
      </c>
      <c r="AG161" s="77" t="s">
        <v>112</v>
      </c>
    </row>
    <row r="162" spans="1:33" x14ac:dyDescent="0.3">
      <c r="A162" s="77" t="s">
        <v>551</v>
      </c>
      <c r="B162" s="77" t="s">
        <v>552</v>
      </c>
      <c r="G162" s="77" t="s">
        <v>186</v>
      </c>
      <c r="H162" s="77" t="s">
        <v>77</v>
      </c>
      <c r="I162" s="77" t="s">
        <v>78</v>
      </c>
      <c r="J162" s="77" t="s">
        <v>79</v>
      </c>
      <c r="K162" s="77" t="s">
        <v>80</v>
      </c>
      <c r="L162" s="77" t="s">
        <v>553</v>
      </c>
      <c r="M162" s="77" t="s">
        <v>82</v>
      </c>
      <c r="N162" s="77" t="s">
        <v>83</v>
      </c>
      <c r="Q162" s="77" t="s">
        <v>188</v>
      </c>
      <c r="T162" s="77" t="s">
        <v>112</v>
      </c>
      <c r="U162" s="77" t="s">
        <v>85</v>
      </c>
      <c r="V162" s="80" t="s">
        <v>554</v>
      </c>
      <c r="X162" s="77" t="s">
        <v>555</v>
      </c>
      <c r="Y162" s="78" t="s">
        <v>88</v>
      </c>
      <c r="AA162" s="77" t="s">
        <v>191</v>
      </c>
      <c r="AB162" s="77" t="s">
        <v>78</v>
      </c>
      <c r="AC162" s="77" t="s">
        <v>90</v>
      </c>
      <c r="AD162" s="77" t="s">
        <v>91</v>
      </c>
      <c r="AE162" s="77" t="s">
        <v>192</v>
      </c>
      <c r="AG162" s="77" t="s">
        <v>112</v>
      </c>
    </row>
    <row r="163" spans="1:33" x14ac:dyDescent="0.3">
      <c r="A163" s="77" t="s">
        <v>556</v>
      </c>
      <c r="B163" s="77" t="s">
        <v>557</v>
      </c>
      <c r="G163" s="77" t="s">
        <v>186</v>
      </c>
      <c r="H163" s="77" t="s">
        <v>77</v>
      </c>
      <c r="I163" s="77" t="s">
        <v>78</v>
      </c>
      <c r="J163" s="77" t="s">
        <v>79</v>
      </c>
      <c r="K163" s="77" t="s">
        <v>80</v>
      </c>
      <c r="L163" s="77" t="s">
        <v>553</v>
      </c>
      <c r="M163" s="77" t="s">
        <v>82</v>
      </c>
      <c r="N163" s="77" t="s">
        <v>83</v>
      </c>
      <c r="Q163" s="77" t="s">
        <v>188</v>
      </c>
      <c r="T163" s="77" t="s">
        <v>112</v>
      </c>
      <c r="U163" s="77" t="s">
        <v>85</v>
      </c>
      <c r="V163" s="80" t="s">
        <v>554</v>
      </c>
      <c r="X163" s="77" t="s">
        <v>555</v>
      </c>
      <c r="Y163" s="78" t="s">
        <v>88</v>
      </c>
      <c r="AA163" s="77" t="s">
        <v>191</v>
      </c>
      <c r="AB163" s="77" t="s">
        <v>78</v>
      </c>
      <c r="AC163" s="77" t="s">
        <v>90</v>
      </c>
      <c r="AD163" s="77" t="s">
        <v>91</v>
      </c>
      <c r="AE163" s="77" t="s">
        <v>192</v>
      </c>
      <c r="AG163" s="77" t="s">
        <v>112</v>
      </c>
    </row>
    <row r="164" spans="1:33" x14ac:dyDescent="0.3">
      <c r="A164" s="77" t="s">
        <v>558</v>
      </c>
      <c r="B164" s="77" t="s">
        <v>559</v>
      </c>
      <c r="G164" s="77" t="s">
        <v>186</v>
      </c>
      <c r="H164" s="77" t="s">
        <v>77</v>
      </c>
      <c r="I164" s="77" t="s">
        <v>78</v>
      </c>
      <c r="J164" s="77" t="s">
        <v>79</v>
      </c>
      <c r="K164" s="77" t="s">
        <v>80</v>
      </c>
      <c r="L164" s="77" t="s">
        <v>560</v>
      </c>
      <c r="M164" s="77" t="s">
        <v>82</v>
      </c>
      <c r="N164" s="77" t="s">
        <v>83</v>
      </c>
      <c r="Q164" s="77" t="s">
        <v>188</v>
      </c>
      <c r="T164" s="77" t="s">
        <v>112</v>
      </c>
      <c r="U164" s="77" t="s">
        <v>85</v>
      </c>
      <c r="V164" s="80" t="s">
        <v>561</v>
      </c>
      <c r="X164" s="77" t="s">
        <v>562</v>
      </c>
      <c r="Y164" s="78" t="s">
        <v>101</v>
      </c>
      <c r="AA164" s="77" t="s">
        <v>191</v>
      </c>
      <c r="AB164" s="77" t="s">
        <v>78</v>
      </c>
      <c r="AC164" s="77" t="s">
        <v>90</v>
      </c>
      <c r="AD164" s="77" t="s">
        <v>102</v>
      </c>
      <c r="AE164" s="77" t="s">
        <v>192</v>
      </c>
      <c r="AG164" s="77" t="s">
        <v>112</v>
      </c>
    </row>
    <row r="165" spans="1:33" x14ac:dyDescent="0.3">
      <c r="A165" s="77" t="s">
        <v>563</v>
      </c>
      <c r="B165" s="77" t="s">
        <v>564</v>
      </c>
      <c r="G165" s="77" t="s">
        <v>186</v>
      </c>
      <c r="H165" s="77" t="s">
        <v>77</v>
      </c>
      <c r="I165" s="77" t="s">
        <v>78</v>
      </c>
      <c r="J165" s="77" t="s">
        <v>79</v>
      </c>
      <c r="K165" s="77" t="s">
        <v>80</v>
      </c>
      <c r="L165" s="77" t="s">
        <v>560</v>
      </c>
      <c r="M165" s="77" t="s">
        <v>82</v>
      </c>
      <c r="N165" s="77" t="s">
        <v>83</v>
      </c>
      <c r="Q165" s="77" t="s">
        <v>188</v>
      </c>
      <c r="T165" s="77" t="s">
        <v>112</v>
      </c>
      <c r="U165" s="77" t="s">
        <v>85</v>
      </c>
      <c r="V165" s="80" t="s">
        <v>561</v>
      </c>
      <c r="X165" s="77" t="s">
        <v>562</v>
      </c>
      <c r="Y165" s="78" t="s">
        <v>101</v>
      </c>
      <c r="AA165" s="77" t="s">
        <v>191</v>
      </c>
      <c r="AB165" s="77" t="s">
        <v>78</v>
      </c>
      <c r="AC165" s="77" t="s">
        <v>90</v>
      </c>
      <c r="AD165" s="77" t="s">
        <v>102</v>
      </c>
      <c r="AE165" s="77" t="s">
        <v>192</v>
      </c>
      <c r="AG165" s="77" t="s">
        <v>112</v>
      </c>
    </row>
    <row r="166" spans="1:33" x14ac:dyDescent="0.3">
      <c r="A166" s="77" t="s">
        <v>565</v>
      </c>
      <c r="B166" s="77" t="s">
        <v>566</v>
      </c>
      <c r="G166" s="77" t="s">
        <v>186</v>
      </c>
      <c r="H166" s="77" t="s">
        <v>77</v>
      </c>
      <c r="I166" s="77" t="s">
        <v>78</v>
      </c>
      <c r="J166" s="77" t="s">
        <v>79</v>
      </c>
      <c r="K166" s="77" t="s">
        <v>80</v>
      </c>
      <c r="L166" s="77" t="s">
        <v>567</v>
      </c>
      <c r="M166" s="77" t="s">
        <v>82</v>
      </c>
      <c r="N166" s="77" t="s">
        <v>83</v>
      </c>
      <c r="Q166" s="77" t="s">
        <v>188</v>
      </c>
      <c r="T166" s="77" t="s">
        <v>112</v>
      </c>
      <c r="U166" s="77" t="s">
        <v>85</v>
      </c>
      <c r="V166" s="80" t="s">
        <v>568</v>
      </c>
      <c r="X166" s="77" t="s">
        <v>569</v>
      </c>
      <c r="Y166" s="78" t="s">
        <v>101</v>
      </c>
      <c r="AA166" s="77" t="s">
        <v>191</v>
      </c>
      <c r="AB166" s="77" t="s">
        <v>78</v>
      </c>
      <c r="AC166" s="77" t="s">
        <v>90</v>
      </c>
      <c r="AD166" s="77" t="s">
        <v>102</v>
      </c>
      <c r="AE166" s="77" t="s">
        <v>192</v>
      </c>
      <c r="AG166" s="77" t="s">
        <v>112</v>
      </c>
    </row>
    <row r="167" spans="1:33" x14ac:dyDescent="0.3">
      <c r="A167" s="77" t="s">
        <v>570</v>
      </c>
      <c r="B167" s="77" t="s">
        <v>571</v>
      </c>
      <c r="G167" s="77" t="s">
        <v>186</v>
      </c>
      <c r="H167" s="77" t="s">
        <v>77</v>
      </c>
      <c r="I167" s="77" t="s">
        <v>78</v>
      </c>
      <c r="J167" s="77" t="s">
        <v>79</v>
      </c>
      <c r="K167" s="77" t="s">
        <v>80</v>
      </c>
      <c r="L167" s="77" t="s">
        <v>567</v>
      </c>
      <c r="M167" s="77" t="s">
        <v>82</v>
      </c>
      <c r="N167" s="77" t="s">
        <v>83</v>
      </c>
      <c r="Q167" s="77" t="s">
        <v>188</v>
      </c>
      <c r="T167" s="77" t="s">
        <v>112</v>
      </c>
      <c r="U167" s="77" t="s">
        <v>85</v>
      </c>
      <c r="V167" s="80" t="s">
        <v>568</v>
      </c>
      <c r="X167" s="77" t="s">
        <v>569</v>
      </c>
      <c r="Y167" s="78" t="s">
        <v>101</v>
      </c>
      <c r="AA167" s="77" t="s">
        <v>191</v>
      </c>
      <c r="AB167" s="77" t="s">
        <v>78</v>
      </c>
      <c r="AC167" s="77" t="s">
        <v>90</v>
      </c>
      <c r="AD167" s="77" t="s">
        <v>102</v>
      </c>
      <c r="AE167" s="77" t="s">
        <v>192</v>
      </c>
      <c r="AG167" s="77" t="s">
        <v>112</v>
      </c>
    </row>
    <row r="168" spans="1:33" x14ac:dyDescent="0.3">
      <c r="A168" s="77" t="s">
        <v>572</v>
      </c>
      <c r="B168" s="77" t="s">
        <v>573</v>
      </c>
      <c r="G168" s="77" t="s">
        <v>186</v>
      </c>
      <c r="H168" s="77" t="s">
        <v>77</v>
      </c>
      <c r="I168" s="77" t="s">
        <v>78</v>
      </c>
      <c r="J168" s="77" t="s">
        <v>79</v>
      </c>
      <c r="K168" s="77" t="s">
        <v>80</v>
      </c>
      <c r="L168" s="77" t="s">
        <v>574</v>
      </c>
      <c r="M168" s="77" t="s">
        <v>82</v>
      </c>
      <c r="N168" s="77" t="s">
        <v>83</v>
      </c>
      <c r="Q168" s="77" t="s">
        <v>188</v>
      </c>
      <c r="T168" s="77" t="s">
        <v>112</v>
      </c>
      <c r="U168" s="77" t="s">
        <v>85</v>
      </c>
      <c r="V168" s="80" t="s">
        <v>86</v>
      </c>
      <c r="X168" s="77" t="s">
        <v>87</v>
      </c>
      <c r="Y168" s="78" t="s">
        <v>88</v>
      </c>
      <c r="AA168" s="77" t="s">
        <v>191</v>
      </c>
      <c r="AB168" s="77" t="s">
        <v>78</v>
      </c>
      <c r="AC168" s="77" t="s">
        <v>90</v>
      </c>
      <c r="AD168" s="77" t="s">
        <v>91</v>
      </c>
      <c r="AE168" s="77" t="s">
        <v>192</v>
      </c>
      <c r="AG168" s="77" t="s">
        <v>112</v>
      </c>
    </row>
    <row r="169" spans="1:33" x14ac:dyDescent="0.3">
      <c r="A169" s="77" t="s">
        <v>575</v>
      </c>
      <c r="B169" s="77" t="s">
        <v>576</v>
      </c>
      <c r="G169" s="77" t="s">
        <v>186</v>
      </c>
      <c r="H169" s="77" t="s">
        <v>77</v>
      </c>
      <c r="I169" s="77" t="s">
        <v>78</v>
      </c>
      <c r="J169" s="77" t="s">
        <v>79</v>
      </c>
      <c r="K169" s="77" t="s">
        <v>80</v>
      </c>
      <c r="L169" s="77" t="s">
        <v>577</v>
      </c>
      <c r="M169" s="77" t="s">
        <v>82</v>
      </c>
      <c r="N169" s="77" t="s">
        <v>83</v>
      </c>
      <c r="Q169" s="77" t="s">
        <v>188</v>
      </c>
      <c r="T169" s="77" t="s">
        <v>112</v>
      </c>
      <c r="U169" s="77" t="s">
        <v>85</v>
      </c>
      <c r="V169" s="80" t="s">
        <v>95</v>
      </c>
      <c r="X169" s="77" t="s">
        <v>96</v>
      </c>
      <c r="Y169" s="78" t="s">
        <v>88</v>
      </c>
      <c r="AA169" s="77" t="s">
        <v>191</v>
      </c>
      <c r="AB169" s="77" t="s">
        <v>78</v>
      </c>
      <c r="AC169" s="77" t="s">
        <v>90</v>
      </c>
      <c r="AD169" s="77" t="s">
        <v>91</v>
      </c>
      <c r="AE169" s="77" t="s">
        <v>192</v>
      </c>
      <c r="AG169" s="77" t="s">
        <v>112</v>
      </c>
    </row>
    <row r="170" spans="1:33" x14ac:dyDescent="0.3">
      <c r="A170" s="77" t="s">
        <v>578</v>
      </c>
      <c r="B170" s="77" t="s">
        <v>579</v>
      </c>
      <c r="G170" s="77" t="s">
        <v>186</v>
      </c>
      <c r="H170" s="77" t="s">
        <v>77</v>
      </c>
      <c r="I170" s="77" t="s">
        <v>78</v>
      </c>
      <c r="J170" s="77" t="s">
        <v>79</v>
      </c>
      <c r="K170" s="77" t="s">
        <v>80</v>
      </c>
      <c r="L170" s="77" t="s">
        <v>580</v>
      </c>
      <c r="M170" s="77" t="s">
        <v>82</v>
      </c>
      <c r="N170" s="77" t="s">
        <v>83</v>
      </c>
      <c r="Q170" s="77" t="s">
        <v>188</v>
      </c>
      <c r="T170" s="77" t="s">
        <v>112</v>
      </c>
      <c r="U170" s="77" t="s">
        <v>85</v>
      </c>
      <c r="V170" s="80" t="s">
        <v>99</v>
      </c>
      <c r="X170" s="77" t="s">
        <v>100</v>
      </c>
      <c r="Y170" s="78" t="s">
        <v>101</v>
      </c>
      <c r="AA170" s="77" t="s">
        <v>191</v>
      </c>
      <c r="AB170" s="77" t="s">
        <v>78</v>
      </c>
      <c r="AC170" s="77" t="s">
        <v>90</v>
      </c>
      <c r="AD170" s="77" t="s">
        <v>102</v>
      </c>
      <c r="AE170" s="77" t="s">
        <v>192</v>
      </c>
      <c r="AG170" s="77" t="s">
        <v>112</v>
      </c>
    </row>
    <row r="171" spans="1:33" x14ac:dyDescent="0.3">
      <c r="A171" s="77" t="s">
        <v>581</v>
      </c>
      <c r="B171" s="77" t="s">
        <v>582</v>
      </c>
      <c r="G171" s="77" t="s">
        <v>186</v>
      </c>
      <c r="H171" s="77" t="s">
        <v>77</v>
      </c>
      <c r="I171" s="77" t="s">
        <v>78</v>
      </c>
      <c r="J171" s="77" t="s">
        <v>79</v>
      </c>
      <c r="K171" s="77" t="s">
        <v>80</v>
      </c>
      <c r="L171" s="77" t="s">
        <v>583</v>
      </c>
      <c r="M171" s="77" t="s">
        <v>82</v>
      </c>
      <c r="N171" s="77" t="s">
        <v>83</v>
      </c>
      <c r="Q171" s="77" t="s">
        <v>188</v>
      </c>
      <c r="T171" s="77" t="s">
        <v>112</v>
      </c>
      <c r="U171" s="77" t="s">
        <v>85</v>
      </c>
      <c r="V171" s="80" t="s">
        <v>105</v>
      </c>
      <c r="X171" s="77" t="s">
        <v>106</v>
      </c>
      <c r="Y171" s="78" t="s">
        <v>101</v>
      </c>
      <c r="AA171" s="77" t="s">
        <v>191</v>
      </c>
      <c r="AB171" s="77" t="s">
        <v>78</v>
      </c>
      <c r="AC171" s="77" t="s">
        <v>90</v>
      </c>
      <c r="AD171" s="77" t="s">
        <v>102</v>
      </c>
      <c r="AE171" s="77" t="s">
        <v>192</v>
      </c>
      <c r="AG171" s="77" t="s">
        <v>112</v>
      </c>
    </row>
    <row r="172" spans="1:33" x14ac:dyDescent="0.3">
      <c r="A172" s="77" t="s">
        <v>584</v>
      </c>
      <c r="B172" s="77" t="s">
        <v>585</v>
      </c>
      <c r="G172" s="77" t="s">
        <v>186</v>
      </c>
      <c r="H172" s="77" t="s">
        <v>77</v>
      </c>
      <c r="I172" s="77" t="s">
        <v>78</v>
      </c>
      <c r="J172" s="77" t="s">
        <v>79</v>
      </c>
      <c r="K172" s="77" t="s">
        <v>80</v>
      </c>
      <c r="L172" s="77" t="s">
        <v>586</v>
      </c>
      <c r="M172" s="77" t="s">
        <v>82</v>
      </c>
      <c r="N172" s="77" t="s">
        <v>83</v>
      </c>
      <c r="Q172" s="77" t="s">
        <v>188</v>
      </c>
      <c r="T172" s="77" t="s">
        <v>112</v>
      </c>
      <c r="U172" s="77" t="s">
        <v>85</v>
      </c>
      <c r="V172" s="80" t="s">
        <v>86</v>
      </c>
      <c r="X172" s="77" t="s">
        <v>87</v>
      </c>
      <c r="Y172" s="78" t="s">
        <v>88</v>
      </c>
      <c r="AA172" s="77" t="s">
        <v>191</v>
      </c>
      <c r="AB172" s="77" t="s">
        <v>78</v>
      </c>
      <c r="AC172" s="77" t="s">
        <v>90</v>
      </c>
      <c r="AD172" s="77" t="s">
        <v>91</v>
      </c>
      <c r="AE172" s="77" t="s">
        <v>192</v>
      </c>
      <c r="AG172" s="77" t="s">
        <v>112</v>
      </c>
    </row>
    <row r="173" spans="1:33" x14ac:dyDescent="0.3">
      <c r="A173" s="77" t="s">
        <v>587</v>
      </c>
      <c r="B173" s="77" t="s">
        <v>588</v>
      </c>
      <c r="G173" s="77" t="s">
        <v>186</v>
      </c>
      <c r="H173" s="77" t="s">
        <v>77</v>
      </c>
      <c r="I173" s="77" t="s">
        <v>78</v>
      </c>
      <c r="J173" s="77" t="s">
        <v>79</v>
      </c>
      <c r="K173" s="77" t="s">
        <v>80</v>
      </c>
      <c r="L173" s="77" t="s">
        <v>586</v>
      </c>
      <c r="M173" s="77" t="s">
        <v>82</v>
      </c>
      <c r="N173" s="77" t="s">
        <v>83</v>
      </c>
      <c r="Q173" s="77" t="s">
        <v>188</v>
      </c>
      <c r="T173" s="77" t="s">
        <v>112</v>
      </c>
      <c r="U173" s="77" t="s">
        <v>85</v>
      </c>
      <c r="V173" s="80" t="s">
        <v>86</v>
      </c>
      <c r="X173" s="77" t="s">
        <v>87</v>
      </c>
      <c r="Y173" s="78" t="s">
        <v>88</v>
      </c>
      <c r="AA173" s="77" t="s">
        <v>191</v>
      </c>
      <c r="AB173" s="77" t="s">
        <v>78</v>
      </c>
      <c r="AC173" s="77" t="s">
        <v>90</v>
      </c>
      <c r="AD173" s="77" t="s">
        <v>91</v>
      </c>
      <c r="AE173" s="77" t="s">
        <v>192</v>
      </c>
      <c r="AG173" s="77" t="s">
        <v>112</v>
      </c>
    </row>
    <row r="174" spans="1:33" x14ac:dyDescent="0.3">
      <c r="A174" s="77" t="s">
        <v>589</v>
      </c>
      <c r="B174" s="77" t="s">
        <v>590</v>
      </c>
      <c r="G174" s="77" t="s">
        <v>186</v>
      </c>
      <c r="H174" s="77" t="s">
        <v>77</v>
      </c>
      <c r="I174" s="77" t="s">
        <v>78</v>
      </c>
      <c r="J174" s="77" t="s">
        <v>79</v>
      </c>
      <c r="K174" s="77" t="s">
        <v>80</v>
      </c>
      <c r="L174" s="77" t="s">
        <v>586</v>
      </c>
      <c r="M174" s="77" t="s">
        <v>82</v>
      </c>
      <c r="N174" s="77" t="s">
        <v>83</v>
      </c>
      <c r="Q174" s="77" t="s">
        <v>188</v>
      </c>
      <c r="T174" s="77" t="s">
        <v>112</v>
      </c>
      <c r="U174" s="77" t="s">
        <v>85</v>
      </c>
      <c r="V174" s="80" t="s">
        <v>86</v>
      </c>
      <c r="X174" s="77" t="s">
        <v>87</v>
      </c>
      <c r="Y174" s="78" t="s">
        <v>88</v>
      </c>
      <c r="AA174" s="77" t="s">
        <v>191</v>
      </c>
      <c r="AB174" s="77" t="s">
        <v>78</v>
      </c>
      <c r="AC174" s="77" t="s">
        <v>90</v>
      </c>
      <c r="AD174" s="77" t="s">
        <v>91</v>
      </c>
      <c r="AE174" s="77" t="s">
        <v>192</v>
      </c>
      <c r="AG174" s="77" t="s">
        <v>112</v>
      </c>
    </row>
    <row r="175" spans="1:33" x14ac:dyDescent="0.3">
      <c r="A175" s="77" t="s">
        <v>591</v>
      </c>
      <c r="B175" s="77" t="s">
        <v>592</v>
      </c>
      <c r="G175" s="77" t="s">
        <v>186</v>
      </c>
      <c r="H175" s="77" t="s">
        <v>77</v>
      </c>
      <c r="I175" s="77" t="s">
        <v>78</v>
      </c>
      <c r="J175" s="77" t="s">
        <v>79</v>
      </c>
      <c r="K175" s="77" t="s">
        <v>80</v>
      </c>
      <c r="L175" s="77" t="s">
        <v>593</v>
      </c>
      <c r="M175" s="77" t="s">
        <v>82</v>
      </c>
      <c r="N175" s="77" t="s">
        <v>83</v>
      </c>
      <c r="Q175" s="77" t="s">
        <v>188</v>
      </c>
      <c r="T175" s="77" t="s">
        <v>112</v>
      </c>
      <c r="U175" s="77" t="s">
        <v>85</v>
      </c>
      <c r="V175" s="80" t="s">
        <v>95</v>
      </c>
      <c r="X175" s="77" t="s">
        <v>96</v>
      </c>
      <c r="Y175" s="78" t="s">
        <v>88</v>
      </c>
      <c r="AA175" s="77" t="s">
        <v>191</v>
      </c>
      <c r="AB175" s="77" t="s">
        <v>78</v>
      </c>
      <c r="AC175" s="77" t="s">
        <v>90</v>
      </c>
      <c r="AD175" s="77" t="s">
        <v>91</v>
      </c>
      <c r="AE175" s="77" t="s">
        <v>192</v>
      </c>
      <c r="AG175" s="77" t="s">
        <v>112</v>
      </c>
    </row>
    <row r="176" spans="1:33" x14ac:dyDescent="0.3">
      <c r="A176" s="77" t="s">
        <v>594</v>
      </c>
      <c r="B176" s="77" t="s">
        <v>595</v>
      </c>
      <c r="G176" s="77" t="s">
        <v>186</v>
      </c>
      <c r="H176" s="77" t="s">
        <v>77</v>
      </c>
      <c r="I176" s="77" t="s">
        <v>78</v>
      </c>
      <c r="J176" s="77" t="s">
        <v>79</v>
      </c>
      <c r="K176" s="77" t="s">
        <v>80</v>
      </c>
      <c r="L176" s="77" t="s">
        <v>593</v>
      </c>
      <c r="M176" s="77" t="s">
        <v>82</v>
      </c>
      <c r="N176" s="77" t="s">
        <v>83</v>
      </c>
      <c r="Q176" s="77" t="s">
        <v>188</v>
      </c>
      <c r="T176" s="77" t="s">
        <v>112</v>
      </c>
      <c r="U176" s="77" t="s">
        <v>85</v>
      </c>
      <c r="V176" s="80" t="s">
        <v>95</v>
      </c>
      <c r="X176" s="77" t="s">
        <v>96</v>
      </c>
      <c r="Y176" s="78" t="s">
        <v>88</v>
      </c>
      <c r="AA176" s="77" t="s">
        <v>191</v>
      </c>
      <c r="AB176" s="77" t="s">
        <v>78</v>
      </c>
      <c r="AC176" s="77" t="s">
        <v>90</v>
      </c>
      <c r="AD176" s="77" t="s">
        <v>91</v>
      </c>
      <c r="AE176" s="77" t="s">
        <v>192</v>
      </c>
      <c r="AG176" s="77" t="s">
        <v>112</v>
      </c>
    </row>
    <row r="177" spans="1:33" x14ac:dyDescent="0.3">
      <c r="A177" s="77" t="s">
        <v>596</v>
      </c>
      <c r="B177" s="77" t="s">
        <v>597</v>
      </c>
      <c r="G177" s="77" t="s">
        <v>186</v>
      </c>
      <c r="H177" s="77" t="s">
        <v>77</v>
      </c>
      <c r="I177" s="77" t="s">
        <v>78</v>
      </c>
      <c r="J177" s="77" t="s">
        <v>79</v>
      </c>
      <c r="K177" s="77" t="s">
        <v>80</v>
      </c>
      <c r="L177" s="77" t="s">
        <v>593</v>
      </c>
      <c r="M177" s="77" t="s">
        <v>82</v>
      </c>
      <c r="N177" s="77" t="s">
        <v>83</v>
      </c>
      <c r="Q177" s="77" t="s">
        <v>188</v>
      </c>
      <c r="T177" s="77" t="s">
        <v>112</v>
      </c>
      <c r="U177" s="77" t="s">
        <v>85</v>
      </c>
      <c r="V177" s="80" t="s">
        <v>95</v>
      </c>
      <c r="X177" s="77" t="s">
        <v>96</v>
      </c>
      <c r="Y177" s="78" t="s">
        <v>88</v>
      </c>
      <c r="AA177" s="77" t="s">
        <v>191</v>
      </c>
      <c r="AB177" s="77" t="s">
        <v>78</v>
      </c>
      <c r="AC177" s="77" t="s">
        <v>90</v>
      </c>
      <c r="AD177" s="77" t="s">
        <v>91</v>
      </c>
      <c r="AE177" s="77" t="s">
        <v>192</v>
      </c>
      <c r="AG177" s="77" t="s">
        <v>112</v>
      </c>
    </row>
    <row r="178" spans="1:33" x14ac:dyDescent="0.3">
      <c r="A178" s="77" t="s">
        <v>598</v>
      </c>
      <c r="B178" s="77" t="s">
        <v>599</v>
      </c>
      <c r="G178" s="77" t="s">
        <v>186</v>
      </c>
      <c r="H178" s="77" t="s">
        <v>77</v>
      </c>
      <c r="I178" s="77" t="s">
        <v>78</v>
      </c>
      <c r="J178" s="77" t="s">
        <v>79</v>
      </c>
      <c r="K178" s="77" t="s">
        <v>80</v>
      </c>
      <c r="L178" s="77" t="s">
        <v>600</v>
      </c>
      <c r="M178" s="77" t="s">
        <v>82</v>
      </c>
      <c r="N178" s="77" t="s">
        <v>83</v>
      </c>
      <c r="Q178" s="77" t="s">
        <v>188</v>
      </c>
      <c r="T178" s="77" t="s">
        <v>112</v>
      </c>
      <c r="U178" s="77" t="s">
        <v>85</v>
      </c>
      <c r="V178" s="80" t="s">
        <v>99</v>
      </c>
      <c r="X178" s="77" t="s">
        <v>100</v>
      </c>
      <c r="Y178" s="78" t="s">
        <v>101</v>
      </c>
      <c r="AA178" s="77" t="s">
        <v>191</v>
      </c>
      <c r="AB178" s="77" t="s">
        <v>78</v>
      </c>
      <c r="AC178" s="77" t="s">
        <v>90</v>
      </c>
      <c r="AD178" s="77" t="s">
        <v>102</v>
      </c>
      <c r="AE178" s="77" t="s">
        <v>192</v>
      </c>
      <c r="AG178" s="77" t="s">
        <v>112</v>
      </c>
    </row>
    <row r="179" spans="1:33" x14ac:dyDescent="0.3">
      <c r="A179" s="77" t="s">
        <v>601</v>
      </c>
      <c r="B179" s="77" t="s">
        <v>602</v>
      </c>
      <c r="G179" s="77" t="s">
        <v>186</v>
      </c>
      <c r="H179" s="77" t="s">
        <v>77</v>
      </c>
      <c r="I179" s="77" t="s">
        <v>78</v>
      </c>
      <c r="J179" s="77" t="s">
        <v>79</v>
      </c>
      <c r="K179" s="77" t="s">
        <v>80</v>
      </c>
      <c r="L179" s="77" t="s">
        <v>600</v>
      </c>
      <c r="M179" s="77" t="s">
        <v>82</v>
      </c>
      <c r="N179" s="77" t="s">
        <v>83</v>
      </c>
      <c r="Q179" s="77" t="s">
        <v>188</v>
      </c>
      <c r="T179" s="77" t="s">
        <v>112</v>
      </c>
      <c r="U179" s="77" t="s">
        <v>85</v>
      </c>
      <c r="V179" s="80" t="s">
        <v>99</v>
      </c>
      <c r="X179" s="77" t="s">
        <v>100</v>
      </c>
      <c r="Y179" s="78" t="s">
        <v>101</v>
      </c>
      <c r="AA179" s="77" t="s">
        <v>191</v>
      </c>
      <c r="AB179" s="77" t="s">
        <v>78</v>
      </c>
      <c r="AC179" s="77" t="s">
        <v>90</v>
      </c>
      <c r="AD179" s="77" t="s">
        <v>102</v>
      </c>
      <c r="AE179" s="77" t="s">
        <v>192</v>
      </c>
      <c r="AG179" s="77" t="s">
        <v>112</v>
      </c>
    </row>
    <row r="180" spans="1:33" x14ac:dyDescent="0.3">
      <c r="A180" s="77" t="s">
        <v>603</v>
      </c>
      <c r="B180" s="77" t="s">
        <v>604</v>
      </c>
      <c r="G180" s="77" t="s">
        <v>186</v>
      </c>
      <c r="H180" s="77" t="s">
        <v>77</v>
      </c>
      <c r="I180" s="77" t="s">
        <v>78</v>
      </c>
      <c r="J180" s="77" t="s">
        <v>79</v>
      </c>
      <c r="K180" s="77" t="s">
        <v>80</v>
      </c>
      <c r="L180" s="77" t="s">
        <v>600</v>
      </c>
      <c r="M180" s="77" t="s">
        <v>82</v>
      </c>
      <c r="N180" s="77" t="s">
        <v>83</v>
      </c>
      <c r="Q180" s="77" t="s">
        <v>188</v>
      </c>
      <c r="T180" s="77" t="s">
        <v>112</v>
      </c>
      <c r="U180" s="77" t="s">
        <v>85</v>
      </c>
      <c r="V180" s="80" t="s">
        <v>99</v>
      </c>
      <c r="X180" s="77" t="s">
        <v>100</v>
      </c>
      <c r="Y180" s="78" t="s">
        <v>101</v>
      </c>
      <c r="AA180" s="77" t="s">
        <v>191</v>
      </c>
      <c r="AB180" s="77" t="s">
        <v>78</v>
      </c>
      <c r="AC180" s="77" t="s">
        <v>90</v>
      </c>
      <c r="AD180" s="77" t="s">
        <v>102</v>
      </c>
      <c r="AE180" s="77" t="s">
        <v>192</v>
      </c>
      <c r="AG180" s="77" t="s">
        <v>112</v>
      </c>
    </row>
    <row r="181" spans="1:33" x14ac:dyDescent="0.3">
      <c r="A181" s="77" t="s">
        <v>605</v>
      </c>
      <c r="B181" s="77" t="s">
        <v>606</v>
      </c>
      <c r="G181" s="77" t="s">
        <v>186</v>
      </c>
      <c r="H181" s="77" t="s">
        <v>77</v>
      </c>
      <c r="I181" s="77" t="s">
        <v>78</v>
      </c>
      <c r="J181" s="77" t="s">
        <v>79</v>
      </c>
      <c r="K181" s="77" t="s">
        <v>80</v>
      </c>
      <c r="L181" s="77" t="s">
        <v>607</v>
      </c>
      <c r="M181" s="77" t="s">
        <v>82</v>
      </c>
      <c r="N181" s="77" t="s">
        <v>83</v>
      </c>
      <c r="Q181" s="77" t="s">
        <v>188</v>
      </c>
      <c r="T181" s="77" t="s">
        <v>112</v>
      </c>
      <c r="U181" s="77" t="s">
        <v>85</v>
      </c>
      <c r="V181" s="80" t="s">
        <v>105</v>
      </c>
      <c r="X181" s="77" t="s">
        <v>106</v>
      </c>
      <c r="Y181" s="78" t="s">
        <v>101</v>
      </c>
      <c r="AA181" s="77" t="s">
        <v>191</v>
      </c>
      <c r="AB181" s="77" t="s">
        <v>78</v>
      </c>
      <c r="AC181" s="77" t="s">
        <v>90</v>
      </c>
      <c r="AD181" s="77" t="s">
        <v>102</v>
      </c>
      <c r="AE181" s="77" t="s">
        <v>192</v>
      </c>
      <c r="AG181" s="77" t="s">
        <v>112</v>
      </c>
    </row>
    <row r="182" spans="1:33" x14ac:dyDescent="0.3">
      <c r="A182" s="77" t="s">
        <v>608</v>
      </c>
      <c r="B182" s="77" t="s">
        <v>609</v>
      </c>
      <c r="G182" s="77" t="s">
        <v>186</v>
      </c>
      <c r="H182" s="77" t="s">
        <v>77</v>
      </c>
      <c r="I182" s="77" t="s">
        <v>78</v>
      </c>
      <c r="J182" s="77" t="s">
        <v>79</v>
      </c>
      <c r="K182" s="77" t="s">
        <v>80</v>
      </c>
      <c r="L182" s="77" t="s">
        <v>607</v>
      </c>
      <c r="M182" s="77" t="s">
        <v>82</v>
      </c>
      <c r="N182" s="77" t="s">
        <v>83</v>
      </c>
      <c r="Q182" s="77" t="s">
        <v>188</v>
      </c>
      <c r="T182" s="77" t="s">
        <v>112</v>
      </c>
      <c r="U182" s="77" t="s">
        <v>85</v>
      </c>
      <c r="V182" s="80" t="s">
        <v>105</v>
      </c>
      <c r="X182" s="77" t="s">
        <v>106</v>
      </c>
      <c r="Y182" s="78" t="s">
        <v>101</v>
      </c>
      <c r="AA182" s="77" t="s">
        <v>191</v>
      </c>
      <c r="AB182" s="77" t="s">
        <v>78</v>
      </c>
      <c r="AC182" s="77" t="s">
        <v>90</v>
      </c>
      <c r="AD182" s="77" t="s">
        <v>102</v>
      </c>
      <c r="AE182" s="77" t="s">
        <v>192</v>
      </c>
      <c r="AG182" s="77" t="s">
        <v>112</v>
      </c>
    </row>
    <row r="183" spans="1:33" x14ac:dyDescent="0.3">
      <c r="A183" s="77" t="s">
        <v>610</v>
      </c>
      <c r="B183" s="77" t="s">
        <v>611</v>
      </c>
      <c r="G183" s="77" t="s">
        <v>186</v>
      </c>
      <c r="H183" s="77" t="s">
        <v>77</v>
      </c>
      <c r="I183" s="77" t="s">
        <v>78</v>
      </c>
      <c r="J183" s="77" t="s">
        <v>79</v>
      </c>
      <c r="K183" s="77" t="s">
        <v>80</v>
      </c>
      <c r="L183" s="77" t="s">
        <v>607</v>
      </c>
      <c r="M183" s="77" t="s">
        <v>82</v>
      </c>
      <c r="N183" s="77" t="s">
        <v>83</v>
      </c>
      <c r="Q183" s="77" t="s">
        <v>188</v>
      </c>
      <c r="T183" s="77" t="s">
        <v>112</v>
      </c>
      <c r="U183" s="77" t="s">
        <v>85</v>
      </c>
      <c r="V183" s="80" t="s">
        <v>105</v>
      </c>
      <c r="X183" s="77" t="s">
        <v>106</v>
      </c>
      <c r="Y183" s="78" t="s">
        <v>101</v>
      </c>
      <c r="AA183" s="77" t="s">
        <v>191</v>
      </c>
      <c r="AB183" s="77" t="s">
        <v>78</v>
      </c>
      <c r="AC183" s="77" t="s">
        <v>90</v>
      </c>
      <c r="AD183" s="77" t="s">
        <v>102</v>
      </c>
      <c r="AE183" s="77" t="s">
        <v>192</v>
      </c>
      <c r="AG183" s="77" t="s">
        <v>112</v>
      </c>
    </row>
    <row r="184" spans="1:33" x14ac:dyDescent="0.3">
      <c r="A184" s="77" t="s">
        <v>612</v>
      </c>
      <c r="B184" s="77" t="s">
        <v>613</v>
      </c>
      <c r="G184" s="77" t="s">
        <v>186</v>
      </c>
      <c r="H184" s="77" t="s">
        <v>77</v>
      </c>
      <c r="I184" s="77" t="s">
        <v>78</v>
      </c>
      <c r="J184" s="77" t="s">
        <v>79</v>
      </c>
      <c r="K184" s="77" t="s">
        <v>80</v>
      </c>
      <c r="L184" s="77" t="s">
        <v>614</v>
      </c>
      <c r="M184" s="77" t="s">
        <v>82</v>
      </c>
      <c r="N184" s="77" t="s">
        <v>83</v>
      </c>
      <c r="Q184" s="77" t="s">
        <v>188</v>
      </c>
      <c r="T184" s="77" t="s">
        <v>112</v>
      </c>
      <c r="U184" s="77" t="s">
        <v>85</v>
      </c>
      <c r="V184" s="80" t="s">
        <v>86</v>
      </c>
      <c r="X184" s="77" t="s">
        <v>87</v>
      </c>
      <c r="Y184" s="78" t="s">
        <v>88</v>
      </c>
      <c r="AA184" s="77" t="s">
        <v>191</v>
      </c>
      <c r="AB184" s="77" t="s">
        <v>78</v>
      </c>
      <c r="AC184" s="77" t="s">
        <v>90</v>
      </c>
      <c r="AD184" s="77" t="s">
        <v>91</v>
      </c>
      <c r="AE184" s="77" t="s">
        <v>192</v>
      </c>
      <c r="AG184" s="77" t="s">
        <v>112</v>
      </c>
    </row>
    <row r="185" spans="1:33" x14ac:dyDescent="0.3">
      <c r="A185" s="77" t="s">
        <v>615</v>
      </c>
      <c r="B185" s="77" t="s">
        <v>616</v>
      </c>
      <c r="G185" s="77" t="s">
        <v>186</v>
      </c>
      <c r="H185" s="77" t="s">
        <v>77</v>
      </c>
      <c r="I185" s="77" t="s">
        <v>78</v>
      </c>
      <c r="J185" s="77" t="s">
        <v>79</v>
      </c>
      <c r="K185" s="77" t="s">
        <v>80</v>
      </c>
      <c r="L185" s="77" t="s">
        <v>617</v>
      </c>
      <c r="M185" s="77" t="s">
        <v>82</v>
      </c>
      <c r="N185" s="77" t="s">
        <v>83</v>
      </c>
      <c r="Q185" s="77" t="s">
        <v>188</v>
      </c>
      <c r="T185" s="77" t="s">
        <v>112</v>
      </c>
      <c r="U185" s="77" t="s">
        <v>85</v>
      </c>
      <c r="V185" s="80" t="s">
        <v>99</v>
      </c>
      <c r="X185" s="77" t="s">
        <v>100</v>
      </c>
      <c r="Y185" s="78" t="s">
        <v>101</v>
      </c>
      <c r="AA185" s="77" t="s">
        <v>191</v>
      </c>
      <c r="AB185" s="77" t="s">
        <v>78</v>
      </c>
      <c r="AC185" s="77" t="s">
        <v>90</v>
      </c>
      <c r="AD185" s="77" t="s">
        <v>102</v>
      </c>
      <c r="AE185" s="77" t="s">
        <v>192</v>
      </c>
      <c r="AG185" s="77" t="s">
        <v>112</v>
      </c>
    </row>
    <row r="186" spans="1:33" x14ac:dyDescent="0.3">
      <c r="A186" s="77" t="s">
        <v>618</v>
      </c>
      <c r="B186" s="77" t="s">
        <v>619</v>
      </c>
      <c r="G186" s="77" t="s">
        <v>186</v>
      </c>
      <c r="H186" s="77" t="s">
        <v>77</v>
      </c>
      <c r="I186" s="77" t="s">
        <v>78</v>
      </c>
      <c r="J186" s="77" t="s">
        <v>79</v>
      </c>
      <c r="K186" s="77" t="s">
        <v>80</v>
      </c>
      <c r="L186" s="77" t="s">
        <v>620</v>
      </c>
      <c r="M186" s="77" t="s">
        <v>82</v>
      </c>
      <c r="N186" s="77" t="s">
        <v>83</v>
      </c>
      <c r="Q186" s="77" t="s">
        <v>188</v>
      </c>
      <c r="T186" s="77" t="s">
        <v>112</v>
      </c>
      <c r="U186" s="77" t="s">
        <v>85</v>
      </c>
      <c r="V186" s="80" t="s">
        <v>86</v>
      </c>
      <c r="X186" s="77" t="s">
        <v>87</v>
      </c>
      <c r="Y186" s="78" t="s">
        <v>88</v>
      </c>
      <c r="AA186" s="77" t="s">
        <v>191</v>
      </c>
      <c r="AB186" s="77" t="s">
        <v>78</v>
      </c>
      <c r="AC186" s="77" t="s">
        <v>90</v>
      </c>
      <c r="AD186" s="77" t="s">
        <v>91</v>
      </c>
      <c r="AE186" s="77" t="s">
        <v>192</v>
      </c>
      <c r="AG186" s="77" t="s">
        <v>112</v>
      </c>
    </row>
    <row r="187" spans="1:33" x14ac:dyDescent="0.3">
      <c r="A187" s="77" t="s">
        <v>621</v>
      </c>
      <c r="B187" s="77" t="s">
        <v>622</v>
      </c>
      <c r="G187" s="77" t="s">
        <v>186</v>
      </c>
      <c r="H187" s="77" t="s">
        <v>77</v>
      </c>
      <c r="I187" s="77" t="s">
        <v>78</v>
      </c>
      <c r="J187" s="77" t="s">
        <v>79</v>
      </c>
      <c r="K187" s="77" t="s">
        <v>80</v>
      </c>
      <c r="L187" s="77" t="s">
        <v>623</v>
      </c>
      <c r="M187" s="77" t="s">
        <v>82</v>
      </c>
      <c r="N187" s="77" t="s">
        <v>83</v>
      </c>
      <c r="Q187" s="77" t="s">
        <v>188</v>
      </c>
      <c r="T187" s="77" t="s">
        <v>112</v>
      </c>
      <c r="U187" s="77" t="s">
        <v>85</v>
      </c>
      <c r="V187" s="80" t="s">
        <v>86</v>
      </c>
      <c r="X187" s="77" t="s">
        <v>87</v>
      </c>
      <c r="Y187" s="78" t="s">
        <v>88</v>
      </c>
      <c r="AA187" s="77" t="s">
        <v>191</v>
      </c>
      <c r="AB187" s="77" t="s">
        <v>78</v>
      </c>
      <c r="AC187" s="77" t="s">
        <v>90</v>
      </c>
      <c r="AD187" s="77" t="s">
        <v>91</v>
      </c>
      <c r="AE187" s="77" t="s">
        <v>192</v>
      </c>
      <c r="AG187" s="77" t="s">
        <v>112</v>
      </c>
    </row>
    <row r="188" spans="1:33" x14ac:dyDescent="0.3">
      <c r="A188" s="77" t="s">
        <v>624</v>
      </c>
      <c r="B188" s="77" t="s">
        <v>625</v>
      </c>
      <c r="G188" s="77" t="s">
        <v>186</v>
      </c>
      <c r="H188" s="77" t="s">
        <v>77</v>
      </c>
      <c r="I188" s="77" t="s">
        <v>78</v>
      </c>
      <c r="J188" s="77" t="s">
        <v>79</v>
      </c>
      <c r="K188" s="77" t="s">
        <v>80</v>
      </c>
      <c r="L188" s="77" t="s">
        <v>626</v>
      </c>
      <c r="M188" s="77" t="s">
        <v>82</v>
      </c>
      <c r="N188" s="77" t="s">
        <v>83</v>
      </c>
      <c r="Q188" s="77" t="s">
        <v>188</v>
      </c>
      <c r="T188" s="77" t="s">
        <v>112</v>
      </c>
      <c r="U188" s="77" t="s">
        <v>85</v>
      </c>
      <c r="V188" s="80" t="s">
        <v>86</v>
      </c>
      <c r="X188" s="77" t="s">
        <v>87</v>
      </c>
      <c r="Y188" s="78" t="s">
        <v>88</v>
      </c>
      <c r="AA188" s="77" t="s">
        <v>191</v>
      </c>
      <c r="AB188" s="77" t="s">
        <v>78</v>
      </c>
      <c r="AC188" s="77" t="s">
        <v>90</v>
      </c>
      <c r="AD188" s="77" t="s">
        <v>91</v>
      </c>
      <c r="AE188" s="77" t="s">
        <v>192</v>
      </c>
      <c r="AG188" s="77" t="s">
        <v>112</v>
      </c>
    </row>
    <row r="189" spans="1:33" x14ac:dyDescent="0.3">
      <c r="A189" s="77" t="s">
        <v>627</v>
      </c>
      <c r="B189" s="77" t="s">
        <v>628</v>
      </c>
      <c r="G189" s="77" t="s">
        <v>186</v>
      </c>
      <c r="H189" s="77" t="s">
        <v>77</v>
      </c>
      <c r="I189" s="77" t="s">
        <v>78</v>
      </c>
      <c r="J189" s="77" t="s">
        <v>79</v>
      </c>
      <c r="K189" s="77" t="s">
        <v>80</v>
      </c>
      <c r="L189" s="77" t="s">
        <v>629</v>
      </c>
      <c r="M189" s="77" t="s">
        <v>82</v>
      </c>
      <c r="N189" s="77" t="s">
        <v>83</v>
      </c>
      <c r="Q189" s="77" t="s">
        <v>188</v>
      </c>
      <c r="T189" s="77" t="s">
        <v>112</v>
      </c>
      <c r="U189" s="77" t="s">
        <v>85</v>
      </c>
      <c r="V189" s="80" t="s">
        <v>95</v>
      </c>
      <c r="X189" s="77" t="s">
        <v>96</v>
      </c>
      <c r="Y189" s="78" t="s">
        <v>88</v>
      </c>
      <c r="AA189" s="77" t="s">
        <v>191</v>
      </c>
      <c r="AB189" s="77" t="s">
        <v>78</v>
      </c>
      <c r="AC189" s="77" t="s">
        <v>90</v>
      </c>
      <c r="AD189" s="77" t="s">
        <v>91</v>
      </c>
      <c r="AE189" s="77" t="s">
        <v>192</v>
      </c>
      <c r="AG189" s="77" t="s">
        <v>112</v>
      </c>
    </row>
    <row r="190" spans="1:33" x14ac:dyDescent="0.3">
      <c r="A190" s="77" t="s">
        <v>630</v>
      </c>
      <c r="B190" s="77" t="s">
        <v>631</v>
      </c>
      <c r="G190" s="77" t="s">
        <v>186</v>
      </c>
      <c r="H190" s="77" t="s">
        <v>77</v>
      </c>
      <c r="I190" s="77" t="s">
        <v>78</v>
      </c>
      <c r="J190" s="77" t="s">
        <v>79</v>
      </c>
      <c r="K190" s="77" t="s">
        <v>80</v>
      </c>
      <c r="L190" s="77" t="s">
        <v>632</v>
      </c>
      <c r="M190" s="77" t="s">
        <v>82</v>
      </c>
      <c r="N190" s="77" t="s">
        <v>83</v>
      </c>
      <c r="Q190" s="77" t="s">
        <v>188</v>
      </c>
      <c r="T190" s="77" t="s">
        <v>112</v>
      </c>
      <c r="U190" s="77" t="s">
        <v>85</v>
      </c>
      <c r="V190" s="80" t="s">
        <v>95</v>
      </c>
      <c r="X190" s="77" t="s">
        <v>96</v>
      </c>
      <c r="Y190" s="78" t="s">
        <v>88</v>
      </c>
      <c r="AA190" s="77" t="s">
        <v>191</v>
      </c>
      <c r="AB190" s="77" t="s">
        <v>78</v>
      </c>
      <c r="AC190" s="77" t="s">
        <v>90</v>
      </c>
      <c r="AD190" s="77" t="s">
        <v>91</v>
      </c>
      <c r="AE190" s="77" t="s">
        <v>192</v>
      </c>
      <c r="AG190" s="77" t="s">
        <v>112</v>
      </c>
    </row>
    <row r="191" spans="1:33" x14ac:dyDescent="0.3">
      <c r="A191" s="77" t="s">
        <v>633</v>
      </c>
      <c r="B191" s="77" t="s">
        <v>634</v>
      </c>
      <c r="G191" s="77" t="s">
        <v>186</v>
      </c>
      <c r="H191" s="77" t="s">
        <v>77</v>
      </c>
      <c r="I191" s="77" t="s">
        <v>78</v>
      </c>
      <c r="J191" s="77" t="s">
        <v>79</v>
      </c>
      <c r="K191" s="77" t="s">
        <v>80</v>
      </c>
      <c r="L191" s="77" t="s">
        <v>635</v>
      </c>
      <c r="M191" s="77" t="s">
        <v>82</v>
      </c>
      <c r="N191" s="77" t="s">
        <v>83</v>
      </c>
      <c r="Q191" s="77" t="s">
        <v>188</v>
      </c>
      <c r="T191" s="77" t="s">
        <v>112</v>
      </c>
      <c r="U191" s="77" t="s">
        <v>85</v>
      </c>
      <c r="V191" s="80" t="s">
        <v>95</v>
      </c>
      <c r="X191" s="77" t="s">
        <v>96</v>
      </c>
      <c r="Y191" s="78" t="s">
        <v>88</v>
      </c>
      <c r="AA191" s="77" t="s">
        <v>191</v>
      </c>
      <c r="AB191" s="77" t="s">
        <v>78</v>
      </c>
      <c r="AC191" s="77" t="s">
        <v>90</v>
      </c>
      <c r="AD191" s="77" t="s">
        <v>91</v>
      </c>
      <c r="AE191" s="77" t="s">
        <v>192</v>
      </c>
      <c r="AG191" s="77" t="s">
        <v>112</v>
      </c>
    </row>
    <row r="192" spans="1:33" x14ac:dyDescent="0.3">
      <c r="A192" s="77" t="s">
        <v>636</v>
      </c>
      <c r="B192" s="77" t="s">
        <v>637</v>
      </c>
      <c r="G192" s="77" t="s">
        <v>186</v>
      </c>
      <c r="H192" s="77" t="s">
        <v>77</v>
      </c>
      <c r="I192" s="77" t="s">
        <v>78</v>
      </c>
      <c r="J192" s="77" t="s">
        <v>79</v>
      </c>
      <c r="K192" s="77" t="s">
        <v>80</v>
      </c>
      <c r="L192" s="77" t="s">
        <v>638</v>
      </c>
      <c r="M192" s="77" t="s">
        <v>82</v>
      </c>
      <c r="N192" s="77" t="s">
        <v>83</v>
      </c>
      <c r="Q192" s="77" t="s">
        <v>188</v>
      </c>
      <c r="T192" s="77" t="s">
        <v>112</v>
      </c>
      <c r="U192" s="77" t="s">
        <v>85</v>
      </c>
      <c r="V192" s="80" t="s">
        <v>99</v>
      </c>
      <c r="X192" s="77" t="s">
        <v>100</v>
      </c>
      <c r="Y192" s="78" t="s">
        <v>101</v>
      </c>
      <c r="AA192" s="77" t="s">
        <v>191</v>
      </c>
      <c r="AB192" s="77" t="s">
        <v>78</v>
      </c>
      <c r="AC192" s="77" t="s">
        <v>90</v>
      </c>
      <c r="AD192" s="77" t="s">
        <v>102</v>
      </c>
      <c r="AE192" s="77" t="s">
        <v>192</v>
      </c>
      <c r="AG192" s="77" t="s">
        <v>112</v>
      </c>
    </row>
    <row r="193" spans="1:33" x14ac:dyDescent="0.3">
      <c r="A193" s="77" t="s">
        <v>639</v>
      </c>
      <c r="B193" s="77" t="s">
        <v>640</v>
      </c>
      <c r="G193" s="77" t="s">
        <v>186</v>
      </c>
      <c r="H193" s="77" t="s">
        <v>77</v>
      </c>
      <c r="I193" s="77" t="s">
        <v>78</v>
      </c>
      <c r="J193" s="77" t="s">
        <v>79</v>
      </c>
      <c r="K193" s="77" t="s">
        <v>80</v>
      </c>
      <c r="L193" s="77" t="s">
        <v>641</v>
      </c>
      <c r="M193" s="77" t="s">
        <v>82</v>
      </c>
      <c r="N193" s="77" t="s">
        <v>83</v>
      </c>
      <c r="Q193" s="77" t="s">
        <v>188</v>
      </c>
      <c r="T193" s="77" t="s">
        <v>112</v>
      </c>
      <c r="U193" s="77" t="s">
        <v>85</v>
      </c>
      <c r="V193" s="80" t="s">
        <v>99</v>
      </c>
      <c r="X193" s="77" t="s">
        <v>100</v>
      </c>
      <c r="Y193" s="78" t="s">
        <v>101</v>
      </c>
      <c r="AA193" s="77" t="s">
        <v>191</v>
      </c>
      <c r="AB193" s="77" t="s">
        <v>78</v>
      </c>
      <c r="AC193" s="77" t="s">
        <v>90</v>
      </c>
      <c r="AD193" s="77" t="s">
        <v>102</v>
      </c>
      <c r="AE193" s="77" t="s">
        <v>192</v>
      </c>
      <c r="AG193" s="77" t="s">
        <v>112</v>
      </c>
    </row>
    <row r="194" spans="1:33" x14ac:dyDescent="0.3">
      <c r="A194" s="77" t="s">
        <v>642</v>
      </c>
      <c r="B194" s="77" t="s">
        <v>643</v>
      </c>
      <c r="G194" s="77" t="s">
        <v>186</v>
      </c>
      <c r="H194" s="77" t="s">
        <v>77</v>
      </c>
      <c r="I194" s="77" t="s">
        <v>78</v>
      </c>
      <c r="J194" s="77" t="s">
        <v>79</v>
      </c>
      <c r="K194" s="77" t="s">
        <v>80</v>
      </c>
      <c r="L194" s="77" t="s">
        <v>644</v>
      </c>
      <c r="M194" s="77" t="s">
        <v>82</v>
      </c>
      <c r="N194" s="77" t="s">
        <v>83</v>
      </c>
      <c r="Q194" s="77" t="s">
        <v>188</v>
      </c>
      <c r="T194" s="77" t="s">
        <v>112</v>
      </c>
      <c r="U194" s="77" t="s">
        <v>85</v>
      </c>
      <c r="V194" s="80" t="s">
        <v>99</v>
      </c>
      <c r="X194" s="77" t="s">
        <v>100</v>
      </c>
      <c r="Y194" s="78" t="s">
        <v>101</v>
      </c>
      <c r="AA194" s="77" t="s">
        <v>191</v>
      </c>
      <c r="AB194" s="77" t="s">
        <v>78</v>
      </c>
      <c r="AC194" s="77" t="s">
        <v>90</v>
      </c>
      <c r="AD194" s="77" t="s">
        <v>102</v>
      </c>
      <c r="AE194" s="77" t="s">
        <v>192</v>
      </c>
      <c r="AG194" s="77" t="s">
        <v>112</v>
      </c>
    </row>
    <row r="195" spans="1:33" x14ac:dyDescent="0.3">
      <c r="A195" s="77" t="s">
        <v>645</v>
      </c>
      <c r="B195" s="77" t="s">
        <v>646</v>
      </c>
      <c r="G195" s="77" t="s">
        <v>186</v>
      </c>
      <c r="H195" s="77" t="s">
        <v>77</v>
      </c>
      <c r="I195" s="77" t="s">
        <v>78</v>
      </c>
      <c r="J195" s="77" t="s">
        <v>79</v>
      </c>
      <c r="K195" s="77" t="s">
        <v>80</v>
      </c>
      <c r="L195" s="77" t="s">
        <v>647</v>
      </c>
      <c r="M195" s="77" t="s">
        <v>82</v>
      </c>
      <c r="N195" s="77" t="s">
        <v>83</v>
      </c>
      <c r="Q195" s="77" t="s">
        <v>188</v>
      </c>
      <c r="T195" s="77" t="s">
        <v>112</v>
      </c>
      <c r="U195" s="77" t="s">
        <v>85</v>
      </c>
      <c r="V195" s="80" t="s">
        <v>105</v>
      </c>
      <c r="X195" s="77" t="s">
        <v>106</v>
      </c>
      <c r="Y195" s="78" t="s">
        <v>101</v>
      </c>
      <c r="AA195" s="77" t="s">
        <v>191</v>
      </c>
      <c r="AB195" s="77" t="s">
        <v>78</v>
      </c>
      <c r="AC195" s="77" t="s">
        <v>90</v>
      </c>
      <c r="AD195" s="77" t="s">
        <v>102</v>
      </c>
      <c r="AE195" s="77" t="s">
        <v>192</v>
      </c>
      <c r="AG195" s="77" t="s">
        <v>112</v>
      </c>
    </row>
    <row r="196" spans="1:33" x14ac:dyDescent="0.3">
      <c r="A196" s="77" t="s">
        <v>648</v>
      </c>
      <c r="B196" s="77" t="s">
        <v>649</v>
      </c>
      <c r="G196" s="77" t="s">
        <v>186</v>
      </c>
      <c r="H196" s="77" t="s">
        <v>77</v>
      </c>
      <c r="I196" s="77" t="s">
        <v>78</v>
      </c>
      <c r="J196" s="77" t="s">
        <v>79</v>
      </c>
      <c r="K196" s="77" t="s">
        <v>80</v>
      </c>
      <c r="L196" s="77" t="s">
        <v>650</v>
      </c>
      <c r="M196" s="77" t="s">
        <v>82</v>
      </c>
      <c r="N196" s="77" t="s">
        <v>83</v>
      </c>
      <c r="Q196" s="77" t="s">
        <v>188</v>
      </c>
      <c r="T196" s="77" t="s">
        <v>112</v>
      </c>
      <c r="U196" s="77" t="s">
        <v>85</v>
      </c>
      <c r="V196" s="80" t="s">
        <v>105</v>
      </c>
      <c r="X196" s="77" t="s">
        <v>106</v>
      </c>
      <c r="Y196" s="78" t="s">
        <v>101</v>
      </c>
      <c r="AA196" s="77" t="s">
        <v>191</v>
      </c>
      <c r="AB196" s="77" t="s">
        <v>78</v>
      </c>
      <c r="AC196" s="77" t="s">
        <v>90</v>
      </c>
      <c r="AD196" s="77" t="s">
        <v>102</v>
      </c>
      <c r="AE196" s="77" t="s">
        <v>192</v>
      </c>
      <c r="AG196" s="77" t="s">
        <v>112</v>
      </c>
    </row>
    <row r="197" spans="1:33" x14ac:dyDescent="0.3">
      <c r="A197" s="77" t="s">
        <v>651</v>
      </c>
      <c r="B197" s="77" t="s">
        <v>652</v>
      </c>
      <c r="G197" s="77" t="s">
        <v>186</v>
      </c>
      <c r="H197" s="77" t="s">
        <v>77</v>
      </c>
      <c r="I197" s="77" t="s">
        <v>78</v>
      </c>
      <c r="J197" s="77" t="s">
        <v>79</v>
      </c>
      <c r="K197" s="77" t="s">
        <v>80</v>
      </c>
      <c r="L197" s="77" t="s">
        <v>653</v>
      </c>
      <c r="M197" s="77" t="s">
        <v>82</v>
      </c>
      <c r="N197" s="77" t="s">
        <v>83</v>
      </c>
      <c r="Q197" s="77" t="s">
        <v>188</v>
      </c>
      <c r="T197" s="77" t="s">
        <v>112</v>
      </c>
      <c r="U197" s="77" t="s">
        <v>85</v>
      </c>
      <c r="V197" s="80" t="s">
        <v>105</v>
      </c>
      <c r="X197" s="77" t="s">
        <v>106</v>
      </c>
      <c r="Y197" s="78" t="s">
        <v>101</v>
      </c>
      <c r="AA197" s="77" t="s">
        <v>191</v>
      </c>
      <c r="AB197" s="77" t="s">
        <v>78</v>
      </c>
      <c r="AC197" s="77" t="s">
        <v>90</v>
      </c>
      <c r="AD197" s="77" t="s">
        <v>102</v>
      </c>
      <c r="AE197" s="77" t="s">
        <v>192</v>
      </c>
      <c r="AG197" s="77" t="s">
        <v>112</v>
      </c>
    </row>
    <row r="198" spans="1:33" x14ac:dyDescent="0.3">
      <c r="A198" s="77" t="s">
        <v>654</v>
      </c>
      <c r="B198" s="77" t="s">
        <v>655</v>
      </c>
      <c r="G198" s="77" t="s">
        <v>186</v>
      </c>
      <c r="H198" s="77" t="s">
        <v>77</v>
      </c>
      <c r="I198" s="77" t="s">
        <v>78</v>
      </c>
      <c r="J198" s="77" t="s">
        <v>79</v>
      </c>
      <c r="K198" s="77" t="s">
        <v>80</v>
      </c>
      <c r="L198" s="77" t="s">
        <v>656</v>
      </c>
      <c r="M198" s="77" t="s">
        <v>82</v>
      </c>
      <c r="N198" s="77" t="s">
        <v>83</v>
      </c>
      <c r="Q198" s="77" t="s">
        <v>188</v>
      </c>
      <c r="T198" s="77" t="s">
        <v>112</v>
      </c>
      <c r="U198" s="77" t="s">
        <v>85</v>
      </c>
      <c r="V198" s="80" t="s">
        <v>657</v>
      </c>
      <c r="X198" s="77" t="s">
        <v>658</v>
      </c>
      <c r="Y198" s="78" t="s">
        <v>88</v>
      </c>
      <c r="AA198" s="77" t="s">
        <v>191</v>
      </c>
      <c r="AB198" s="77" t="s">
        <v>78</v>
      </c>
      <c r="AC198" s="77" t="s">
        <v>90</v>
      </c>
      <c r="AD198" s="77" t="s">
        <v>91</v>
      </c>
      <c r="AE198" s="77" t="s">
        <v>192</v>
      </c>
      <c r="AG198" s="77" t="s">
        <v>112</v>
      </c>
    </row>
    <row r="199" spans="1:33" x14ac:dyDescent="0.3">
      <c r="A199" s="77" t="s">
        <v>659</v>
      </c>
      <c r="B199" s="77" t="s">
        <v>660</v>
      </c>
      <c r="G199" s="77" t="s">
        <v>186</v>
      </c>
      <c r="H199" s="77" t="s">
        <v>77</v>
      </c>
      <c r="I199" s="77" t="s">
        <v>78</v>
      </c>
      <c r="J199" s="77" t="s">
        <v>79</v>
      </c>
      <c r="K199" s="77" t="s">
        <v>80</v>
      </c>
      <c r="L199" s="77" t="s">
        <v>661</v>
      </c>
      <c r="M199" s="77" t="s">
        <v>82</v>
      </c>
      <c r="N199" s="77" t="s">
        <v>83</v>
      </c>
      <c r="Q199" s="77" t="s">
        <v>188</v>
      </c>
      <c r="T199" s="77" t="s">
        <v>112</v>
      </c>
      <c r="U199" s="77" t="s">
        <v>85</v>
      </c>
      <c r="V199" s="80" t="s">
        <v>657</v>
      </c>
      <c r="X199" s="77" t="s">
        <v>658</v>
      </c>
      <c r="Y199" s="78" t="s">
        <v>88</v>
      </c>
      <c r="AA199" s="77" t="s">
        <v>191</v>
      </c>
      <c r="AB199" s="77" t="s">
        <v>78</v>
      </c>
      <c r="AC199" s="77" t="s">
        <v>90</v>
      </c>
      <c r="AD199" s="77" t="s">
        <v>91</v>
      </c>
      <c r="AE199" s="77" t="s">
        <v>192</v>
      </c>
      <c r="AG199" s="77" t="s">
        <v>112</v>
      </c>
    </row>
    <row r="200" spans="1:33" x14ac:dyDescent="0.3">
      <c r="A200" s="77" t="s">
        <v>662</v>
      </c>
      <c r="B200" s="77" t="s">
        <v>663</v>
      </c>
      <c r="G200" s="77" t="s">
        <v>186</v>
      </c>
      <c r="H200" s="77" t="s">
        <v>77</v>
      </c>
      <c r="I200" s="77" t="s">
        <v>78</v>
      </c>
      <c r="J200" s="77" t="s">
        <v>79</v>
      </c>
      <c r="K200" s="77" t="s">
        <v>80</v>
      </c>
      <c r="L200" s="77" t="s">
        <v>664</v>
      </c>
      <c r="M200" s="77" t="s">
        <v>82</v>
      </c>
      <c r="N200" s="77" t="s">
        <v>83</v>
      </c>
      <c r="Q200" s="77" t="s">
        <v>188</v>
      </c>
      <c r="T200" s="77" t="s">
        <v>112</v>
      </c>
      <c r="U200" s="77" t="s">
        <v>85</v>
      </c>
      <c r="V200" s="80" t="s">
        <v>665</v>
      </c>
      <c r="X200" s="77" t="s">
        <v>666</v>
      </c>
      <c r="Y200" s="78" t="s">
        <v>88</v>
      </c>
      <c r="AA200" s="77" t="s">
        <v>191</v>
      </c>
      <c r="AB200" s="77" t="s">
        <v>78</v>
      </c>
      <c r="AC200" s="77" t="s">
        <v>90</v>
      </c>
      <c r="AD200" s="77" t="s">
        <v>91</v>
      </c>
      <c r="AE200" s="77" t="s">
        <v>192</v>
      </c>
      <c r="AG200" s="77" t="s">
        <v>112</v>
      </c>
    </row>
    <row r="201" spans="1:33" x14ac:dyDescent="0.3">
      <c r="A201" s="77" t="s">
        <v>667</v>
      </c>
      <c r="B201" s="77" t="s">
        <v>668</v>
      </c>
      <c r="G201" s="77" t="s">
        <v>186</v>
      </c>
      <c r="H201" s="77" t="s">
        <v>77</v>
      </c>
      <c r="I201" s="77" t="s">
        <v>78</v>
      </c>
      <c r="J201" s="77" t="s">
        <v>79</v>
      </c>
      <c r="K201" s="77" t="s">
        <v>80</v>
      </c>
      <c r="L201" s="77" t="s">
        <v>669</v>
      </c>
      <c r="M201" s="77" t="s">
        <v>82</v>
      </c>
      <c r="N201" s="77" t="s">
        <v>83</v>
      </c>
      <c r="Q201" s="77" t="s">
        <v>188</v>
      </c>
      <c r="T201" s="77" t="s">
        <v>112</v>
      </c>
      <c r="U201" s="77" t="s">
        <v>85</v>
      </c>
      <c r="V201" s="80" t="s">
        <v>665</v>
      </c>
      <c r="X201" s="77" t="s">
        <v>666</v>
      </c>
      <c r="Y201" s="78" t="s">
        <v>88</v>
      </c>
      <c r="AA201" s="77" t="s">
        <v>191</v>
      </c>
      <c r="AB201" s="77" t="s">
        <v>78</v>
      </c>
      <c r="AC201" s="77" t="s">
        <v>90</v>
      </c>
      <c r="AD201" s="77" t="s">
        <v>91</v>
      </c>
      <c r="AE201" s="77" t="s">
        <v>192</v>
      </c>
      <c r="AG201" s="77" t="s">
        <v>112</v>
      </c>
    </row>
    <row r="202" spans="1:33" x14ac:dyDescent="0.3">
      <c r="A202" s="77" t="s">
        <v>670</v>
      </c>
      <c r="B202" s="77" t="s">
        <v>671</v>
      </c>
      <c r="G202" s="77" t="s">
        <v>186</v>
      </c>
      <c r="H202" s="77" t="s">
        <v>77</v>
      </c>
      <c r="I202" s="77" t="s">
        <v>78</v>
      </c>
      <c r="J202" s="77" t="s">
        <v>79</v>
      </c>
      <c r="K202" s="77" t="s">
        <v>80</v>
      </c>
      <c r="L202" s="77" t="s">
        <v>672</v>
      </c>
      <c r="M202" s="77" t="s">
        <v>82</v>
      </c>
      <c r="N202" s="77" t="s">
        <v>83</v>
      </c>
      <c r="Q202" s="77" t="s">
        <v>188</v>
      </c>
      <c r="T202" s="77" t="s">
        <v>112</v>
      </c>
      <c r="U202" s="77" t="s">
        <v>85</v>
      </c>
      <c r="V202" s="80" t="s">
        <v>673</v>
      </c>
      <c r="X202" s="77" t="s">
        <v>674</v>
      </c>
      <c r="Y202" s="78" t="s">
        <v>101</v>
      </c>
      <c r="AA202" s="77" t="s">
        <v>191</v>
      </c>
      <c r="AB202" s="77" t="s">
        <v>78</v>
      </c>
      <c r="AC202" s="77" t="s">
        <v>90</v>
      </c>
      <c r="AD202" s="77" t="s">
        <v>102</v>
      </c>
      <c r="AE202" s="77" t="s">
        <v>192</v>
      </c>
      <c r="AG202" s="77" t="s">
        <v>112</v>
      </c>
    </row>
    <row r="203" spans="1:33" x14ac:dyDescent="0.3">
      <c r="A203" s="77" t="s">
        <v>675</v>
      </c>
      <c r="B203" s="77" t="s">
        <v>676</v>
      </c>
      <c r="G203" s="77" t="s">
        <v>186</v>
      </c>
      <c r="H203" s="77" t="s">
        <v>77</v>
      </c>
      <c r="I203" s="77" t="s">
        <v>78</v>
      </c>
      <c r="J203" s="77" t="s">
        <v>79</v>
      </c>
      <c r="K203" s="77" t="s">
        <v>80</v>
      </c>
      <c r="L203" s="77" t="s">
        <v>677</v>
      </c>
      <c r="M203" s="77" t="s">
        <v>82</v>
      </c>
      <c r="N203" s="77" t="s">
        <v>83</v>
      </c>
      <c r="Q203" s="77" t="s">
        <v>188</v>
      </c>
      <c r="T203" s="77" t="s">
        <v>112</v>
      </c>
      <c r="U203" s="77" t="s">
        <v>85</v>
      </c>
      <c r="V203" s="80" t="s">
        <v>673</v>
      </c>
      <c r="X203" s="77" t="s">
        <v>674</v>
      </c>
      <c r="Y203" s="78" t="s">
        <v>101</v>
      </c>
      <c r="AA203" s="77" t="s">
        <v>191</v>
      </c>
      <c r="AB203" s="77" t="s">
        <v>78</v>
      </c>
      <c r="AC203" s="77" t="s">
        <v>90</v>
      </c>
      <c r="AD203" s="77" t="s">
        <v>102</v>
      </c>
      <c r="AE203" s="77" t="s">
        <v>192</v>
      </c>
      <c r="AG203" s="77" t="s">
        <v>112</v>
      </c>
    </row>
    <row r="204" spans="1:33" x14ac:dyDescent="0.3">
      <c r="A204" s="77" t="s">
        <v>678</v>
      </c>
      <c r="B204" s="77" t="s">
        <v>679</v>
      </c>
      <c r="G204" s="77" t="s">
        <v>186</v>
      </c>
      <c r="H204" s="77" t="s">
        <v>77</v>
      </c>
      <c r="I204" s="77" t="s">
        <v>78</v>
      </c>
      <c r="J204" s="77" t="s">
        <v>79</v>
      </c>
      <c r="K204" s="77" t="s">
        <v>80</v>
      </c>
      <c r="L204" s="77" t="s">
        <v>680</v>
      </c>
      <c r="M204" s="77" t="s">
        <v>82</v>
      </c>
      <c r="N204" s="77" t="s">
        <v>83</v>
      </c>
      <c r="Q204" s="77" t="s">
        <v>188</v>
      </c>
      <c r="T204" s="77" t="s">
        <v>112</v>
      </c>
      <c r="U204" s="77" t="s">
        <v>85</v>
      </c>
      <c r="V204" s="80" t="s">
        <v>681</v>
      </c>
      <c r="X204" s="77" t="s">
        <v>682</v>
      </c>
      <c r="Y204" s="78" t="s">
        <v>101</v>
      </c>
      <c r="AA204" s="77" t="s">
        <v>191</v>
      </c>
      <c r="AB204" s="77" t="s">
        <v>78</v>
      </c>
      <c r="AC204" s="77" t="s">
        <v>90</v>
      </c>
      <c r="AD204" s="77" t="s">
        <v>102</v>
      </c>
      <c r="AE204" s="77" t="s">
        <v>192</v>
      </c>
      <c r="AG204" s="77" t="s">
        <v>112</v>
      </c>
    </row>
    <row r="205" spans="1:33" x14ac:dyDescent="0.3">
      <c r="A205" s="77" t="s">
        <v>683</v>
      </c>
      <c r="B205" s="77" t="s">
        <v>684</v>
      </c>
      <c r="G205" s="77" t="s">
        <v>186</v>
      </c>
      <c r="H205" s="77" t="s">
        <v>77</v>
      </c>
      <c r="I205" s="77" t="s">
        <v>78</v>
      </c>
      <c r="J205" s="77" t="s">
        <v>79</v>
      </c>
      <c r="K205" s="77" t="s">
        <v>80</v>
      </c>
      <c r="L205" s="77" t="s">
        <v>685</v>
      </c>
      <c r="M205" s="77" t="s">
        <v>82</v>
      </c>
      <c r="N205" s="77" t="s">
        <v>83</v>
      </c>
      <c r="Q205" s="77" t="s">
        <v>188</v>
      </c>
      <c r="T205" s="77" t="s">
        <v>112</v>
      </c>
      <c r="U205" s="77" t="s">
        <v>85</v>
      </c>
      <c r="V205" s="80" t="s">
        <v>681</v>
      </c>
      <c r="X205" s="77" t="s">
        <v>682</v>
      </c>
      <c r="Y205" s="78" t="s">
        <v>101</v>
      </c>
      <c r="AA205" s="77" t="s">
        <v>191</v>
      </c>
      <c r="AB205" s="77" t="s">
        <v>78</v>
      </c>
      <c r="AC205" s="77" t="s">
        <v>90</v>
      </c>
      <c r="AD205" s="77" t="s">
        <v>102</v>
      </c>
      <c r="AE205" s="77" t="s">
        <v>192</v>
      </c>
      <c r="AG205" s="77" t="s">
        <v>112</v>
      </c>
    </row>
    <row r="206" spans="1:33" x14ac:dyDescent="0.3">
      <c r="A206" s="77" t="s">
        <v>686</v>
      </c>
      <c r="B206" s="77" t="s">
        <v>687</v>
      </c>
      <c r="G206" s="77" t="s">
        <v>186</v>
      </c>
      <c r="H206" s="77" t="s">
        <v>77</v>
      </c>
      <c r="I206" s="77" t="s">
        <v>78</v>
      </c>
      <c r="J206" s="77" t="s">
        <v>79</v>
      </c>
      <c r="K206" s="77" t="s">
        <v>80</v>
      </c>
      <c r="L206" s="77" t="s">
        <v>688</v>
      </c>
      <c r="M206" s="77" t="s">
        <v>82</v>
      </c>
      <c r="N206" s="77" t="s">
        <v>83</v>
      </c>
      <c r="Q206" s="77" t="s">
        <v>188</v>
      </c>
      <c r="T206" s="77" t="s">
        <v>112</v>
      </c>
      <c r="U206" s="77" t="s">
        <v>85</v>
      </c>
      <c r="V206" s="80" t="s">
        <v>231</v>
      </c>
      <c r="X206" s="77" t="s">
        <v>232</v>
      </c>
      <c r="Y206" s="78" t="s">
        <v>88</v>
      </c>
      <c r="AA206" s="77" t="s">
        <v>191</v>
      </c>
      <c r="AB206" s="77" t="s">
        <v>78</v>
      </c>
      <c r="AC206" s="77" t="s">
        <v>90</v>
      </c>
      <c r="AD206" s="77" t="s">
        <v>91</v>
      </c>
      <c r="AE206" s="77" t="s">
        <v>192</v>
      </c>
      <c r="AG206" s="77" t="s">
        <v>112</v>
      </c>
    </row>
    <row r="207" spans="1:33" x14ac:dyDescent="0.3">
      <c r="A207" s="77" t="s">
        <v>689</v>
      </c>
      <c r="B207" s="77" t="s">
        <v>690</v>
      </c>
      <c r="G207" s="77" t="s">
        <v>186</v>
      </c>
      <c r="H207" s="77" t="s">
        <v>77</v>
      </c>
      <c r="I207" s="77" t="s">
        <v>78</v>
      </c>
      <c r="J207" s="77" t="s">
        <v>79</v>
      </c>
      <c r="K207" s="77" t="s">
        <v>80</v>
      </c>
      <c r="L207" s="77" t="s">
        <v>691</v>
      </c>
      <c r="M207" s="77" t="s">
        <v>82</v>
      </c>
      <c r="N207" s="77" t="s">
        <v>83</v>
      </c>
      <c r="Q207" s="77" t="s">
        <v>188</v>
      </c>
      <c r="T207" s="77" t="s">
        <v>112</v>
      </c>
      <c r="U207" s="77" t="s">
        <v>85</v>
      </c>
      <c r="V207" s="80" t="s">
        <v>231</v>
      </c>
      <c r="X207" s="77" t="s">
        <v>232</v>
      </c>
      <c r="Y207" s="78" t="s">
        <v>88</v>
      </c>
      <c r="AA207" s="77" t="s">
        <v>191</v>
      </c>
      <c r="AB207" s="77" t="s">
        <v>78</v>
      </c>
      <c r="AC207" s="77" t="s">
        <v>90</v>
      </c>
      <c r="AD207" s="77" t="s">
        <v>91</v>
      </c>
      <c r="AE207" s="77" t="s">
        <v>192</v>
      </c>
      <c r="AG207" s="77" t="s">
        <v>112</v>
      </c>
    </row>
    <row r="208" spans="1:33" x14ac:dyDescent="0.3">
      <c r="A208" s="77" t="s">
        <v>692</v>
      </c>
      <c r="B208" s="77" t="s">
        <v>693</v>
      </c>
      <c r="G208" s="77" t="s">
        <v>186</v>
      </c>
      <c r="H208" s="77" t="s">
        <v>77</v>
      </c>
      <c r="I208" s="77" t="s">
        <v>78</v>
      </c>
      <c r="J208" s="77" t="s">
        <v>79</v>
      </c>
      <c r="K208" s="77" t="s">
        <v>80</v>
      </c>
      <c r="L208" s="77" t="s">
        <v>210</v>
      </c>
      <c r="M208" s="77" t="s">
        <v>82</v>
      </c>
      <c r="N208" s="77" t="s">
        <v>83</v>
      </c>
      <c r="Q208" s="77" t="s">
        <v>188</v>
      </c>
      <c r="T208" s="77" t="s">
        <v>112</v>
      </c>
      <c r="U208" s="77" t="s">
        <v>85</v>
      </c>
      <c r="V208" s="80" t="s">
        <v>211</v>
      </c>
      <c r="X208" s="77" t="s">
        <v>212</v>
      </c>
      <c r="Y208" s="78" t="s">
        <v>88</v>
      </c>
      <c r="AA208" s="77" t="s">
        <v>191</v>
      </c>
      <c r="AB208" s="77" t="s">
        <v>78</v>
      </c>
      <c r="AC208" s="77" t="s">
        <v>90</v>
      </c>
      <c r="AD208" s="77" t="s">
        <v>91</v>
      </c>
      <c r="AE208" s="77" t="s">
        <v>192</v>
      </c>
      <c r="AG208" s="77" t="s">
        <v>112</v>
      </c>
    </row>
    <row r="209" spans="1:33" x14ac:dyDescent="0.3">
      <c r="A209" s="77" t="s">
        <v>694</v>
      </c>
      <c r="B209" s="77" t="s">
        <v>695</v>
      </c>
      <c r="G209" s="77" t="s">
        <v>186</v>
      </c>
      <c r="H209" s="77" t="s">
        <v>77</v>
      </c>
      <c r="I209" s="77" t="s">
        <v>78</v>
      </c>
      <c r="J209" s="77" t="s">
        <v>79</v>
      </c>
      <c r="K209" s="77" t="s">
        <v>80</v>
      </c>
      <c r="L209" s="77" t="s">
        <v>210</v>
      </c>
      <c r="M209" s="77" t="s">
        <v>82</v>
      </c>
      <c r="N209" s="77" t="s">
        <v>83</v>
      </c>
      <c r="Q209" s="77" t="s">
        <v>188</v>
      </c>
      <c r="T209" s="77" t="s">
        <v>112</v>
      </c>
      <c r="U209" s="77" t="s">
        <v>85</v>
      </c>
      <c r="V209" s="80" t="s">
        <v>211</v>
      </c>
      <c r="X209" s="77" t="s">
        <v>212</v>
      </c>
      <c r="Y209" s="78" t="s">
        <v>88</v>
      </c>
      <c r="AA209" s="77" t="s">
        <v>191</v>
      </c>
      <c r="AB209" s="77" t="s">
        <v>78</v>
      </c>
      <c r="AC209" s="77" t="s">
        <v>90</v>
      </c>
      <c r="AD209" s="77" t="s">
        <v>91</v>
      </c>
      <c r="AE209" s="77" t="s">
        <v>192</v>
      </c>
      <c r="AG209" s="77" t="s">
        <v>112</v>
      </c>
    </row>
    <row r="210" spans="1:33" x14ac:dyDescent="0.3">
      <c r="A210" s="77" t="s">
        <v>696</v>
      </c>
      <c r="B210" s="77" t="s">
        <v>697</v>
      </c>
      <c r="G210" s="77" t="s">
        <v>186</v>
      </c>
      <c r="H210" s="77" t="s">
        <v>77</v>
      </c>
      <c r="I210" s="77" t="s">
        <v>78</v>
      </c>
      <c r="J210" s="77" t="s">
        <v>79</v>
      </c>
      <c r="K210" s="77" t="s">
        <v>80</v>
      </c>
      <c r="L210" s="77" t="s">
        <v>210</v>
      </c>
      <c r="M210" s="77" t="s">
        <v>82</v>
      </c>
      <c r="N210" s="77" t="s">
        <v>83</v>
      </c>
      <c r="Q210" s="77" t="s">
        <v>188</v>
      </c>
      <c r="T210" s="77" t="s">
        <v>112</v>
      </c>
      <c r="U210" s="77" t="s">
        <v>85</v>
      </c>
      <c r="V210" s="80" t="s">
        <v>211</v>
      </c>
      <c r="X210" s="77" t="s">
        <v>212</v>
      </c>
      <c r="Y210" s="78" t="s">
        <v>88</v>
      </c>
      <c r="AA210" s="77" t="s">
        <v>191</v>
      </c>
      <c r="AB210" s="77" t="s">
        <v>78</v>
      </c>
      <c r="AC210" s="77" t="s">
        <v>90</v>
      </c>
      <c r="AD210" s="77" t="s">
        <v>91</v>
      </c>
      <c r="AE210" s="77" t="s">
        <v>192</v>
      </c>
      <c r="AG210" s="77" t="s">
        <v>112</v>
      </c>
    </row>
    <row r="211" spans="1:33" x14ac:dyDescent="0.3">
      <c r="A211" s="77" t="s">
        <v>698</v>
      </c>
      <c r="B211" s="77" t="s">
        <v>699</v>
      </c>
      <c r="G211" s="77" t="s">
        <v>186</v>
      </c>
      <c r="H211" s="77" t="s">
        <v>77</v>
      </c>
      <c r="I211" s="77" t="s">
        <v>78</v>
      </c>
      <c r="J211" s="77" t="s">
        <v>79</v>
      </c>
      <c r="K211" s="77" t="s">
        <v>80</v>
      </c>
      <c r="L211" s="77" t="s">
        <v>210</v>
      </c>
      <c r="M211" s="77" t="s">
        <v>82</v>
      </c>
      <c r="N211" s="77" t="s">
        <v>83</v>
      </c>
      <c r="Q211" s="77" t="s">
        <v>188</v>
      </c>
      <c r="T211" s="77" t="s">
        <v>112</v>
      </c>
      <c r="U211" s="77" t="s">
        <v>85</v>
      </c>
      <c r="V211" s="80" t="s">
        <v>211</v>
      </c>
      <c r="X211" s="77" t="s">
        <v>212</v>
      </c>
      <c r="Y211" s="78" t="s">
        <v>88</v>
      </c>
      <c r="AA211" s="77" t="s">
        <v>191</v>
      </c>
      <c r="AB211" s="77" t="s">
        <v>78</v>
      </c>
      <c r="AC211" s="77" t="s">
        <v>90</v>
      </c>
      <c r="AD211" s="77" t="s">
        <v>91</v>
      </c>
      <c r="AE211" s="77" t="s">
        <v>192</v>
      </c>
      <c r="AG211" s="77" t="s">
        <v>112</v>
      </c>
    </row>
    <row r="212" spans="1:33" x14ac:dyDescent="0.3">
      <c r="A212" s="77" t="s">
        <v>700</v>
      </c>
      <c r="B212" s="77" t="s">
        <v>701</v>
      </c>
      <c r="G212" s="77" t="s">
        <v>186</v>
      </c>
      <c r="H212" s="77" t="s">
        <v>77</v>
      </c>
      <c r="I212" s="77" t="s">
        <v>78</v>
      </c>
      <c r="J212" s="77" t="s">
        <v>79</v>
      </c>
      <c r="K212" s="77" t="s">
        <v>80</v>
      </c>
      <c r="L212" s="77" t="s">
        <v>702</v>
      </c>
      <c r="M212" s="77" t="s">
        <v>82</v>
      </c>
      <c r="N212" s="77" t="s">
        <v>83</v>
      </c>
      <c r="Q212" s="77" t="s">
        <v>188</v>
      </c>
      <c r="T212" s="77" t="s">
        <v>112</v>
      </c>
      <c r="U212" s="77" t="s">
        <v>85</v>
      </c>
      <c r="V212" s="80" t="s">
        <v>211</v>
      </c>
      <c r="X212" s="77" t="s">
        <v>212</v>
      </c>
      <c r="Y212" s="78" t="s">
        <v>88</v>
      </c>
      <c r="AA212" s="77" t="s">
        <v>191</v>
      </c>
      <c r="AB212" s="77" t="s">
        <v>78</v>
      </c>
      <c r="AC212" s="77" t="s">
        <v>90</v>
      </c>
      <c r="AD212" s="77" t="s">
        <v>91</v>
      </c>
      <c r="AE212" s="77" t="s">
        <v>192</v>
      </c>
      <c r="AG212" s="77" t="s">
        <v>112</v>
      </c>
    </row>
    <row r="213" spans="1:33" x14ac:dyDescent="0.3">
      <c r="A213" s="77" t="s">
        <v>703</v>
      </c>
      <c r="B213" s="77" t="s">
        <v>704</v>
      </c>
      <c r="G213" s="77" t="s">
        <v>186</v>
      </c>
      <c r="H213" s="77" t="s">
        <v>77</v>
      </c>
      <c r="I213" s="77" t="s">
        <v>78</v>
      </c>
      <c r="J213" s="77" t="s">
        <v>79</v>
      </c>
      <c r="K213" s="77" t="s">
        <v>80</v>
      </c>
      <c r="L213" s="77" t="s">
        <v>705</v>
      </c>
      <c r="M213" s="77" t="s">
        <v>82</v>
      </c>
      <c r="N213" s="77" t="s">
        <v>83</v>
      </c>
      <c r="Q213" s="77" t="s">
        <v>188</v>
      </c>
      <c r="T213" s="77" t="s">
        <v>112</v>
      </c>
      <c r="U213" s="77" t="s">
        <v>85</v>
      </c>
      <c r="V213" s="80" t="s">
        <v>211</v>
      </c>
      <c r="X213" s="77" t="s">
        <v>212</v>
      </c>
      <c r="Y213" s="78" t="s">
        <v>88</v>
      </c>
      <c r="AA213" s="77" t="s">
        <v>191</v>
      </c>
      <c r="AB213" s="77" t="s">
        <v>78</v>
      </c>
      <c r="AC213" s="77" t="s">
        <v>90</v>
      </c>
      <c r="AD213" s="77" t="s">
        <v>91</v>
      </c>
      <c r="AE213" s="77" t="s">
        <v>192</v>
      </c>
      <c r="AG213" s="77" t="s">
        <v>112</v>
      </c>
    </row>
    <row r="214" spans="1:33" x14ac:dyDescent="0.3">
      <c r="A214" s="77" t="s">
        <v>706</v>
      </c>
      <c r="B214" s="77" t="s">
        <v>707</v>
      </c>
      <c r="G214" s="77" t="s">
        <v>186</v>
      </c>
      <c r="H214" s="77" t="s">
        <v>77</v>
      </c>
      <c r="I214" s="77" t="s">
        <v>78</v>
      </c>
      <c r="J214" s="77" t="s">
        <v>79</v>
      </c>
      <c r="K214" s="77" t="s">
        <v>80</v>
      </c>
      <c r="L214" s="77" t="s">
        <v>215</v>
      </c>
      <c r="M214" s="77" t="s">
        <v>82</v>
      </c>
      <c r="N214" s="77" t="s">
        <v>83</v>
      </c>
      <c r="Q214" s="77" t="s">
        <v>188</v>
      </c>
      <c r="T214" s="77" t="s">
        <v>112</v>
      </c>
      <c r="U214" s="77" t="s">
        <v>85</v>
      </c>
      <c r="V214" s="80" t="s">
        <v>216</v>
      </c>
      <c r="X214" s="77" t="s">
        <v>217</v>
      </c>
      <c r="Y214" s="78" t="s">
        <v>88</v>
      </c>
      <c r="AA214" s="77" t="s">
        <v>191</v>
      </c>
      <c r="AB214" s="77" t="s">
        <v>78</v>
      </c>
      <c r="AC214" s="77" t="s">
        <v>90</v>
      </c>
      <c r="AD214" s="77" t="s">
        <v>91</v>
      </c>
      <c r="AE214" s="77" t="s">
        <v>192</v>
      </c>
      <c r="AG214" s="77" t="s">
        <v>112</v>
      </c>
    </row>
    <row r="215" spans="1:33" x14ac:dyDescent="0.3">
      <c r="A215" s="77" t="s">
        <v>708</v>
      </c>
      <c r="B215" s="77" t="s">
        <v>709</v>
      </c>
      <c r="G215" s="77" t="s">
        <v>186</v>
      </c>
      <c r="H215" s="77" t="s">
        <v>77</v>
      </c>
      <c r="I215" s="77" t="s">
        <v>78</v>
      </c>
      <c r="J215" s="77" t="s">
        <v>79</v>
      </c>
      <c r="K215" s="77" t="s">
        <v>80</v>
      </c>
      <c r="L215" s="77" t="s">
        <v>215</v>
      </c>
      <c r="M215" s="77" t="s">
        <v>82</v>
      </c>
      <c r="N215" s="77" t="s">
        <v>83</v>
      </c>
      <c r="Q215" s="77" t="s">
        <v>188</v>
      </c>
      <c r="T215" s="77" t="s">
        <v>112</v>
      </c>
      <c r="U215" s="77" t="s">
        <v>85</v>
      </c>
      <c r="V215" s="80" t="s">
        <v>216</v>
      </c>
      <c r="X215" s="77" t="s">
        <v>217</v>
      </c>
      <c r="Y215" s="78" t="s">
        <v>88</v>
      </c>
      <c r="AA215" s="77" t="s">
        <v>191</v>
      </c>
      <c r="AB215" s="77" t="s">
        <v>78</v>
      </c>
      <c r="AC215" s="77" t="s">
        <v>90</v>
      </c>
      <c r="AD215" s="77" t="s">
        <v>91</v>
      </c>
      <c r="AE215" s="77" t="s">
        <v>192</v>
      </c>
      <c r="AG215" s="77" t="s">
        <v>112</v>
      </c>
    </row>
    <row r="216" spans="1:33" x14ac:dyDescent="0.3">
      <c r="A216" s="77" t="s">
        <v>710</v>
      </c>
      <c r="B216" s="77" t="s">
        <v>711</v>
      </c>
      <c r="G216" s="77" t="s">
        <v>186</v>
      </c>
      <c r="H216" s="77" t="s">
        <v>77</v>
      </c>
      <c r="I216" s="77" t="s">
        <v>78</v>
      </c>
      <c r="J216" s="77" t="s">
        <v>79</v>
      </c>
      <c r="K216" s="77" t="s">
        <v>80</v>
      </c>
      <c r="L216" s="77" t="s">
        <v>215</v>
      </c>
      <c r="M216" s="77" t="s">
        <v>82</v>
      </c>
      <c r="N216" s="77" t="s">
        <v>83</v>
      </c>
      <c r="Q216" s="77" t="s">
        <v>188</v>
      </c>
      <c r="T216" s="77" t="s">
        <v>112</v>
      </c>
      <c r="U216" s="77" t="s">
        <v>85</v>
      </c>
      <c r="V216" s="80" t="s">
        <v>216</v>
      </c>
      <c r="X216" s="77" t="s">
        <v>217</v>
      </c>
      <c r="Y216" s="78" t="s">
        <v>88</v>
      </c>
      <c r="AA216" s="77" t="s">
        <v>191</v>
      </c>
      <c r="AB216" s="77" t="s">
        <v>78</v>
      </c>
      <c r="AC216" s="77" t="s">
        <v>90</v>
      </c>
      <c r="AD216" s="77" t="s">
        <v>91</v>
      </c>
      <c r="AE216" s="77" t="s">
        <v>192</v>
      </c>
      <c r="AG216" s="77" t="s">
        <v>112</v>
      </c>
    </row>
    <row r="217" spans="1:33" x14ac:dyDescent="0.3">
      <c r="A217" s="77" t="s">
        <v>712</v>
      </c>
      <c r="B217" s="77" t="s">
        <v>713</v>
      </c>
      <c r="G217" s="77" t="s">
        <v>186</v>
      </c>
      <c r="H217" s="77" t="s">
        <v>77</v>
      </c>
      <c r="I217" s="77" t="s">
        <v>78</v>
      </c>
      <c r="J217" s="77" t="s">
        <v>79</v>
      </c>
      <c r="K217" s="77" t="s">
        <v>80</v>
      </c>
      <c r="L217" s="77" t="s">
        <v>215</v>
      </c>
      <c r="M217" s="77" t="s">
        <v>82</v>
      </c>
      <c r="N217" s="77" t="s">
        <v>83</v>
      </c>
      <c r="Q217" s="77" t="s">
        <v>188</v>
      </c>
      <c r="T217" s="77" t="s">
        <v>112</v>
      </c>
      <c r="U217" s="77" t="s">
        <v>85</v>
      </c>
      <c r="V217" s="80" t="s">
        <v>216</v>
      </c>
      <c r="X217" s="77" t="s">
        <v>217</v>
      </c>
      <c r="Y217" s="78" t="s">
        <v>88</v>
      </c>
      <c r="AA217" s="77" t="s">
        <v>191</v>
      </c>
      <c r="AB217" s="77" t="s">
        <v>78</v>
      </c>
      <c r="AC217" s="77" t="s">
        <v>90</v>
      </c>
      <c r="AD217" s="77" t="s">
        <v>91</v>
      </c>
      <c r="AE217" s="77" t="s">
        <v>192</v>
      </c>
      <c r="AG217" s="77" t="s">
        <v>112</v>
      </c>
    </row>
    <row r="218" spans="1:33" x14ac:dyDescent="0.3">
      <c r="A218" s="77" t="s">
        <v>714</v>
      </c>
      <c r="B218" s="77" t="s">
        <v>715</v>
      </c>
      <c r="G218" s="77" t="s">
        <v>186</v>
      </c>
      <c r="H218" s="77" t="s">
        <v>77</v>
      </c>
      <c r="I218" s="77" t="s">
        <v>78</v>
      </c>
      <c r="J218" s="77" t="s">
        <v>79</v>
      </c>
      <c r="K218" s="77" t="s">
        <v>80</v>
      </c>
      <c r="L218" s="77" t="s">
        <v>716</v>
      </c>
      <c r="M218" s="77" t="s">
        <v>82</v>
      </c>
      <c r="N218" s="77" t="s">
        <v>83</v>
      </c>
      <c r="Q218" s="77" t="s">
        <v>188</v>
      </c>
      <c r="T218" s="77" t="s">
        <v>112</v>
      </c>
      <c r="U218" s="77" t="s">
        <v>85</v>
      </c>
      <c r="V218" s="80" t="s">
        <v>216</v>
      </c>
      <c r="X218" s="77" t="s">
        <v>217</v>
      </c>
      <c r="Y218" s="78" t="s">
        <v>88</v>
      </c>
      <c r="AA218" s="77" t="s">
        <v>191</v>
      </c>
      <c r="AB218" s="77" t="s">
        <v>78</v>
      </c>
      <c r="AC218" s="77" t="s">
        <v>90</v>
      </c>
      <c r="AD218" s="77" t="s">
        <v>91</v>
      </c>
      <c r="AE218" s="77" t="s">
        <v>192</v>
      </c>
      <c r="AG218" s="77" t="s">
        <v>112</v>
      </c>
    </row>
    <row r="219" spans="1:33" x14ac:dyDescent="0.3">
      <c r="A219" s="77" t="s">
        <v>717</v>
      </c>
      <c r="B219" s="77" t="s">
        <v>718</v>
      </c>
      <c r="G219" s="77" t="s">
        <v>186</v>
      </c>
      <c r="H219" s="77" t="s">
        <v>77</v>
      </c>
      <c r="I219" s="77" t="s">
        <v>78</v>
      </c>
      <c r="J219" s="77" t="s">
        <v>79</v>
      </c>
      <c r="K219" s="77" t="s">
        <v>80</v>
      </c>
      <c r="L219" s="77" t="s">
        <v>719</v>
      </c>
      <c r="M219" s="77" t="s">
        <v>82</v>
      </c>
      <c r="N219" s="77" t="s">
        <v>83</v>
      </c>
      <c r="Q219" s="77" t="s">
        <v>188</v>
      </c>
      <c r="T219" s="77" t="s">
        <v>112</v>
      </c>
      <c r="U219" s="77" t="s">
        <v>85</v>
      </c>
      <c r="V219" s="80" t="s">
        <v>216</v>
      </c>
      <c r="X219" s="77" t="s">
        <v>217</v>
      </c>
      <c r="Y219" s="78" t="s">
        <v>88</v>
      </c>
      <c r="AA219" s="77" t="s">
        <v>191</v>
      </c>
      <c r="AB219" s="77" t="s">
        <v>78</v>
      </c>
      <c r="AC219" s="77" t="s">
        <v>90</v>
      </c>
      <c r="AD219" s="77" t="s">
        <v>91</v>
      </c>
      <c r="AE219" s="77" t="s">
        <v>192</v>
      </c>
      <c r="AG219" s="77" t="s">
        <v>112</v>
      </c>
    </row>
    <row r="220" spans="1:33" x14ac:dyDescent="0.3">
      <c r="A220" s="77" t="s">
        <v>720</v>
      </c>
      <c r="B220" s="77" t="s">
        <v>721</v>
      </c>
      <c r="G220" s="77" t="s">
        <v>186</v>
      </c>
      <c r="H220" s="77" t="s">
        <v>77</v>
      </c>
      <c r="I220" s="77" t="s">
        <v>78</v>
      </c>
      <c r="J220" s="77" t="s">
        <v>79</v>
      </c>
      <c r="K220" s="77" t="s">
        <v>80</v>
      </c>
      <c r="L220" s="77" t="s">
        <v>220</v>
      </c>
      <c r="M220" s="77" t="s">
        <v>82</v>
      </c>
      <c r="N220" s="77" t="s">
        <v>83</v>
      </c>
      <c r="Q220" s="77" t="s">
        <v>188</v>
      </c>
      <c r="T220" s="77" t="s">
        <v>112</v>
      </c>
      <c r="U220" s="77" t="s">
        <v>85</v>
      </c>
      <c r="V220" s="80" t="s">
        <v>221</v>
      </c>
      <c r="X220" s="77" t="s">
        <v>222</v>
      </c>
      <c r="Y220" s="78" t="s">
        <v>101</v>
      </c>
      <c r="AA220" s="77" t="s">
        <v>191</v>
      </c>
      <c r="AB220" s="77" t="s">
        <v>78</v>
      </c>
      <c r="AC220" s="77" t="s">
        <v>90</v>
      </c>
      <c r="AD220" s="77" t="s">
        <v>102</v>
      </c>
      <c r="AE220" s="77" t="s">
        <v>192</v>
      </c>
      <c r="AG220" s="77" t="s">
        <v>112</v>
      </c>
    </row>
    <row r="221" spans="1:33" x14ac:dyDescent="0.3">
      <c r="A221" s="77" t="s">
        <v>722</v>
      </c>
      <c r="B221" s="77" t="s">
        <v>723</v>
      </c>
      <c r="G221" s="77" t="s">
        <v>186</v>
      </c>
      <c r="H221" s="77" t="s">
        <v>77</v>
      </c>
      <c r="I221" s="77" t="s">
        <v>78</v>
      </c>
      <c r="J221" s="77" t="s">
        <v>79</v>
      </c>
      <c r="K221" s="77" t="s">
        <v>80</v>
      </c>
      <c r="L221" s="77" t="s">
        <v>220</v>
      </c>
      <c r="M221" s="77" t="s">
        <v>82</v>
      </c>
      <c r="N221" s="77" t="s">
        <v>83</v>
      </c>
      <c r="Q221" s="77" t="s">
        <v>188</v>
      </c>
      <c r="T221" s="77" t="s">
        <v>112</v>
      </c>
      <c r="U221" s="77" t="s">
        <v>85</v>
      </c>
      <c r="V221" s="80" t="s">
        <v>221</v>
      </c>
      <c r="X221" s="77" t="s">
        <v>222</v>
      </c>
      <c r="Y221" s="78" t="s">
        <v>101</v>
      </c>
      <c r="AA221" s="77" t="s">
        <v>191</v>
      </c>
      <c r="AB221" s="77" t="s">
        <v>78</v>
      </c>
      <c r="AC221" s="77" t="s">
        <v>90</v>
      </c>
      <c r="AD221" s="77" t="s">
        <v>102</v>
      </c>
      <c r="AE221" s="77" t="s">
        <v>192</v>
      </c>
      <c r="AG221" s="77" t="s">
        <v>112</v>
      </c>
    </row>
    <row r="222" spans="1:33" x14ac:dyDescent="0.3">
      <c r="A222" s="77" t="s">
        <v>724</v>
      </c>
      <c r="B222" s="77" t="s">
        <v>725</v>
      </c>
      <c r="G222" s="77" t="s">
        <v>186</v>
      </c>
      <c r="H222" s="77" t="s">
        <v>77</v>
      </c>
      <c r="I222" s="77" t="s">
        <v>78</v>
      </c>
      <c r="J222" s="77" t="s">
        <v>79</v>
      </c>
      <c r="K222" s="77" t="s">
        <v>80</v>
      </c>
      <c r="L222" s="77" t="s">
        <v>220</v>
      </c>
      <c r="M222" s="77" t="s">
        <v>82</v>
      </c>
      <c r="N222" s="77" t="s">
        <v>83</v>
      </c>
      <c r="Q222" s="77" t="s">
        <v>188</v>
      </c>
      <c r="T222" s="77" t="s">
        <v>112</v>
      </c>
      <c r="U222" s="77" t="s">
        <v>85</v>
      </c>
      <c r="V222" s="80" t="s">
        <v>221</v>
      </c>
      <c r="X222" s="77" t="s">
        <v>222</v>
      </c>
      <c r="Y222" s="78" t="s">
        <v>101</v>
      </c>
      <c r="AA222" s="77" t="s">
        <v>191</v>
      </c>
      <c r="AB222" s="77" t="s">
        <v>78</v>
      </c>
      <c r="AC222" s="77" t="s">
        <v>90</v>
      </c>
      <c r="AD222" s="77" t="s">
        <v>102</v>
      </c>
      <c r="AE222" s="77" t="s">
        <v>192</v>
      </c>
      <c r="AG222" s="77" t="s">
        <v>112</v>
      </c>
    </row>
    <row r="223" spans="1:33" x14ac:dyDescent="0.3">
      <c r="A223" s="77" t="s">
        <v>726</v>
      </c>
      <c r="B223" s="77" t="s">
        <v>727</v>
      </c>
      <c r="G223" s="77" t="s">
        <v>186</v>
      </c>
      <c r="H223" s="77" t="s">
        <v>77</v>
      </c>
      <c r="I223" s="77" t="s">
        <v>78</v>
      </c>
      <c r="J223" s="77" t="s">
        <v>79</v>
      </c>
      <c r="K223" s="77" t="s">
        <v>80</v>
      </c>
      <c r="L223" s="77" t="s">
        <v>220</v>
      </c>
      <c r="M223" s="77" t="s">
        <v>82</v>
      </c>
      <c r="N223" s="77" t="s">
        <v>83</v>
      </c>
      <c r="Q223" s="77" t="s">
        <v>188</v>
      </c>
      <c r="T223" s="77" t="s">
        <v>112</v>
      </c>
      <c r="U223" s="77" t="s">
        <v>85</v>
      </c>
      <c r="V223" s="80" t="s">
        <v>221</v>
      </c>
      <c r="X223" s="77" t="s">
        <v>222</v>
      </c>
      <c r="Y223" s="78" t="s">
        <v>101</v>
      </c>
      <c r="AA223" s="77" t="s">
        <v>191</v>
      </c>
      <c r="AB223" s="77" t="s">
        <v>78</v>
      </c>
      <c r="AC223" s="77" t="s">
        <v>90</v>
      </c>
      <c r="AD223" s="77" t="s">
        <v>102</v>
      </c>
      <c r="AE223" s="77" t="s">
        <v>192</v>
      </c>
      <c r="AG223" s="77" t="s">
        <v>112</v>
      </c>
    </row>
    <row r="224" spans="1:33" x14ac:dyDescent="0.3">
      <c r="A224" s="77" t="s">
        <v>728</v>
      </c>
      <c r="B224" s="77" t="s">
        <v>729</v>
      </c>
      <c r="G224" s="77" t="s">
        <v>186</v>
      </c>
      <c r="H224" s="77" t="s">
        <v>77</v>
      </c>
      <c r="I224" s="77" t="s">
        <v>78</v>
      </c>
      <c r="J224" s="77" t="s">
        <v>79</v>
      </c>
      <c r="K224" s="77" t="s">
        <v>80</v>
      </c>
      <c r="L224" s="77" t="s">
        <v>730</v>
      </c>
      <c r="M224" s="77" t="s">
        <v>82</v>
      </c>
      <c r="N224" s="77" t="s">
        <v>83</v>
      </c>
      <c r="Q224" s="77" t="s">
        <v>188</v>
      </c>
      <c r="T224" s="77" t="s">
        <v>112</v>
      </c>
      <c r="U224" s="77" t="s">
        <v>85</v>
      </c>
      <c r="V224" s="80" t="s">
        <v>221</v>
      </c>
      <c r="X224" s="77" t="s">
        <v>222</v>
      </c>
      <c r="Y224" s="78" t="s">
        <v>101</v>
      </c>
      <c r="AA224" s="77" t="s">
        <v>191</v>
      </c>
      <c r="AB224" s="77" t="s">
        <v>78</v>
      </c>
      <c r="AC224" s="77" t="s">
        <v>90</v>
      </c>
      <c r="AD224" s="77" t="s">
        <v>102</v>
      </c>
      <c r="AE224" s="77" t="s">
        <v>192</v>
      </c>
      <c r="AG224" s="77" t="s">
        <v>112</v>
      </c>
    </row>
    <row r="225" spans="1:33" x14ac:dyDescent="0.3">
      <c r="A225" s="77" t="s">
        <v>731</v>
      </c>
      <c r="B225" s="77" t="s">
        <v>732</v>
      </c>
      <c r="G225" s="77" t="s">
        <v>186</v>
      </c>
      <c r="H225" s="77" t="s">
        <v>77</v>
      </c>
      <c r="I225" s="77" t="s">
        <v>78</v>
      </c>
      <c r="J225" s="77" t="s">
        <v>79</v>
      </c>
      <c r="K225" s="77" t="s">
        <v>80</v>
      </c>
      <c r="L225" s="77" t="s">
        <v>733</v>
      </c>
      <c r="M225" s="77" t="s">
        <v>82</v>
      </c>
      <c r="N225" s="77" t="s">
        <v>83</v>
      </c>
      <c r="Q225" s="77" t="s">
        <v>188</v>
      </c>
      <c r="T225" s="77" t="s">
        <v>112</v>
      </c>
      <c r="U225" s="77" t="s">
        <v>85</v>
      </c>
      <c r="V225" s="80" t="s">
        <v>221</v>
      </c>
      <c r="X225" s="77" t="s">
        <v>222</v>
      </c>
      <c r="Y225" s="78" t="s">
        <v>101</v>
      </c>
      <c r="AA225" s="77" t="s">
        <v>191</v>
      </c>
      <c r="AB225" s="77" t="s">
        <v>78</v>
      </c>
      <c r="AC225" s="77" t="s">
        <v>90</v>
      </c>
      <c r="AD225" s="77" t="s">
        <v>102</v>
      </c>
      <c r="AE225" s="77" t="s">
        <v>192</v>
      </c>
      <c r="AG225" s="77" t="s">
        <v>112</v>
      </c>
    </row>
    <row r="226" spans="1:33" x14ac:dyDescent="0.3">
      <c r="A226" s="77" t="s">
        <v>734</v>
      </c>
      <c r="B226" s="77" t="s">
        <v>735</v>
      </c>
      <c r="G226" s="77" t="s">
        <v>186</v>
      </c>
      <c r="H226" s="77" t="s">
        <v>77</v>
      </c>
      <c r="I226" s="77" t="s">
        <v>78</v>
      </c>
      <c r="J226" s="77" t="s">
        <v>79</v>
      </c>
      <c r="K226" s="77" t="s">
        <v>80</v>
      </c>
      <c r="L226" s="77" t="s">
        <v>225</v>
      </c>
      <c r="M226" s="77" t="s">
        <v>82</v>
      </c>
      <c r="N226" s="77" t="s">
        <v>83</v>
      </c>
      <c r="Q226" s="77" t="s">
        <v>188</v>
      </c>
      <c r="T226" s="77" t="s">
        <v>112</v>
      </c>
      <c r="U226" s="77" t="s">
        <v>85</v>
      </c>
      <c r="V226" s="80" t="s">
        <v>226</v>
      </c>
      <c r="X226" s="77" t="s">
        <v>227</v>
      </c>
      <c r="Y226" s="78" t="s">
        <v>101</v>
      </c>
      <c r="AA226" s="77" t="s">
        <v>191</v>
      </c>
      <c r="AB226" s="77" t="s">
        <v>78</v>
      </c>
      <c r="AC226" s="77" t="s">
        <v>90</v>
      </c>
      <c r="AD226" s="77" t="s">
        <v>102</v>
      </c>
      <c r="AE226" s="77" t="s">
        <v>192</v>
      </c>
      <c r="AG226" s="77" t="s">
        <v>112</v>
      </c>
    </row>
    <row r="227" spans="1:33" x14ac:dyDescent="0.3">
      <c r="A227" s="77" t="s">
        <v>736</v>
      </c>
      <c r="B227" s="77" t="s">
        <v>737</v>
      </c>
      <c r="G227" s="77" t="s">
        <v>186</v>
      </c>
      <c r="H227" s="77" t="s">
        <v>77</v>
      </c>
      <c r="I227" s="77" t="s">
        <v>78</v>
      </c>
      <c r="J227" s="77" t="s">
        <v>79</v>
      </c>
      <c r="K227" s="77" t="s">
        <v>80</v>
      </c>
      <c r="L227" s="77" t="s">
        <v>225</v>
      </c>
      <c r="M227" s="77" t="s">
        <v>82</v>
      </c>
      <c r="N227" s="77" t="s">
        <v>83</v>
      </c>
      <c r="Q227" s="77" t="s">
        <v>188</v>
      </c>
      <c r="T227" s="77" t="s">
        <v>112</v>
      </c>
      <c r="U227" s="77" t="s">
        <v>85</v>
      </c>
      <c r="V227" s="80" t="s">
        <v>226</v>
      </c>
      <c r="X227" s="77" t="s">
        <v>227</v>
      </c>
      <c r="Y227" s="78" t="s">
        <v>101</v>
      </c>
      <c r="AA227" s="77" t="s">
        <v>191</v>
      </c>
      <c r="AB227" s="77" t="s">
        <v>78</v>
      </c>
      <c r="AC227" s="77" t="s">
        <v>90</v>
      </c>
      <c r="AD227" s="77" t="s">
        <v>102</v>
      </c>
      <c r="AE227" s="77" t="s">
        <v>192</v>
      </c>
      <c r="AG227" s="77" t="s">
        <v>112</v>
      </c>
    </row>
    <row r="228" spans="1:33" x14ac:dyDescent="0.3">
      <c r="A228" s="77" t="s">
        <v>738</v>
      </c>
      <c r="B228" s="77" t="s">
        <v>739</v>
      </c>
      <c r="G228" s="77" t="s">
        <v>186</v>
      </c>
      <c r="H228" s="77" t="s">
        <v>77</v>
      </c>
      <c r="I228" s="77" t="s">
        <v>78</v>
      </c>
      <c r="J228" s="77" t="s">
        <v>79</v>
      </c>
      <c r="K228" s="77" t="s">
        <v>80</v>
      </c>
      <c r="L228" s="77" t="s">
        <v>225</v>
      </c>
      <c r="M228" s="77" t="s">
        <v>82</v>
      </c>
      <c r="N228" s="77" t="s">
        <v>83</v>
      </c>
      <c r="Q228" s="77" t="s">
        <v>188</v>
      </c>
      <c r="T228" s="77" t="s">
        <v>112</v>
      </c>
      <c r="U228" s="77" t="s">
        <v>85</v>
      </c>
      <c r="V228" s="80" t="s">
        <v>226</v>
      </c>
      <c r="X228" s="77" t="s">
        <v>227</v>
      </c>
      <c r="Y228" s="78" t="s">
        <v>101</v>
      </c>
      <c r="AA228" s="77" t="s">
        <v>191</v>
      </c>
      <c r="AB228" s="77" t="s">
        <v>78</v>
      </c>
      <c r="AC228" s="77" t="s">
        <v>90</v>
      </c>
      <c r="AD228" s="77" t="s">
        <v>102</v>
      </c>
      <c r="AE228" s="77" t="s">
        <v>192</v>
      </c>
      <c r="AG228" s="77" t="s">
        <v>112</v>
      </c>
    </row>
    <row r="229" spans="1:33" x14ac:dyDescent="0.3">
      <c r="A229" s="77" t="s">
        <v>740</v>
      </c>
      <c r="B229" s="77" t="s">
        <v>741</v>
      </c>
      <c r="G229" s="77" t="s">
        <v>186</v>
      </c>
      <c r="H229" s="77" t="s">
        <v>77</v>
      </c>
      <c r="I229" s="77" t="s">
        <v>78</v>
      </c>
      <c r="J229" s="77" t="s">
        <v>79</v>
      </c>
      <c r="K229" s="77" t="s">
        <v>80</v>
      </c>
      <c r="L229" s="77" t="s">
        <v>225</v>
      </c>
      <c r="M229" s="77" t="s">
        <v>82</v>
      </c>
      <c r="N229" s="77" t="s">
        <v>83</v>
      </c>
      <c r="Q229" s="77" t="s">
        <v>188</v>
      </c>
      <c r="T229" s="77" t="s">
        <v>112</v>
      </c>
      <c r="U229" s="77" t="s">
        <v>85</v>
      </c>
      <c r="V229" s="80" t="s">
        <v>226</v>
      </c>
      <c r="X229" s="77" t="s">
        <v>227</v>
      </c>
      <c r="Y229" s="78" t="s">
        <v>101</v>
      </c>
      <c r="AA229" s="77" t="s">
        <v>191</v>
      </c>
      <c r="AB229" s="77" t="s">
        <v>78</v>
      </c>
      <c r="AC229" s="77" t="s">
        <v>90</v>
      </c>
      <c r="AD229" s="77" t="s">
        <v>102</v>
      </c>
      <c r="AE229" s="77" t="s">
        <v>192</v>
      </c>
      <c r="AG229" s="77" t="s">
        <v>112</v>
      </c>
    </row>
    <row r="230" spans="1:33" x14ac:dyDescent="0.3">
      <c r="A230" s="77" t="s">
        <v>742</v>
      </c>
      <c r="B230" s="77" t="s">
        <v>743</v>
      </c>
      <c r="G230" s="77" t="s">
        <v>186</v>
      </c>
      <c r="H230" s="77" t="s">
        <v>77</v>
      </c>
      <c r="I230" s="77" t="s">
        <v>78</v>
      </c>
      <c r="J230" s="77" t="s">
        <v>79</v>
      </c>
      <c r="K230" s="77" t="s">
        <v>80</v>
      </c>
      <c r="L230" s="77" t="s">
        <v>744</v>
      </c>
      <c r="M230" s="77" t="s">
        <v>82</v>
      </c>
      <c r="N230" s="77" t="s">
        <v>83</v>
      </c>
      <c r="Q230" s="77" t="s">
        <v>188</v>
      </c>
      <c r="T230" s="77" t="s">
        <v>112</v>
      </c>
      <c r="U230" s="77" t="s">
        <v>85</v>
      </c>
      <c r="V230" s="80" t="s">
        <v>226</v>
      </c>
      <c r="X230" s="77" t="s">
        <v>227</v>
      </c>
      <c r="Y230" s="78" t="s">
        <v>101</v>
      </c>
      <c r="AA230" s="77" t="s">
        <v>191</v>
      </c>
      <c r="AB230" s="77" t="s">
        <v>78</v>
      </c>
      <c r="AC230" s="77" t="s">
        <v>90</v>
      </c>
      <c r="AD230" s="77" t="s">
        <v>102</v>
      </c>
      <c r="AE230" s="77" t="s">
        <v>192</v>
      </c>
      <c r="AG230" s="77" t="s">
        <v>112</v>
      </c>
    </row>
    <row r="231" spans="1:33" x14ac:dyDescent="0.3">
      <c r="A231" s="77" t="s">
        <v>745</v>
      </c>
      <c r="B231" s="77" t="s">
        <v>746</v>
      </c>
      <c r="G231" s="77" t="s">
        <v>186</v>
      </c>
      <c r="H231" s="77" t="s">
        <v>77</v>
      </c>
      <c r="I231" s="77" t="s">
        <v>78</v>
      </c>
      <c r="J231" s="77" t="s">
        <v>79</v>
      </c>
      <c r="K231" s="77" t="s">
        <v>80</v>
      </c>
      <c r="L231" s="77" t="s">
        <v>747</v>
      </c>
      <c r="M231" s="77" t="s">
        <v>82</v>
      </c>
      <c r="N231" s="77" t="s">
        <v>83</v>
      </c>
      <c r="Q231" s="77" t="s">
        <v>188</v>
      </c>
      <c r="T231" s="77" t="s">
        <v>112</v>
      </c>
      <c r="U231" s="77" t="s">
        <v>85</v>
      </c>
      <c r="V231" s="80" t="s">
        <v>226</v>
      </c>
      <c r="X231" s="77" t="s">
        <v>227</v>
      </c>
      <c r="Y231" s="78" t="s">
        <v>101</v>
      </c>
      <c r="AA231" s="77" t="s">
        <v>191</v>
      </c>
      <c r="AB231" s="77" t="s">
        <v>78</v>
      </c>
      <c r="AC231" s="77" t="s">
        <v>90</v>
      </c>
      <c r="AD231" s="77" t="s">
        <v>102</v>
      </c>
      <c r="AE231" s="77" t="s">
        <v>192</v>
      </c>
      <c r="AG231" s="77" t="s">
        <v>112</v>
      </c>
    </row>
    <row r="232" spans="1:33" x14ac:dyDescent="0.3">
      <c r="A232" s="77" t="s">
        <v>748</v>
      </c>
      <c r="B232" s="77" t="s">
        <v>749</v>
      </c>
      <c r="G232" s="77" t="s">
        <v>186</v>
      </c>
      <c r="H232" s="77" t="s">
        <v>77</v>
      </c>
      <c r="I232" s="77" t="s">
        <v>78</v>
      </c>
      <c r="J232" s="77" t="s">
        <v>79</v>
      </c>
      <c r="K232" s="77" t="s">
        <v>80</v>
      </c>
      <c r="L232" s="77" t="s">
        <v>750</v>
      </c>
      <c r="M232" s="77" t="s">
        <v>82</v>
      </c>
      <c r="N232" s="77" t="s">
        <v>83</v>
      </c>
      <c r="Q232" s="77" t="s">
        <v>188</v>
      </c>
      <c r="T232" s="77" t="s">
        <v>112</v>
      </c>
      <c r="U232" s="77" t="s">
        <v>85</v>
      </c>
      <c r="V232" s="80" t="s">
        <v>231</v>
      </c>
      <c r="X232" s="77" t="s">
        <v>232</v>
      </c>
      <c r="Y232" s="78" t="s">
        <v>88</v>
      </c>
      <c r="AA232" s="77" t="s">
        <v>191</v>
      </c>
      <c r="AB232" s="77" t="s">
        <v>78</v>
      </c>
      <c r="AC232" s="77" t="s">
        <v>90</v>
      </c>
      <c r="AD232" s="77" t="s">
        <v>91</v>
      </c>
      <c r="AE232" s="77" t="s">
        <v>192</v>
      </c>
      <c r="AG232" s="77" t="s">
        <v>112</v>
      </c>
    </row>
    <row r="233" spans="1:33" x14ac:dyDescent="0.3">
      <c r="A233" s="77" t="s">
        <v>751</v>
      </c>
      <c r="B233" s="77" t="s">
        <v>752</v>
      </c>
      <c r="G233" s="77" t="s">
        <v>186</v>
      </c>
      <c r="H233" s="77" t="s">
        <v>77</v>
      </c>
      <c r="I233" s="77" t="s">
        <v>78</v>
      </c>
      <c r="J233" s="77" t="s">
        <v>79</v>
      </c>
      <c r="K233" s="77" t="s">
        <v>80</v>
      </c>
      <c r="L233" s="77" t="s">
        <v>753</v>
      </c>
      <c r="M233" s="77" t="s">
        <v>82</v>
      </c>
      <c r="N233" s="77" t="s">
        <v>83</v>
      </c>
      <c r="Q233" s="77" t="s">
        <v>188</v>
      </c>
      <c r="T233" s="77" t="s">
        <v>112</v>
      </c>
      <c r="U233" s="77" t="s">
        <v>85</v>
      </c>
      <c r="V233" s="80" t="s">
        <v>231</v>
      </c>
      <c r="X233" s="77" t="s">
        <v>232</v>
      </c>
      <c r="Y233" s="78" t="s">
        <v>88</v>
      </c>
      <c r="AA233" s="77" t="s">
        <v>191</v>
      </c>
      <c r="AB233" s="77" t="s">
        <v>78</v>
      </c>
      <c r="AC233" s="77" t="s">
        <v>90</v>
      </c>
      <c r="AD233" s="77" t="s">
        <v>91</v>
      </c>
      <c r="AE233" s="77" t="s">
        <v>192</v>
      </c>
      <c r="AG233" s="77" t="s">
        <v>112</v>
      </c>
    </row>
    <row r="234" spans="1:33" x14ac:dyDescent="0.3">
      <c r="A234" s="77" t="s">
        <v>754</v>
      </c>
      <c r="B234" s="77" t="s">
        <v>755</v>
      </c>
      <c r="G234" s="77" t="s">
        <v>186</v>
      </c>
      <c r="H234" s="77" t="s">
        <v>77</v>
      </c>
      <c r="I234" s="77" t="s">
        <v>78</v>
      </c>
      <c r="J234" s="77" t="s">
        <v>79</v>
      </c>
      <c r="K234" s="77" t="s">
        <v>80</v>
      </c>
      <c r="L234" s="77" t="s">
        <v>230</v>
      </c>
      <c r="M234" s="77" t="s">
        <v>82</v>
      </c>
      <c r="N234" s="77" t="s">
        <v>83</v>
      </c>
      <c r="Q234" s="77" t="s">
        <v>188</v>
      </c>
      <c r="T234" s="77" t="s">
        <v>112</v>
      </c>
      <c r="U234" s="77" t="s">
        <v>85</v>
      </c>
      <c r="V234" s="80" t="s">
        <v>231</v>
      </c>
      <c r="X234" s="77" t="s">
        <v>232</v>
      </c>
      <c r="Y234" s="78" t="s">
        <v>88</v>
      </c>
      <c r="AA234" s="77" t="s">
        <v>191</v>
      </c>
      <c r="AB234" s="77" t="s">
        <v>78</v>
      </c>
      <c r="AC234" s="77" t="s">
        <v>90</v>
      </c>
      <c r="AD234" s="77" t="s">
        <v>91</v>
      </c>
      <c r="AE234" s="77" t="s">
        <v>192</v>
      </c>
      <c r="AG234" s="77" t="s">
        <v>112</v>
      </c>
    </row>
    <row r="235" spans="1:33" x14ac:dyDescent="0.3">
      <c r="A235" s="77" t="s">
        <v>756</v>
      </c>
      <c r="B235" s="77" t="s">
        <v>757</v>
      </c>
      <c r="G235" s="77" t="s">
        <v>186</v>
      </c>
      <c r="H235" s="77" t="s">
        <v>77</v>
      </c>
      <c r="I235" s="77" t="s">
        <v>78</v>
      </c>
      <c r="J235" s="77" t="s">
        <v>79</v>
      </c>
      <c r="K235" s="77" t="s">
        <v>80</v>
      </c>
      <c r="L235" s="77" t="s">
        <v>230</v>
      </c>
      <c r="M235" s="77" t="s">
        <v>82</v>
      </c>
      <c r="N235" s="77" t="s">
        <v>83</v>
      </c>
      <c r="Q235" s="77" t="s">
        <v>188</v>
      </c>
      <c r="T235" s="77" t="s">
        <v>112</v>
      </c>
      <c r="U235" s="77" t="s">
        <v>85</v>
      </c>
      <c r="V235" s="80" t="s">
        <v>231</v>
      </c>
      <c r="X235" s="77" t="s">
        <v>232</v>
      </c>
      <c r="Y235" s="78" t="s">
        <v>88</v>
      </c>
      <c r="AA235" s="77" t="s">
        <v>191</v>
      </c>
      <c r="AB235" s="77" t="s">
        <v>78</v>
      </c>
      <c r="AC235" s="77" t="s">
        <v>90</v>
      </c>
      <c r="AD235" s="77" t="s">
        <v>91</v>
      </c>
      <c r="AE235" s="77" t="s">
        <v>192</v>
      </c>
      <c r="AG235" s="77" t="s">
        <v>112</v>
      </c>
    </row>
    <row r="236" spans="1:33" x14ac:dyDescent="0.3">
      <c r="A236" s="77" t="s">
        <v>758</v>
      </c>
      <c r="B236" s="77" t="s">
        <v>759</v>
      </c>
      <c r="G236" s="77" t="s">
        <v>186</v>
      </c>
      <c r="H236" s="77" t="s">
        <v>77</v>
      </c>
      <c r="I236" s="77" t="s">
        <v>78</v>
      </c>
      <c r="J236" s="77" t="s">
        <v>79</v>
      </c>
      <c r="K236" s="77" t="s">
        <v>80</v>
      </c>
      <c r="L236" s="77" t="s">
        <v>230</v>
      </c>
      <c r="M236" s="77" t="s">
        <v>82</v>
      </c>
      <c r="N236" s="77" t="s">
        <v>83</v>
      </c>
      <c r="Q236" s="77" t="s">
        <v>188</v>
      </c>
      <c r="T236" s="77" t="s">
        <v>112</v>
      </c>
      <c r="U236" s="77" t="s">
        <v>85</v>
      </c>
      <c r="V236" s="80" t="s">
        <v>231</v>
      </c>
      <c r="X236" s="77" t="s">
        <v>232</v>
      </c>
      <c r="Y236" s="78" t="s">
        <v>88</v>
      </c>
      <c r="AA236" s="77" t="s">
        <v>191</v>
      </c>
      <c r="AB236" s="77" t="s">
        <v>78</v>
      </c>
      <c r="AC236" s="77" t="s">
        <v>90</v>
      </c>
      <c r="AD236" s="77" t="s">
        <v>91</v>
      </c>
      <c r="AE236" s="77" t="s">
        <v>192</v>
      </c>
      <c r="AG236" s="77" t="s">
        <v>112</v>
      </c>
    </row>
    <row r="237" spans="1:33" x14ac:dyDescent="0.3">
      <c r="A237" s="77" t="s">
        <v>760</v>
      </c>
      <c r="B237" s="77" t="s">
        <v>761</v>
      </c>
      <c r="G237" s="77" t="s">
        <v>186</v>
      </c>
      <c r="H237" s="77" t="s">
        <v>77</v>
      </c>
      <c r="I237" s="77" t="s">
        <v>78</v>
      </c>
      <c r="J237" s="77" t="s">
        <v>79</v>
      </c>
      <c r="K237" s="77" t="s">
        <v>80</v>
      </c>
      <c r="L237" s="77" t="s">
        <v>230</v>
      </c>
      <c r="M237" s="77" t="s">
        <v>82</v>
      </c>
      <c r="N237" s="77" t="s">
        <v>83</v>
      </c>
      <c r="Q237" s="77" t="s">
        <v>188</v>
      </c>
      <c r="T237" s="77" t="s">
        <v>112</v>
      </c>
      <c r="U237" s="77" t="s">
        <v>85</v>
      </c>
      <c r="V237" s="80" t="s">
        <v>231</v>
      </c>
      <c r="X237" s="77" t="s">
        <v>232</v>
      </c>
      <c r="Y237" s="78" t="s">
        <v>88</v>
      </c>
      <c r="AA237" s="77" t="s">
        <v>191</v>
      </c>
      <c r="AB237" s="77" t="s">
        <v>78</v>
      </c>
      <c r="AC237" s="77" t="s">
        <v>90</v>
      </c>
      <c r="AD237" s="77" t="s">
        <v>91</v>
      </c>
      <c r="AE237" s="77" t="s">
        <v>192</v>
      </c>
      <c r="AG237" s="77" t="s">
        <v>112</v>
      </c>
    </row>
    <row r="238" spans="1:33" x14ac:dyDescent="0.3">
      <c r="A238" s="77" t="s">
        <v>762</v>
      </c>
      <c r="B238" s="77" t="s">
        <v>763</v>
      </c>
      <c r="G238" s="77" t="s">
        <v>186</v>
      </c>
      <c r="H238" s="77" t="s">
        <v>77</v>
      </c>
      <c r="I238" s="77" t="s">
        <v>78</v>
      </c>
      <c r="J238" s="77" t="s">
        <v>79</v>
      </c>
      <c r="K238" s="77" t="s">
        <v>80</v>
      </c>
      <c r="L238" s="77" t="s">
        <v>230</v>
      </c>
      <c r="M238" s="77" t="s">
        <v>82</v>
      </c>
      <c r="N238" s="77" t="s">
        <v>83</v>
      </c>
      <c r="Q238" s="77" t="s">
        <v>188</v>
      </c>
      <c r="T238" s="77" t="s">
        <v>112</v>
      </c>
      <c r="U238" s="77" t="s">
        <v>85</v>
      </c>
      <c r="V238" s="80" t="s">
        <v>231</v>
      </c>
      <c r="X238" s="77" t="s">
        <v>232</v>
      </c>
      <c r="Y238" s="78" t="s">
        <v>88</v>
      </c>
      <c r="AA238" s="77" t="s">
        <v>191</v>
      </c>
      <c r="AB238" s="77" t="s">
        <v>78</v>
      </c>
      <c r="AC238" s="77" t="s">
        <v>90</v>
      </c>
      <c r="AD238" s="77" t="s">
        <v>91</v>
      </c>
      <c r="AE238" s="77" t="s">
        <v>192</v>
      </c>
      <c r="AG238" s="77" t="s">
        <v>112</v>
      </c>
    </row>
    <row r="239" spans="1:33" x14ac:dyDescent="0.3">
      <c r="A239" s="77" t="s">
        <v>764</v>
      </c>
      <c r="B239" s="77" t="s">
        <v>765</v>
      </c>
      <c r="G239" s="77" t="s">
        <v>186</v>
      </c>
      <c r="H239" s="77" t="s">
        <v>77</v>
      </c>
      <c r="I239" s="77" t="s">
        <v>78</v>
      </c>
      <c r="J239" s="77" t="s">
        <v>79</v>
      </c>
      <c r="K239" s="77" t="s">
        <v>80</v>
      </c>
      <c r="L239" s="77" t="s">
        <v>230</v>
      </c>
      <c r="M239" s="77" t="s">
        <v>82</v>
      </c>
      <c r="N239" s="77" t="s">
        <v>83</v>
      </c>
      <c r="Q239" s="77" t="s">
        <v>188</v>
      </c>
      <c r="T239" s="77" t="s">
        <v>112</v>
      </c>
      <c r="U239" s="77" t="s">
        <v>85</v>
      </c>
      <c r="V239" s="80" t="s">
        <v>231</v>
      </c>
      <c r="X239" s="77" t="s">
        <v>232</v>
      </c>
      <c r="Y239" s="78" t="s">
        <v>88</v>
      </c>
      <c r="AA239" s="77" t="s">
        <v>191</v>
      </c>
      <c r="AB239" s="77" t="s">
        <v>78</v>
      </c>
      <c r="AC239" s="77" t="s">
        <v>90</v>
      </c>
      <c r="AD239" s="77" t="s">
        <v>91</v>
      </c>
      <c r="AE239" s="77" t="s">
        <v>192</v>
      </c>
      <c r="AG239" s="77" t="s">
        <v>112</v>
      </c>
    </row>
    <row r="240" spans="1:33" x14ac:dyDescent="0.3">
      <c r="A240" s="77" t="s">
        <v>766</v>
      </c>
      <c r="B240" s="77" t="s">
        <v>767</v>
      </c>
      <c r="G240" s="77" t="s">
        <v>186</v>
      </c>
      <c r="H240" s="77" t="s">
        <v>77</v>
      </c>
      <c r="I240" s="77" t="s">
        <v>78</v>
      </c>
      <c r="J240" s="77" t="s">
        <v>79</v>
      </c>
      <c r="K240" s="77" t="s">
        <v>80</v>
      </c>
      <c r="L240" s="77" t="s">
        <v>230</v>
      </c>
      <c r="M240" s="77" t="s">
        <v>82</v>
      </c>
      <c r="N240" s="77" t="s">
        <v>83</v>
      </c>
      <c r="Q240" s="77" t="s">
        <v>188</v>
      </c>
      <c r="T240" s="77" t="s">
        <v>112</v>
      </c>
      <c r="U240" s="77" t="s">
        <v>85</v>
      </c>
      <c r="V240" s="80" t="s">
        <v>231</v>
      </c>
      <c r="X240" s="77" t="s">
        <v>232</v>
      </c>
      <c r="Y240" s="78" t="s">
        <v>88</v>
      </c>
      <c r="AA240" s="77" t="s">
        <v>191</v>
      </c>
      <c r="AB240" s="77" t="s">
        <v>78</v>
      </c>
      <c r="AC240" s="77" t="s">
        <v>90</v>
      </c>
      <c r="AD240" s="77" t="s">
        <v>91</v>
      </c>
      <c r="AE240" s="77" t="s">
        <v>192</v>
      </c>
      <c r="AG240" s="77" t="s">
        <v>112</v>
      </c>
    </row>
    <row r="241" spans="1:33" x14ac:dyDescent="0.3">
      <c r="A241" s="77" t="s">
        <v>768</v>
      </c>
      <c r="B241" s="77" t="s">
        <v>769</v>
      </c>
      <c r="G241" s="77" t="s">
        <v>186</v>
      </c>
      <c r="H241" s="77" t="s">
        <v>77</v>
      </c>
      <c r="I241" s="77" t="s">
        <v>78</v>
      </c>
      <c r="J241" s="77" t="s">
        <v>79</v>
      </c>
      <c r="K241" s="77" t="s">
        <v>80</v>
      </c>
      <c r="L241" s="77" t="s">
        <v>230</v>
      </c>
      <c r="M241" s="77" t="s">
        <v>82</v>
      </c>
      <c r="N241" s="77" t="s">
        <v>83</v>
      </c>
      <c r="Q241" s="77" t="s">
        <v>188</v>
      </c>
      <c r="T241" s="77" t="s">
        <v>112</v>
      </c>
      <c r="U241" s="77" t="s">
        <v>85</v>
      </c>
      <c r="V241" s="80" t="s">
        <v>231</v>
      </c>
      <c r="X241" s="77" t="s">
        <v>232</v>
      </c>
      <c r="Y241" s="78" t="s">
        <v>88</v>
      </c>
      <c r="AA241" s="77" t="s">
        <v>191</v>
      </c>
      <c r="AB241" s="77" t="s">
        <v>78</v>
      </c>
      <c r="AC241" s="77" t="s">
        <v>90</v>
      </c>
      <c r="AD241" s="77" t="s">
        <v>91</v>
      </c>
      <c r="AE241" s="77" t="s">
        <v>192</v>
      </c>
      <c r="AG241" s="77" t="s">
        <v>112</v>
      </c>
    </row>
    <row r="242" spans="1:33" x14ac:dyDescent="0.3">
      <c r="A242" s="77" t="s">
        <v>770</v>
      </c>
      <c r="B242" s="77" t="s">
        <v>771</v>
      </c>
      <c r="G242" s="77" t="s">
        <v>186</v>
      </c>
      <c r="H242" s="77" t="s">
        <v>77</v>
      </c>
      <c r="I242" s="77" t="s">
        <v>78</v>
      </c>
      <c r="J242" s="77" t="s">
        <v>79</v>
      </c>
      <c r="K242" s="77" t="s">
        <v>80</v>
      </c>
      <c r="L242" s="77" t="s">
        <v>772</v>
      </c>
      <c r="M242" s="77" t="s">
        <v>82</v>
      </c>
      <c r="N242" s="77" t="s">
        <v>83</v>
      </c>
      <c r="Q242" s="77" t="s">
        <v>188</v>
      </c>
      <c r="T242" s="77" t="s">
        <v>112</v>
      </c>
      <c r="U242" s="77" t="s">
        <v>85</v>
      </c>
      <c r="V242" s="80" t="s">
        <v>365</v>
      </c>
      <c r="X242" s="77" t="s">
        <v>366</v>
      </c>
      <c r="Y242" s="78" t="s">
        <v>88</v>
      </c>
      <c r="AA242" s="77" t="s">
        <v>191</v>
      </c>
      <c r="AB242" s="77" t="s">
        <v>78</v>
      </c>
      <c r="AC242" s="77" t="s">
        <v>90</v>
      </c>
      <c r="AD242" s="77" t="s">
        <v>91</v>
      </c>
      <c r="AE242" s="77" t="s">
        <v>192</v>
      </c>
      <c r="AG242" s="77" t="s">
        <v>112</v>
      </c>
    </row>
    <row r="243" spans="1:33" x14ac:dyDescent="0.3">
      <c r="A243" s="77" t="s">
        <v>773</v>
      </c>
      <c r="B243" s="77" t="s">
        <v>774</v>
      </c>
      <c r="G243" s="77" t="s">
        <v>186</v>
      </c>
      <c r="H243" s="77" t="s">
        <v>77</v>
      </c>
      <c r="I243" s="77" t="s">
        <v>78</v>
      </c>
      <c r="J243" s="77" t="s">
        <v>79</v>
      </c>
      <c r="K243" s="77" t="s">
        <v>80</v>
      </c>
      <c r="L243" s="77" t="s">
        <v>775</v>
      </c>
      <c r="M243" s="77" t="s">
        <v>82</v>
      </c>
      <c r="N243" s="77" t="s">
        <v>83</v>
      </c>
      <c r="Q243" s="77" t="s">
        <v>188</v>
      </c>
      <c r="T243" s="77" t="s">
        <v>112</v>
      </c>
      <c r="U243" s="77" t="s">
        <v>85</v>
      </c>
      <c r="V243" s="80" t="s">
        <v>370</v>
      </c>
      <c r="X243" s="77" t="s">
        <v>371</v>
      </c>
      <c r="Y243" s="78" t="s">
        <v>88</v>
      </c>
      <c r="AA243" s="77" t="s">
        <v>191</v>
      </c>
      <c r="AB243" s="77" t="s">
        <v>78</v>
      </c>
      <c r="AC243" s="77" t="s">
        <v>90</v>
      </c>
      <c r="AD243" s="77" t="s">
        <v>91</v>
      </c>
      <c r="AE243" s="77" t="s">
        <v>192</v>
      </c>
      <c r="AG243" s="77" t="s">
        <v>112</v>
      </c>
    </row>
    <row r="244" spans="1:33" x14ac:dyDescent="0.3">
      <c r="A244" s="77" t="s">
        <v>776</v>
      </c>
      <c r="B244" s="77" t="s">
        <v>777</v>
      </c>
      <c r="G244" s="77" t="s">
        <v>186</v>
      </c>
      <c r="H244" s="77" t="s">
        <v>77</v>
      </c>
      <c r="I244" s="77" t="s">
        <v>78</v>
      </c>
      <c r="J244" s="77" t="s">
        <v>79</v>
      </c>
      <c r="K244" s="77" t="s">
        <v>80</v>
      </c>
      <c r="L244" s="77" t="s">
        <v>778</v>
      </c>
      <c r="M244" s="77" t="s">
        <v>82</v>
      </c>
      <c r="N244" s="77" t="s">
        <v>83</v>
      </c>
      <c r="Q244" s="77" t="s">
        <v>188</v>
      </c>
      <c r="T244" s="77" t="s">
        <v>112</v>
      </c>
      <c r="U244" s="77" t="s">
        <v>85</v>
      </c>
      <c r="V244" s="80" t="s">
        <v>375</v>
      </c>
      <c r="X244" s="77" t="s">
        <v>376</v>
      </c>
      <c r="Y244" s="78" t="s">
        <v>101</v>
      </c>
      <c r="AA244" s="77" t="s">
        <v>191</v>
      </c>
      <c r="AB244" s="77" t="s">
        <v>78</v>
      </c>
      <c r="AC244" s="77" t="s">
        <v>90</v>
      </c>
      <c r="AD244" s="77" t="s">
        <v>102</v>
      </c>
      <c r="AE244" s="77" t="s">
        <v>192</v>
      </c>
      <c r="AG244" s="77" t="s">
        <v>112</v>
      </c>
    </row>
    <row r="245" spans="1:33" x14ac:dyDescent="0.3">
      <c r="A245" s="77" t="s">
        <v>779</v>
      </c>
      <c r="B245" s="77" t="s">
        <v>780</v>
      </c>
      <c r="G245" s="77" t="s">
        <v>186</v>
      </c>
      <c r="H245" s="77" t="s">
        <v>77</v>
      </c>
      <c r="I245" s="77" t="s">
        <v>78</v>
      </c>
      <c r="J245" s="77" t="s">
        <v>79</v>
      </c>
      <c r="K245" s="77" t="s">
        <v>80</v>
      </c>
      <c r="L245" s="77" t="s">
        <v>781</v>
      </c>
      <c r="M245" s="77" t="s">
        <v>82</v>
      </c>
      <c r="N245" s="77" t="s">
        <v>83</v>
      </c>
      <c r="Q245" s="77" t="s">
        <v>188</v>
      </c>
      <c r="T245" s="77" t="s">
        <v>112</v>
      </c>
      <c r="U245" s="77" t="s">
        <v>85</v>
      </c>
      <c r="V245" s="80" t="s">
        <v>380</v>
      </c>
      <c r="X245" s="77" t="s">
        <v>381</v>
      </c>
      <c r="Y245" s="78" t="s">
        <v>101</v>
      </c>
      <c r="AA245" s="77" t="s">
        <v>191</v>
      </c>
      <c r="AB245" s="77" t="s">
        <v>78</v>
      </c>
      <c r="AC245" s="77" t="s">
        <v>90</v>
      </c>
      <c r="AD245" s="77" t="s">
        <v>102</v>
      </c>
      <c r="AE245" s="77" t="s">
        <v>192</v>
      </c>
      <c r="AG245" s="77" t="s">
        <v>112</v>
      </c>
    </row>
    <row r="246" spans="1:33" x14ac:dyDescent="0.3">
      <c r="A246" s="77" t="s">
        <v>782</v>
      </c>
      <c r="B246" s="77" t="s">
        <v>783</v>
      </c>
      <c r="G246" s="77" t="s">
        <v>186</v>
      </c>
      <c r="H246" s="77" t="s">
        <v>77</v>
      </c>
      <c r="I246" s="77" t="s">
        <v>78</v>
      </c>
      <c r="J246" s="77" t="s">
        <v>79</v>
      </c>
      <c r="K246" s="77" t="s">
        <v>80</v>
      </c>
      <c r="L246" s="77" t="s">
        <v>187</v>
      </c>
      <c r="M246" s="77" t="s">
        <v>82</v>
      </c>
      <c r="N246" s="77" t="s">
        <v>83</v>
      </c>
      <c r="Q246" s="77" t="s">
        <v>188</v>
      </c>
      <c r="T246" s="77" t="s">
        <v>112</v>
      </c>
      <c r="U246" s="77" t="s">
        <v>85</v>
      </c>
      <c r="V246" s="80" t="s">
        <v>189</v>
      </c>
      <c r="X246" s="77" t="s">
        <v>190</v>
      </c>
      <c r="Y246" s="78" t="s">
        <v>88</v>
      </c>
      <c r="AA246" s="77" t="s">
        <v>191</v>
      </c>
      <c r="AB246" s="77" t="s">
        <v>78</v>
      </c>
      <c r="AC246" s="77" t="s">
        <v>90</v>
      </c>
      <c r="AD246" s="77" t="s">
        <v>91</v>
      </c>
      <c r="AE246" s="77" t="s">
        <v>192</v>
      </c>
      <c r="AG246" s="77" t="s">
        <v>112</v>
      </c>
    </row>
    <row r="247" spans="1:33" x14ac:dyDescent="0.3">
      <c r="A247" s="77" t="s">
        <v>784</v>
      </c>
      <c r="B247" s="77" t="s">
        <v>785</v>
      </c>
      <c r="G247" s="77" t="s">
        <v>186</v>
      </c>
      <c r="H247" s="77" t="s">
        <v>77</v>
      </c>
      <c r="I247" s="77" t="s">
        <v>78</v>
      </c>
      <c r="J247" s="77" t="s">
        <v>79</v>
      </c>
      <c r="K247" s="77" t="s">
        <v>80</v>
      </c>
      <c r="L247" s="77" t="s">
        <v>786</v>
      </c>
      <c r="M247" s="77" t="s">
        <v>82</v>
      </c>
      <c r="N247" s="77" t="s">
        <v>83</v>
      </c>
      <c r="Q247" s="77" t="s">
        <v>188</v>
      </c>
      <c r="T247" s="77" t="s">
        <v>112</v>
      </c>
      <c r="U247" s="77" t="s">
        <v>85</v>
      </c>
      <c r="V247" s="80" t="s">
        <v>189</v>
      </c>
      <c r="X247" s="77" t="s">
        <v>190</v>
      </c>
      <c r="Y247" s="78" t="s">
        <v>88</v>
      </c>
      <c r="AA247" s="77" t="s">
        <v>191</v>
      </c>
      <c r="AB247" s="77" t="s">
        <v>78</v>
      </c>
      <c r="AC247" s="77" t="s">
        <v>90</v>
      </c>
      <c r="AD247" s="77" t="s">
        <v>91</v>
      </c>
      <c r="AE247" s="77" t="s">
        <v>192</v>
      </c>
      <c r="AG247" s="77" t="s">
        <v>112</v>
      </c>
    </row>
    <row r="248" spans="1:33" x14ac:dyDescent="0.3">
      <c r="A248" s="77" t="s">
        <v>787</v>
      </c>
      <c r="B248" s="77" t="s">
        <v>788</v>
      </c>
      <c r="G248" s="77" t="s">
        <v>186</v>
      </c>
      <c r="H248" s="77" t="s">
        <v>77</v>
      </c>
      <c r="I248" s="77" t="s">
        <v>78</v>
      </c>
      <c r="J248" s="77" t="s">
        <v>79</v>
      </c>
      <c r="K248" s="77" t="s">
        <v>80</v>
      </c>
      <c r="L248" s="77" t="s">
        <v>789</v>
      </c>
      <c r="M248" s="77" t="s">
        <v>82</v>
      </c>
      <c r="N248" s="77" t="s">
        <v>83</v>
      </c>
      <c r="Q248" s="77" t="s">
        <v>188</v>
      </c>
      <c r="T248" s="77" t="s">
        <v>112</v>
      </c>
      <c r="U248" s="77" t="s">
        <v>85</v>
      </c>
      <c r="V248" s="80" t="s">
        <v>189</v>
      </c>
      <c r="X248" s="77" t="s">
        <v>190</v>
      </c>
      <c r="Y248" s="78" t="s">
        <v>88</v>
      </c>
      <c r="AA248" s="77" t="s">
        <v>191</v>
      </c>
      <c r="AB248" s="77" t="s">
        <v>78</v>
      </c>
      <c r="AC248" s="77" t="s">
        <v>90</v>
      </c>
      <c r="AD248" s="77" t="s">
        <v>91</v>
      </c>
      <c r="AE248" s="77" t="s">
        <v>192</v>
      </c>
      <c r="AG248" s="77" t="s">
        <v>112</v>
      </c>
    </row>
    <row r="249" spans="1:33" x14ac:dyDescent="0.3">
      <c r="A249" s="77" t="s">
        <v>790</v>
      </c>
      <c r="B249" s="77" t="s">
        <v>791</v>
      </c>
      <c r="G249" s="77" t="s">
        <v>186</v>
      </c>
      <c r="H249" s="77" t="s">
        <v>77</v>
      </c>
      <c r="I249" s="77" t="s">
        <v>78</v>
      </c>
      <c r="J249" s="77" t="s">
        <v>79</v>
      </c>
      <c r="K249" s="77" t="s">
        <v>80</v>
      </c>
      <c r="L249" s="77" t="s">
        <v>195</v>
      </c>
      <c r="M249" s="77" t="s">
        <v>82</v>
      </c>
      <c r="N249" s="77" t="s">
        <v>83</v>
      </c>
      <c r="Q249" s="77" t="s">
        <v>188</v>
      </c>
      <c r="T249" s="77" t="s">
        <v>112</v>
      </c>
      <c r="U249" s="77" t="s">
        <v>85</v>
      </c>
      <c r="V249" s="80" t="s">
        <v>196</v>
      </c>
      <c r="X249" s="77" t="s">
        <v>197</v>
      </c>
      <c r="Y249" s="78" t="s">
        <v>88</v>
      </c>
      <c r="AA249" s="77" t="s">
        <v>191</v>
      </c>
      <c r="AB249" s="77" t="s">
        <v>78</v>
      </c>
      <c r="AC249" s="77" t="s">
        <v>90</v>
      </c>
      <c r="AD249" s="77" t="s">
        <v>91</v>
      </c>
      <c r="AE249" s="77" t="s">
        <v>192</v>
      </c>
      <c r="AG249" s="77" t="s">
        <v>112</v>
      </c>
    </row>
    <row r="250" spans="1:33" x14ac:dyDescent="0.3">
      <c r="A250" s="77" t="s">
        <v>792</v>
      </c>
      <c r="B250" s="77" t="s">
        <v>793</v>
      </c>
      <c r="G250" s="77" t="s">
        <v>186</v>
      </c>
      <c r="H250" s="77" t="s">
        <v>77</v>
      </c>
      <c r="I250" s="77" t="s">
        <v>78</v>
      </c>
      <c r="J250" s="77" t="s">
        <v>79</v>
      </c>
      <c r="K250" s="77" t="s">
        <v>80</v>
      </c>
      <c r="L250" s="77" t="s">
        <v>794</v>
      </c>
      <c r="M250" s="77" t="s">
        <v>82</v>
      </c>
      <c r="N250" s="77" t="s">
        <v>83</v>
      </c>
      <c r="Q250" s="77" t="s">
        <v>188</v>
      </c>
      <c r="T250" s="77" t="s">
        <v>112</v>
      </c>
      <c r="U250" s="77" t="s">
        <v>85</v>
      </c>
      <c r="V250" s="80" t="s">
        <v>196</v>
      </c>
      <c r="X250" s="77" t="s">
        <v>197</v>
      </c>
      <c r="Y250" s="78" t="s">
        <v>88</v>
      </c>
      <c r="AA250" s="77" t="s">
        <v>191</v>
      </c>
      <c r="AB250" s="77" t="s">
        <v>78</v>
      </c>
      <c r="AC250" s="77" t="s">
        <v>90</v>
      </c>
      <c r="AD250" s="77" t="s">
        <v>91</v>
      </c>
      <c r="AE250" s="77" t="s">
        <v>192</v>
      </c>
      <c r="AG250" s="77" t="s">
        <v>112</v>
      </c>
    </row>
    <row r="251" spans="1:33" x14ac:dyDescent="0.3">
      <c r="A251" s="77" t="s">
        <v>795</v>
      </c>
      <c r="B251" s="77" t="s">
        <v>796</v>
      </c>
      <c r="G251" s="77" t="s">
        <v>186</v>
      </c>
      <c r="H251" s="77" t="s">
        <v>77</v>
      </c>
      <c r="I251" s="77" t="s">
        <v>78</v>
      </c>
      <c r="J251" s="77" t="s">
        <v>79</v>
      </c>
      <c r="K251" s="77" t="s">
        <v>80</v>
      </c>
      <c r="L251" s="77" t="s">
        <v>797</v>
      </c>
      <c r="M251" s="77" t="s">
        <v>82</v>
      </c>
      <c r="N251" s="77" t="s">
        <v>83</v>
      </c>
      <c r="Q251" s="77" t="s">
        <v>188</v>
      </c>
      <c r="T251" s="77" t="s">
        <v>112</v>
      </c>
      <c r="U251" s="77" t="s">
        <v>85</v>
      </c>
      <c r="V251" s="80" t="s">
        <v>196</v>
      </c>
      <c r="X251" s="77" t="s">
        <v>197</v>
      </c>
      <c r="Y251" s="78" t="s">
        <v>88</v>
      </c>
      <c r="AA251" s="77" t="s">
        <v>191</v>
      </c>
      <c r="AB251" s="77" t="s">
        <v>78</v>
      </c>
      <c r="AC251" s="77" t="s">
        <v>90</v>
      </c>
      <c r="AD251" s="77" t="s">
        <v>91</v>
      </c>
      <c r="AE251" s="77" t="s">
        <v>192</v>
      </c>
      <c r="AG251" s="77" t="s">
        <v>112</v>
      </c>
    </row>
    <row r="252" spans="1:33" x14ac:dyDescent="0.3">
      <c r="A252" s="77" t="s">
        <v>798</v>
      </c>
      <c r="B252" s="77" t="s">
        <v>799</v>
      </c>
      <c r="G252" s="77" t="s">
        <v>186</v>
      </c>
      <c r="H252" s="77" t="s">
        <v>77</v>
      </c>
      <c r="I252" s="77" t="s">
        <v>78</v>
      </c>
      <c r="J252" s="77" t="s">
        <v>79</v>
      </c>
      <c r="K252" s="77" t="s">
        <v>80</v>
      </c>
      <c r="L252" s="77" t="s">
        <v>200</v>
      </c>
      <c r="M252" s="77" t="s">
        <v>82</v>
      </c>
      <c r="N252" s="77" t="s">
        <v>83</v>
      </c>
      <c r="Q252" s="77" t="s">
        <v>188</v>
      </c>
      <c r="T252" s="77" t="s">
        <v>112</v>
      </c>
      <c r="U252" s="77" t="s">
        <v>85</v>
      </c>
      <c r="V252" s="80" t="s">
        <v>201</v>
      </c>
      <c r="X252" s="77" t="s">
        <v>202</v>
      </c>
      <c r="Y252" s="78" t="s">
        <v>101</v>
      </c>
      <c r="AA252" s="77" t="s">
        <v>191</v>
      </c>
      <c r="AB252" s="77" t="s">
        <v>78</v>
      </c>
      <c r="AC252" s="77" t="s">
        <v>90</v>
      </c>
      <c r="AD252" s="77" t="s">
        <v>102</v>
      </c>
      <c r="AE252" s="77" t="s">
        <v>192</v>
      </c>
      <c r="AG252" s="77" t="s">
        <v>112</v>
      </c>
    </row>
    <row r="253" spans="1:33" x14ac:dyDescent="0.3">
      <c r="A253" s="77" t="s">
        <v>800</v>
      </c>
      <c r="B253" s="77" t="s">
        <v>801</v>
      </c>
      <c r="G253" s="77" t="s">
        <v>186</v>
      </c>
      <c r="H253" s="77" t="s">
        <v>77</v>
      </c>
      <c r="I253" s="77" t="s">
        <v>78</v>
      </c>
      <c r="J253" s="77" t="s">
        <v>79</v>
      </c>
      <c r="K253" s="77" t="s">
        <v>80</v>
      </c>
      <c r="L253" s="77" t="s">
        <v>802</v>
      </c>
      <c r="M253" s="77" t="s">
        <v>82</v>
      </c>
      <c r="N253" s="77" t="s">
        <v>83</v>
      </c>
      <c r="Q253" s="77" t="s">
        <v>188</v>
      </c>
      <c r="T253" s="77" t="s">
        <v>112</v>
      </c>
      <c r="U253" s="77" t="s">
        <v>85</v>
      </c>
      <c r="V253" s="80" t="s">
        <v>201</v>
      </c>
      <c r="X253" s="77" t="s">
        <v>202</v>
      </c>
      <c r="Y253" s="78" t="s">
        <v>101</v>
      </c>
      <c r="AA253" s="77" t="s">
        <v>191</v>
      </c>
      <c r="AB253" s="77" t="s">
        <v>78</v>
      </c>
      <c r="AC253" s="77" t="s">
        <v>90</v>
      </c>
      <c r="AD253" s="77" t="s">
        <v>102</v>
      </c>
      <c r="AE253" s="77" t="s">
        <v>192</v>
      </c>
      <c r="AG253" s="77" t="s">
        <v>112</v>
      </c>
    </row>
    <row r="254" spans="1:33" x14ac:dyDescent="0.3">
      <c r="A254" s="77" t="s">
        <v>803</v>
      </c>
      <c r="B254" s="77" t="s">
        <v>804</v>
      </c>
      <c r="G254" s="77" t="s">
        <v>186</v>
      </c>
      <c r="H254" s="77" t="s">
        <v>77</v>
      </c>
      <c r="I254" s="77" t="s">
        <v>78</v>
      </c>
      <c r="J254" s="77" t="s">
        <v>79</v>
      </c>
      <c r="K254" s="77" t="s">
        <v>80</v>
      </c>
      <c r="L254" s="77" t="s">
        <v>805</v>
      </c>
      <c r="M254" s="77" t="s">
        <v>82</v>
      </c>
      <c r="N254" s="77" t="s">
        <v>83</v>
      </c>
      <c r="Q254" s="77" t="s">
        <v>188</v>
      </c>
      <c r="T254" s="77" t="s">
        <v>112</v>
      </c>
      <c r="U254" s="77" t="s">
        <v>85</v>
      </c>
      <c r="V254" s="80" t="s">
        <v>201</v>
      </c>
      <c r="X254" s="77" t="s">
        <v>202</v>
      </c>
      <c r="Y254" s="78" t="s">
        <v>101</v>
      </c>
      <c r="AA254" s="77" t="s">
        <v>191</v>
      </c>
      <c r="AB254" s="77" t="s">
        <v>78</v>
      </c>
      <c r="AC254" s="77" t="s">
        <v>90</v>
      </c>
      <c r="AD254" s="77" t="s">
        <v>102</v>
      </c>
      <c r="AE254" s="77" t="s">
        <v>192</v>
      </c>
      <c r="AG254" s="77" t="s">
        <v>112</v>
      </c>
    </row>
    <row r="255" spans="1:33" x14ac:dyDescent="0.3">
      <c r="A255" s="77" t="s">
        <v>806</v>
      </c>
      <c r="B255" s="77" t="s">
        <v>807</v>
      </c>
      <c r="G255" s="77" t="s">
        <v>186</v>
      </c>
      <c r="H255" s="77" t="s">
        <v>77</v>
      </c>
      <c r="I255" s="77" t="s">
        <v>78</v>
      </c>
      <c r="J255" s="77" t="s">
        <v>79</v>
      </c>
      <c r="K255" s="77" t="s">
        <v>80</v>
      </c>
      <c r="L255" s="77" t="s">
        <v>205</v>
      </c>
      <c r="M255" s="77" t="s">
        <v>82</v>
      </c>
      <c r="N255" s="77" t="s">
        <v>83</v>
      </c>
      <c r="Q255" s="77" t="s">
        <v>188</v>
      </c>
      <c r="T255" s="77" t="s">
        <v>112</v>
      </c>
      <c r="U255" s="77" t="s">
        <v>85</v>
      </c>
      <c r="V255" s="80" t="s">
        <v>206</v>
      </c>
      <c r="X255" s="77" t="s">
        <v>207</v>
      </c>
      <c r="Y255" s="78" t="s">
        <v>101</v>
      </c>
      <c r="AA255" s="77" t="s">
        <v>191</v>
      </c>
      <c r="AB255" s="77" t="s">
        <v>78</v>
      </c>
      <c r="AC255" s="77" t="s">
        <v>90</v>
      </c>
      <c r="AD255" s="77" t="s">
        <v>102</v>
      </c>
      <c r="AE255" s="77" t="s">
        <v>192</v>
      </c>
      <c r="AG255" s="77" t="s">
        <v>112</v>
      </c>
    </row>
    <row r="256" spans="1:33" x14ac:dyDescent="0.3">
      <c r="A256" s="77" t="s">
        <v>808</v>
      </c>
      <c r="B256" s="77" t="s">
        <v>809</v>
      </c>
      <c r="G256" s="77" t="s">
        <v>186</v>
      </c>
      <c r="H256" s="77" t="s">
        <v>77</v>
      </c>
      <c r="I256" s="77" t="s">
        <v>78</v>
      </c>
      <c r="J256" s="77" t="s">
        <v>79</v>
      </c>
      <c r="K256" s="77" t="s">
        <v>80</v>
      </c>
      <c r="L256" s="77" t="s">
        <v>810</v>
      </c>
      <c r="M256" s="77" t="s">
        <v>82</v>
      </c>
      <c r="N256" s="77" t="s">
        <v>83</v>
      </c>
      <c r="Q256" s="77" t="s">
        <v>188</v>
      </c>
      <c r="T256" s="77" t="s">
        <v>112</v>
      </c>
      <c r="U256" s="77" t="s">
        <v>85</v>
      </c>
      <c r="V256" s="80" t="s">
        <v>206</v>
      </c>
      <c r="X256" s="77" t="s">
        <v>207</v>
      </c>
      <c r="Y256" s="78" t="s">
        <v>101</v>
      </c>
      <c r="AA256" s="77" t="s">
        <v>191</v>
      </c>
      <c r="AB256" s="77" t="s">
        <v>78</v>
      </c>
      <c r="AC256" s="77" t="s">
        <v>90</v>
      </c>
      <c r="AD256" s="77" t="s">
        <v>102</v>
      </c>
      <c r="AE256" s="77" t="s">
        <v>192</v>
      </c>
      <c r="AG256" s="77" t="s">
        <v>112</v>
      </c>
    </row>
    <row r="257" spans="1:33" x14ac:dyDescent="0.3">
      <c r="A257" s="77" t="s">
        <v>811</v>
      </c>
      <c r="B257" s="77" t="s">
        <v>812</v>
      </c>
      <c r="G257" s="77" t="s">
        <v>186</v>
      </c>
      <c r="H257" s="77" t="s">
        <v>77</v>
      </c>
      <c r="I257" s="77" t="s">
        <v>78</v>
      </c>
      <c r="J257" s="77" t="s">
        <v>79</v>
      </c>
      <c r="K257" s="77" t="s">
        <v>80</v>
      </c>
      <c r="L257" s="77" t="s">
        <v>813</v>
      </c>
      <c r="M257" s="77" t="s">
        <v>82</v>
      </c>
      <c r="N257" s="77" t="s">
        <v>83</v>
      </c>
      <c r="Q257" s="77" t="s">
        <v>188</v>
      </c>
      <c r="T257" s="77" t="s">
        <v>112</v>
      </c>
      <c r="U257" s="77" t="s">
        <v>85</v>
      </c>
      <c r="V257" s="80" t="s">
        <v>206</v>
      </c>
      <c r="X257" s="77" t="s">
        <v>207</v>
      </c>
      <c r="Y257" s="78" t="s">
        <v>101</v>
      </c>
      <c r="AA257" s="77" t="s">
        <v>191</v>
      </c>
      <c r="AB257" s="77" t="s">
        <v>78</v>
      </c>
      <c r="AC257" s="77" t="s">
        <v>90</v>
      </c>
      <c r="AD257" s="77" t="s">
        <v>102</v>
      </c>
      <c r="AE257" s="77" t="s">
        <v>192</v>
      </c>
      <c r="AG257" s="77" t="s">
        <v>112</v>
      </c>
    </row>
    <row r="258" spans="1:33" x14ac:dyDescent="0.3">
      <c r="A258" s="77" t="s">
        <v>814</v>
      </c>
      <c r="B258" s="77" t="s">
        <v>815</v>
      </c>
      <c r="G258" s="77" t="s">
        <v>186</v>
      </c>
      <c r="H258" s="77" t="s">
        <v>77</v>
      </c>
      <c r="I258" s="77" t="s">
        <v>78</v>
      </c>
      <c r="J258" s="77" t="s">
        <v>79</v>
      </c>
      <c r="K258" s="77" t="s">
        <v>80</v>
      </c>
      <c r="L258" s="77" t="s">
        <v>816</v>
      </c>
      <c r="M258" s="77" t="s">
        <v>82</v>
      </c>
      <c r="N258" s="77" t="s">
        <v>83</v>
      </c>
      <c r="Q258" s="77" t="s">
        <v>188</v>
      </c>
      <c r="T258" s="77" t="s">
        <v>112</v>
      </c>
      <c r="U258" s="77" t="s">
        <v>85</v>
      </c>
      <c r="V258" s="80" t="s">
        <v>231</v>
      </c>
      <c r="X258" s="77" t="s">
        <v>232</v>
      </c>
      <c r="Y258" s="78" t="s">
        <v>88</v>
      </c>
      <c r="AA258" s="77" t="s">
        <v>191</v>
      </c>
      <c r="AB258" s="77" t="s">
        <v>78</v>
      </c>
      <c r="AC258" s="77" t="s">
        <v>90</v>
      </c>
      <c r="AD258" s="77" t="s">
        <v>91</v>
      </c>
      <c r="AE258" s="77" t="s">
        <v>192</v>
      </c>
      <c r="AG258" s="77" t="s">
        <v>112</v>
      </c>
    </row>
    <row r="259" spans="1:33" x14ac:dyDescent="0.3">
      <c r="A259" s="77" t="s">
        <v>817</v>
      </c>
      <c r="B259" s="77" t="s">
        <v>818</v>
      </c>
      <c r="G259" s="77" t="s">
        <v>186</v>
      </c>
      <c r="H259" s="77" t="s">
        <v>77</v>
      </c>
      <c r="I259" s="77" t="s">
        <v>78</v>
      </c>
      <c r="J259" s="77" t="s">
        <v>79</v>
      </c>
      <c r="K259" s="77" t="s">
        <v>80</v>
      </c>
      <c r="L259" s="77" t="s">
        <v>819</v>
      </c>
      <c r="M259" s="77" t="s">
        <v>82</v>
      </c>
      <c r="N259" s="77" t="s">
        <v>83</v>
      </c>
      <c r="Q259" s="77" t="s">
        <v>188</v>
      </c>
      <c r="T259" s="77" t="s">
        <v>112</v>
      </c>
      <c r="U259" s="77" t="s">
        <v>85</v>
      </c>
      <c r="V259" s="80" t="s">
        <v>231</v>
      </c>
      <c r="X259" s="77" t="s">
        <v>232</v>
      </c>
      <c r="Y259" s="78" t="s">
        <v>88</v>
      </c>
      <c r="AA259" s="77" t="s">
        <v>191</v>
      </c>
      <c r="AB259" s="77" t="s">
        <v>78</v>
      </c>
      <c r="AC259" s="77" t="s">
        <v>90</v>
      </c>
      <c r="AD259" s="77" t="s">
        <v>91</v>
      </c>
      <c r="AE259" s="77" t="s">
        <v>192</v>
      </c>
      <c r="AG259" s="77" t="s">
        <v>112</v>
      </c>
    </row>
    <row r="260" spans="1:33" x14ac:dyDescent="0.3">
      <c r="A260" s="77" t="s">
        <v>820</v>
      </c>
      <c r="B260" s="77" t="s">
        <v>821</v>
      </c>
      <c r="G260" s="77" t="s">
        <v>186</v>
      </c>
      <c r="H260" s="77" t="s">
        <v>77</v>
      </c>
      <c r="I260" s="77" t="s">
        <v>78</v>
      </c>
      <c r="J260" s="77" t="s">
        <v>79</v>
      </c>
      <c r="K260" s="77" t="s">
        <v>80</v>
      </c>
      <c r="L260" s="77" t="s">
        <v>822</v>
      </c>
      <c r="M260" s="77" t="s">
        <v>82</v>
      </c>
      <c r="N260" s="77" t="s">
        <v>83</v>
      </c>
      <c r="Q260" s="77" t="s">
        <v>188</v>
      </c>
      <c r="T260" s="77" t="s">
        <v>112</v>
      </c>
      <c r="U260" s="77" t="s">
        <v>85</v>
      </c>
      <c r="V260" s="80" t="s">
        <v>231</v>
      </c>
      <c r="X260" s="77" t="s">
        <v>232</v>
      </c>
      <c r="Y260" s="78" t="s">
        <v>88</v>
      </c>
      <c r="AA260" s="77" t="s">
        <v>191</v>
      </c>
      <c r="AB260" s="77" t="s">
        <v>78</v>
      </c>
      <c r="AC260" s="77" t="s">
        <v>90</v>
      </c>
      <c r="AD260" s="77" t="s">
        <v>91</v>
      </c>
      <c r="AE260" s="77" t="s">
        <v>192</v>
      </c>
      <c r="AG260" s="77" t="s">
        <v>112</v>
      </c>
    </row>
    <row r="261" spans="1:33" x14ac:dyDescent="0.3">
      <c r="A261" s="77" t="s">
        <v>823</v>
      </c>
      <c r="B261" s="77" t="s">
        <v>824</v>
      </c>
      <c r="G261" s="77" t="s">
        <v>186</v>
      </c>
      <c r="H261" s="77" t="s">
        <v>77</v>
      </c>
      <c r="I261" s="77" t="s">
        <v>78</v>
      </c>
      <c r="J261" s="77" t="s">
        <v>79</v>
      </c>
      <c r="K261" s="77" t="s">
        <v>80</v>
      </c>
      <c r="L261" s="77" t="s">
        <v>825</v>
      </c>
      <c r="M261" s="77" t="s">
        <v>82</v>
      </c>
      <c r="N261" s="77" t="s">
        <v>83</v>
      </c>
      <c r="Q261" s="77" t="s">
        <v>188</v>
      </c>
      <c r="T261" s="77" t="s">
        <v>112</v>
      </c>
      <c r="U261" s="77" t="s">
        <v>85</v>
      </c>
      <c r="V261" s="80" t="s">
        <v>231</v>
      </c>
      <c r="X261" s="77" t="s">
        <v>232</v>
      </c>
      <c r="Y261" s="78" t="s">
        <v>88</v>
      </c>
      <c r="AA261" s="77" t="s">
        <v>191</v>
      </c>
      <c r="AB261" s="77" t="s">
        <v>78</v>
      </c>
      <c r="AC261" s="77" t="s">
        <v>90</v>
      </c>
      <c r="AD261" s="77" t="s">
        <v>91</v>
      </c>
      <c r="AE261" s="77" t="s">
        <v>192</v>
      </c>
      <c r="AG261" s="77" t="s">
        <v>112</v>
      </c>
    </row>
    <row r="262" spans="1:33" x14ac:dyDescent="0.3">
      <c r="A262" s="77" t="s">
        <v>826</v>
      </c>
      <c r="B262" s="77" t="s">
        <v>827</v>
      </c>
      <c r="G262" s="77" t="s">
        <v>186</v>
      </c>
      <c r="H262" s="77" t="s">
        <v>77</v>
      </c>
      <c r="I262" s="77" t="s">
        <v>78</v>
      </c>
      <c r="J262" s="77" t="s">
        <v>79</v>
      </c>
      <c r="K262" s="77" t="s">
        <v>80</v>
      </c>
      <c r="L262" s="77" t="s">
        <v>828</v>
      </c>
      <c r="M262" s="77" t="s">
        <v>82</v>
      </c>
      <c r="N262" s="77" t="s">
        <v>83</v>
      </c>
      <c r="Q262" s="77" t="s">
        <v>188</v>
      </c>
      <c r="T262" s="77" t="s">
        <v>112</v>
      </c>
      <c r="U262" s="77" t="s">
        <v>85</v>
      </c>
      <c r="V262" s="80" t="s">
        <v>231</v>
      </c>
      <c r="X262" s="77" t="s">
        <v>232</v>
      </c>
      <c r="Y262" s="78" t="s">
        <v>88</v>
      </c>
      <c r="AA262" s="77" t="s">
        <v>191</v>
      </c>
      <c r="AB262" s="77" t="s">
        <v>78</v>
      </c>
      <c r="AC262" s="77" t="s">
        <v>90</v>
      </c>
      <c r="AD262" s="77" t="s">
        <v>91</v>
      </c>
      <c r="AE262" s="77" t="s">
        <v>192</v>
      </c>
      <c r="AG262" s="77" t="s">
        <v>112</v>
      </c>
    </row>
    <row r="263" spans="1:33" x14ac:dyDescent="0.3">
      <c r="A263" s="77" t="s">
        <v>829</v>
      </c>
      <c r="B263" s="77" t="s">
        <v>830</v>
      </c>
      <c r="G263" s="77" t="s">
        <v>186</v>
      </c>
      <c r="H263" s="77" t="s">
        <v>77</v>
      </c>
      <c r="I263" s="77" t="s">
        <v>78</v>
      </c>
      <c r="J263" s="77" t="s">
        <v>79</v>
      </c>
      <c r="K263" s="77" t="s">
        <v>80</v>
      </c>
      <c r="L263" s="77" t="s">
        <v>831</v>
      </c>
      <c r="M263" s="77" t="s">
        <v>82</v>
      </c>
      <c r="N263" s="77" t="s">
        <v>83</v>
      </c>
      <c r="Q263" s="77" t="s">
        <v>188</v>
      </c>
      <c r="T263" s="77" t="s">
        <v>112</v>
      </c>
      <c r="U263" s="77" t="s">
        <v>85</v>
      </c>
      <c r="V263" s="80" t="s">
        <v>231</v>
      </c>
      <c r="X263" s="77" t="s">
        <v>232</v>
      </c>
      <c r="Y263" s="78" t="s">
        <v>88</v>
      </c>
      <c r="AA263" s="77" t="s">
        <v>191</v>
      </c>
      <c r="AB263" s="77" t="s">
        <v>78</v>
      </c>
      <c r="AC263" s="77" t="s">
        <v>90</v>
      </c>
      <c r="AD263" s="77" t="s">
        <v>91</v>
      </c>
      <c r="AE263" s="77" t="s">
        <v>192</v>
      </c>
      <c r="AG263" s="77" t="s">
        <v>112</v>
      </c>
    </row>
    <row r="264" spans="1:33" x14ac:dyDescent="0.3">
      <c r="A264" s="77" t="s">
        <v>832</v>
      </c>
      <c r="B264" s="77" t="s">
        <v>833</v>
      </c>
      <c r="G264" s="77" t="s">
        <v>186</v>
      </c>
      <c r="H264" s="77" t="s">
        <v>77</v>
      </c>
      <c r="I264" s="77" t="s">
        <v>78</v>
      </c>
      <c r="J264" s="77" t="s">
        <v>79</v>
      </c>
      <c r="K264" s="77" t="s">
        <v>80</v>
      </c>
      <c r="L264" s="77" t="s">
        <v>834</v>
      </c>
      <c r="M264" s="77" t="s">
        <v>82</v>
      </c>
      <c r="N264" s="77" t="s">
        <v>83</v>
      </c>
      <c r="Q264" s="77" t="s">
        <v>188</v>
      </c>
      <c r="T264" s="77" t="s">
        <v>112</v>
      </c>
      <c r="U264" s="77" t="s">
        <v>85</v>
      </c>
      <c r="V264" s="80" t="s">
        <v>86</v>
      </c>
      <c r="X264" s="77" t="s">
        <v>87</v>
      </c>
      <c r="Y264" s="78" t="s">
        <v>88</v>
      </c>
      <c r="AA264" s="77" t="s">
        <v>191</v>
      </c>
      <c r="AB264" s="77" t="s">
        <v>78</v>
      </c>
      <c r="AC264" s="77" t="s">
        <v>90</v>
      </c>
      <c r="AD264" s="77" t="s">
        <v>91</v>
      </c>
      <c r="AE264" s="77" t="s">
        <v>192</v>
      </c>
      <c r="AG264" s="77" t="s">
        <v>112</v>
      </c>
    </row>
    <row r="265" spans="1:33" x14ac:dyDescent="0.3">
      <c r="A265" s="77" t="s">
        <v>835</v>
      </c>
      <c r="B265" s="77" t="s">
        <v>836</v>
      </c>
      <c r="G265" s="77" t="s">
        <v>186</v>
      </c>
      <c r="H265" s="77" t="s">
        <v>77</v>
      </c>
      <c r="I265" s="77" t="s">
        <v>78</v>
      </c>
      <c r="J265" s="77" t="s">
        <v>79</v>
      </c>
      <c r="K265" s="77" t="s">
        <v>80</v>
      </c>
      <c r="L265" s="77" t="s">
        <v>837</v>
      </c>
      <c r="M265" s="77" t="s">
        <v>82</v>
      </c>
      <c r="N265" s="77" t="s">
        <v>83</v>
      </c>
      <c r="Q265" s="77" t="s">
        <v>188</v>
      </c>
      <c r="T265" s="77" t="s">
        <v>112</v>
      </c>
      <c r="U265" s="77" t="s">
        <v>85</v>
      </c>
      <c r="V265" s="80" t="s">
        <v>86</v>
      </c>
      <c r="X265" s="77" t="s">
        <v>87</v>
      </c>
      <c r="Y265" s="78" t="s">
        <v>88</v>
      </c>
      <c r="AA265" s="77" t="s">
        <v>191</v>
      </c>
      <c r="AB265" s="77" t="s">
        <v>78</v>
      </c>
      <c r="AC265" s="77" t="s">
        <v>90</v>
      </c>
      <c r="AD265" s="77" t="s">
        <v>91</v>
      </c>
      <c r="AE265" s="77" t="s">
        <v>192</v>
      </c>
      <c r="AG265" s="77" t="s">
        <v>112</v>
      </c>
    </row>
    <row r="266" spans="1:33" x14ac:dyDescent="0.3">
      <c r="A266" s="77" t="s">
        <v>838</v>
      </c>
      <c r="B266" s="77" t="s">
        <v>839</v>
      </c>
      <c r="G266" s="77" t="s">
        <v>186</v>
      </c>
      <c r="H266" s="77" t="s">
        <v>77</v>
      </c>
      <c r="I266" s="77" t="s">
        <v>78</v>
      </c>
      <c r="J266" s="77" t="s">
        <v>79</v>
      </c>
      <c r="K266" s="77" t="s">
        <v>80</v>
      </c>
      <c r="L266" s="77" t="s">
        <v>840</v>
      </c>
      <c r="M266" s="77" t="s">
        <v>82</v>
      </c>
      <c r="N266" s="77" t="s">
        <v>83</v>
      </c>
      <c r="Q266" s="77" t="s">
        <v>188</v>
      </c>
      <c r="T266" s="77" t="s">
        <v>112</v>
      </c>
      <c r="U266" s="77" t="s">
        <v>85</v>
      </c>
      <c r="V266" s="80" t="s">
        <v>105</v>
      </c>
      <c r="X266" s="77" t="s">
        <v>106</v>
      </c>
      <c r="Y266" s="78" t="s">
        <v>101</v>
      </c>
      <c r="AA266" s="77" t="s">
        <v>191</v>
      </c>
      <c r="AB266" s="77" t="s">
        <v>78</v>
      </c>
      <c r="AC266" s="77" t="s">
        <v>90</v>
      </c>
      <c r="AD266" s="77" t="s">
        <v>102</v>
      </c>
      <c r="AE266" s="77" t="s">
        <v>192</v>
      </c>
      <c r="AG266" s="77" t="s">
        <v>112</v>
      </c>
    </row>
    <row r="267" spans="1:33" x14ac:dyDescent="0.3">
      <c r="A267" s="77" t="s">
        <v>841</v>
      </c>
      <c r="B267" s="77" t="s">
        <v>842</v>
      </c>
      <c r="G267" s="77" t="s">
        <v>186</v>
      </c>
      <c r="H267" s="77" t="s">
        <v>77</v>
      </c>
      <c r="I267" s="77" t="s">
        <v>78</v>
      </c>
      <c r="J267" s="77" t="s">
        <v>79</v>
      </c>
      <c r="K267" s="77" t="s">
        <v>80</v>
      </c>
      <c r="L267" s="77" t="s">
        <v>843</v>
      </c>
      <c r="M267" s="77" t="s">
        <v>82</v>
      </c>
      <c r="N267" s="77" t="s">
        <v>83</v>
      </c>
      <c r="Q267" s="77" t="s">
        <v>188</v>
      </c>
      <c r="T267" s="77" t="s">
        <v>112</v>
      </c>
      <c r="U267" s="77" t="s">
        <v>85</v>
      </c>
      <c r="V267" s="80" t="s">
        <v>105</v>
      </c>
      <c r="X267" s="77" t="s">
        <v>106</v>
      </c>
      <c r="Y267" s="78" t="s">
        <v>101</v>
      </c>
      <c r="AA267" s="77" t="s">
        <v>191</v>
      </c>
      <c r="AB267" s="77" t="s">
        <v>78</v>
      </c>
      <c r="AC267" s="77" t="s">
        <v>90</v>
      </c>
      <c r="AD267" s="77" t="s">
        <v>102</v>
      </c>
      <c r="AE267" s="77" t="s">
        <v>192</v>
      </c>
      <c r="AG267" s="77" t="s">
        <v>112</v>
      </c>
    </row>
    <row r="268" spans="1:33" x14ac:dyDescent="0.3">
      <c r="A268" s="77" t="s">
        <v>844</v>
      </c>
      <c r="B268" s="77" t="s">
        <v>845</v>
      </c>
      <c r="G268" s="77" t="s">
        <v>186</v>
      </c>
      <c r="H268" s="77" t="s">
        <v>77</v>
      </c>
      <c r="I268" s="77" t="s">
        <v>78</v>
      </c>
      <c r="J268" s="77" t="s">
        <v>79</v>
      </c>
      <c r="K268" s="77" t="s">
        <v>80</v>
      </c>
      <c r="L268" s="77" t="s">
        <v>846</v>
      </c>
      <c r="M268" s="77" t="s">
        <v>82</v>
      </c>
      <c r="N268" s="77" t="s">
        <v>83</v>
      </c>
      <c r="Q268" s="77" t="s">
        <v>188</v>
      </c>
      <c r="T268" s="77" t="s">
        <v>112</v>
      </c>
      <c r="U268" s="77" t="s">
        <v>85</v>
      </c>
      <c r="V268" s="80" t="s">
        <v>231</v>
      </c>
      <c r="X268" s="77" t="s">
        <v>232</v>
      </c>
      <c r="Y268" s="78" t="s">
        <v>88</v>
      </c>
      <c r="AA268" s="77" t="s">
        <v>191</v>
      </c>
      <c r="AB268" s="77" t="s">
        <v>78</v>
      </c>
      <c r="AC268" s="77" t="s">
        <v>90</v>
      </c>
      <c r="AD268" s="77" t="s">
        <v>91</v>
      </c>
      <c r="AE268" s="77" t="s">
        <v>192</v>
      </c>
      <c r="AG268" s="77" t="s">
        <v>112</v>
      </c>
    </row>
    <row r="269" spans="1:33" x14ac:dyDescent="0.3">
      <c r="A269" s="77" t="s">
        <v>847</v>
      </c>
      <c r="B269" s="77" t="s">
        <v>848</v>
      </c>
      <c r="G269" s="77" t="s">
        <v>186</v>
      </c>
      <c r="H269" s="77" t="s">
        <v>77</v>
      </c>
      <c r="I269" s="77" t="s">
        <v>78</v>
      </c>
      <c r="J269" s="77" t="s">
        <v>79</v>
      </c>
      <c r="K269" s="77" t="s">
        <v>80</v>
      </c>
      <c r="L269" s="77" t="s">
        <v>849</v>
      </c>
      <c r="M269" s="77" t="s">
        <v>82</v>
      </c>
      <c r="N269" s="77" t="s">
        <v>83</v>
      </c>
      <c r="Q269" s="77" t="s">
        <v>188</v>
      </c>
      <c r="T269" s="77" t="s">
        <v>112</v>
      </c>
      <c r="U269" s="77" t="s">
        <v>85</v>
      </c>
      <c r="V269" s="80" t="s">
        <v>231</v>
      </c>
      <c r="X269" s="77" t="s">
        <v>232</v>
      </c>
      <c r="Y269" s="78" t="s">
        <v>88</v>
      </c>
      <c r="AA269" s="77" t="s">
        <v>191</v>
      </c>
      <c r="AB269" s="77" t="s">
        <v>78</v>
      </c>
      <c r="AC269" s="77" t="s">
        <v>90</v>
      </c>
      <c r="AD269" s="77" t="s">
        <v>91</v>
      </c>
      <c r="AE269" s="77" t="s">
        <v>192</v>
      </c>
      <c r="AG269" s="77" t="s">
        <v>112</v>
      </c>
    </row>
    <row r="270" spans="1:33" x14ac:dyDescent="0.3">
      <c r="A270" s="77" t="s">
        <v>850</v>
      </c>
      <c r="B270" s="77" t="s">
        <v>851</v>
      </c>
      <c r="G270" s="77" t="s">
        <v>186</v>
      </c>
      <c r="H270" s="77" t="s">
        <v>77</v>
      </c>
      <c r="I270" s="77" t="s">
        <v>78</v>
      </c>
      <c r="J270" s="77" t="s">
        <v>79</v>
      </c>
      <c r="K270" s="77" t="s">
        <v>80</v>
      </c>
      <c r="L270" s="77" t="s">
        <v>852</v>
      </c>
      <c r="M270" s="77" t="s">
        <v>82</v>
      </c>
      <c r="N270" s="77" t="s">
        <v>83</v>
      </c>
      <c r="Q270" s="77" t="s">
        <v>188</v>
      </c>
      <c r="T270" s="77" t="s">
        <v>112</v>
      </c>
      <c r="U270" s="77" t="s">
        <v>85</v>
      </c>
      <c r="V270" s="80" t="s">
        <v>325</v>
      </c>
      <c r="X270" s="77" t="s">
        <v>326</v>
      </c>
      <c r="Y270" s="78" t="s">
        <v>101</v>
      </c>
      <c r="AA270" s="77" t="s">
        <v>191</v>
      </c>
      <c r="AB270" s="77" t="s">
        <v>78</v>
      </c>
      <c r="AC270" s="77" t="s">
        <v>90</v>
      </c>
      <c r="AD270" s="77" t="s">
        <v>327</v>
      </c>
      <c r="AE270" s="77" t="s">
        <v>192</v>
      </c>
      <c r="AG270" s="77" t="s">
        <v>112</v>
      </c>
    </row>
    <row r="271" spans="1:33" x14ac:dyDescent="0.3">
      <c r="A271" s="77" t="s">
        <v>853</v>
      </c>
      <c r="B271" s="77" t="s">
        <v>854</v>
      </c>
      <c r="G271" s="77" t="s">
        <v>186</v>
      </c>
      <c r="H271" s="77" t="s">
        <v>77</v>
      </c>
      <c r="I271" s="77" t="s">
        <v>78</v>
      </c>
      <c r="J271" s="77" t="s">
        <v>79</v>
      </c>
      <c r="K271" s="77" t="s">
        <v>80</v>
      </c>
      <c r="L271" s="77" t="s">
        <v>855</v>
      </c>
      <c r="M271" s="77" t="s">
        <v>82</v>
      </c>
      <c r="N271" s="77" t="s">
        <v>83</v>
      </c>
      <c r="Q271" s="77" t="s">
        <v>188</v>
      </c>
      <c r="T271" s="77" t="s">
        <v>112</v>
      </c>
      <c r="U271" s="77" t="s">
        <v>85</v>
      </c>
      <c r="V271" s="80" t="s">
        <v>325</v>
      </c>
      <c r="X271" s="77" t="s">
        <v>326</v>
      </c>
      <c r="Y271" s="78" t="s">
        <v>101</v>
      </c>
      <c r="AA271" s="77" t="s">
        <v>191</v>
      </c>
      <c r="AB271" s="77" t="s">
        <v>78</v>
      </c>
      <c r="AC271" s="77" t="s">
        <v>90</v>
      </c>
      <c r="AD271" s="77" t="s">
        <v>327</v>
      </c>
      <c r="AE271" s="77" t="s">
        <v>192</v>
      </c>
      <c r="AG271" s="77" t="s">
        <v>112</v>
      </c>
    </row>
    <row r="272" spans="1:33" x14ac:dyDescent="0.3">
      <c r="A272" s="77" t="s">
        <v>856</v>
      </c>
      <c r="B272" s="77" t="s">
        <v>857</v>
      </c>
      <c r="G272" s="77" t="s">
        <v>186</v>
      </c>
      <c r="H272" s="77" t="s">
        <v>77</v>
      </c>
      <c r="I272" s="77" t="s">
        <v>78</v>
      </c>
      <c r="J272" s="77" t="s">
        <v>79</v>
      </c>
      <c r="K272" s="77" t="s">
        <v>80</v>
      </c>
      <c r="L272" s="77" t="s">
        <v>858</v>
      </c>
      <c r="M272" s="77" t="s">
        <v>82</v>
      </c>
      <c r="N272" s="77" t="s">
        <v>83</v>
      </c>
      <c r="Q272" s="77" t="s">
        <v>188</v>
      </c>
      <c r="T272" s="77" t="s">
        <v>112</v>
      </c>
      <c r="U272" s="77" t="s">
        <v>85</v>
      </c>
      <c r="V272" s="80" t="s">
        <v>859</v>
      </c>
      <c r="X272" s="77" t="s">
        <v>860</v>
      </c>
      <c r="Y272" s="78" t="s">
        <v>88</v>
      </c>
      <c r="AA272" s="77" t="s">
        <v>191</v>
      </c>
      <c r="AB272" s="77" t="s">
        <v>78</v>
      </c>
      <c r="AC272" s="77" t="s">
        <v>90</v>
      </c>
      <c r="AD272" s="77" t="s">
        <v>91</v>
      </c>
      <c r="AE272" s="77" t="s">
        <v>192</v>
      </c>
      <c r="AG272" s="77" t="s">
        <v>112</v>
      </c>
    </row>
    <row r="273" spans="1:33" x14ac:dyDescent="0.3">
      <c r="A273" s="77" t="s">
        <v>861</v>
      </c>
      <c r="B273" s="77" t="s">
        <v>862</v>
      </c>
      <c r="G273" s="77" t="s">
        <v>186</v>
      </c>
      <c r="H273" s="77" t="s">
        <v>77</v>
      </c>
      <c r="I273" s="77" t="s">
        <v>78</v>
      </c>
      <c r="J273" s="77" t="s">
        <v>79</v>
      </c>
      <c r="K273" s="77" t="s">
        <v>80</v>
      </c>
      <c r="L273" s="77" t="s">
        <v>863</v>
      </c>
      <c r="M273" s="77" t="s">
        <v>82</v>
      </c>
      <c r="N273" s="77" t="s">
        <v>83</v>
      </c>
      <c r="Q273" s="77" t="s">
        <v>188</v>
      </c>
      <c r="T273" s="77" t="s">
        <v>112</v>
      </c>
      <c r="U273" s="77" t="s">
        <v>85</v>
      </c>
      <c r="V273" s="80" t="s">
        <v>864</v>
      </c>
      <c r="X273" s="77" t="s">
        <v>865</v>
      </c>
      <c r="Y273" s="78" t="s">
        <v>88</v>
      </c>
      <c r="AA273" s="77" t="s">
        <v>191</v>
      </c>
      <c r="AB273" s="77" t="s">
        <v>78</v>
      </c>
      <c r="AC273" s="77" t="s">
        <v>90</v>
      </c>
      <c r="AD273" s="77" t="s">
        <v>91</v>
      </c>
      <c r="AE273" s="77" t="s">
        <v>192</v>
      </c>
      <c r="AG273" s="77" t="s">
        <v>112</v>
      </c>
    </row>
    <row r="274" spans="1:33" x14ac:dyDescent="0.3">
      <c r="A274" s="77" t="s">
        <v>866</v>
      </c>
      <c r="B274" s="77" t="s">
        <v>867</v>
      </c>
      <c r="G274" s="77" t="s">
        <v>186</v>
      </c>
      <c r="H274" s="77" t="s">
        <v>77</v>
      </c>
      <c r="I274" s="77" t="s">
        <v>78</v>
      </c>
      <c r="J274" s="77" t="s">
        <v>79</v>
      </c>
      <c r="K274" s="77" t="s">
        <v>80</v>
      </c>
      <c r="L274" s="77" t="s">
        <v>868</v>
      </c>
      <c r="M274" s="77" t="s">
        <v>82</v>
      </c>
      <c r="N274" s="77" t="s">
        <v>83</v>
      </c>
      <c r="Q274" s="77" t="s">
        <v>188</v>
      </c>
      <c r="T274" s="77" t="s">
        <v>112</v>
      </c>
      <c r="U274" s="77" t="s">
        <v>85</v>
      </c>
      <c r="V274" s="80" t="s">
        <v>869</v>
      </c>
      <c r="X274" s="77" t="s">
        <v>870</v>
      </c>
      <c r="Y274" s="78" t="s">
        <v>101</v>
      </c>
      <c r="AA274" s="77" t="s">
        <v>191</v>
      </c>
      <c r="AB274" s="77" t="s">
        <v>78</v>
      </c>
      <c r="AC274" s="77" t="s">
        <v>90</v>
      </c>
      <c r="AD274" s="77" t="s">
        <v>102</v>
      </c>
      <c r="AE274" s="77" t="s">
        <v>192</v>
      </c>
      <c r="AG274" s="77" t="s">
        <v>112</v>
      </c>
    </row>
    <row r="275" spans="1:33" x14ac:dyDescent="0.3">
      <c r="A275" s="77" t="s">
        <v>871</v>
      </c>
      <c r="B275" s="77" t="s">
        <v>872</v>
      </c>
      <c r="G275" s="77" t="s">
        <v>186</v>
      </c>
      <c r="H275" s="77" t="s">
        <v>77</v>
      </c>
      <c r="I275" s="77" t="s">
        <v>78</v>
      </c>
      <c r="J275" s="77" t="s">
        <v>79</v>
      </c>
      <c r="K275" s="77" t="s">
        <v>80</v>
      </c>
      <c r="L275" s="77" t="s">
        <v>873</v>
      </c>
      <c r="M275" s="77" t="s">
        <v>82</v>
      </c>
      <c r="N275" s="77" t="s">
        <v>83</v>
      </c>
      <c r="Q275" s="77" t="s">
        <v>188</v>
      </c>
      <c r="T275" s="77" t="s">
        <v>112</v>
      </c>
      <c r="U275" s="77" t="s">
        <v>85</v>
      </c>
      <c r="V275" s="80" t="s">
        <v>874</v>
      </c>
      <c r="X275" s="77" t="s">
        <v>875</v>
      </c>
      <c r="Y275" s="78" t="s">
        <v>101</v>
      </c>
      <c r="AA275" s="77" t="s">
        <v>191</v>
      </c>
      <c r="AB275" s="77" t="s">
        <v>78</v>
      </c>
      <c r="AC275" s="77" t="s">
        <v>90</v>
      </c>
      <c r="AD275" s="77" t="s">
        <v>102</v>
      </c>
      <c r="AE275" s="77" t="s">
        <v>192</v>
      </c>
      <c r="AG275" s="77" t="s">
        <v>112</v>
      </c>
    </row>
    <row r="276" spans="1:33" x14ac:dyDescent="0.3">
      <c r="A276" s="77" t="s">
        <v>876</v>
      </c>
      <c r="B276" s="77" t="s">
        <v>877</v>
      </c>
      <c r="G276" s="77" t="s">
        <v>186</v>
      </c>
      <c r="H276" s="77" t="s">
        <v>77</v>
      </c>
      <c r="I276" s="77" t="s">
        <v>78</v>
      </c>
      <c r="J276" s="77" t="s">
        <v>79</v>
      </c>
      <c r="K276" s="77" t="s">
        <v>80</v>
      </c>
      <c r="L276" s="77" t="s">
        <v>878</v>
      </c>
      <c r="M276" s="77" t="s">
        <v>82</v>
      </c>
      <c r="N276" s="77" t="s">
        <v>83</v>
      </c>
      <c r="Q276" s="77" t="s">
        <v>188</v>
      </c>
      <c r="T276" s="77" t="s">
        <v>112</v>
      </c>
      <c r="U276" s="77" t="s">
        <v>85</v>
      </c>
      <c r="V276" s="80" t="s">
        <v>86</v>
      </c>
      <c r="X276" s="77" t="s">
        <v>87</v>
      </c>
      <c r="Y276" s="78" t="s">
        <v>88</v>
      </c>
      <c r="AA276" s="77" t="s">
        <v>191</v>
      </c>
      <c r="AB276" s="77" t="s">
        <v>78</v>
      </c>
      <c r="AC276" s="77" t="s">
        <v>90</v>
      </c>
      <c r="AD276" s="77" t="s">
        <v>91</v>
      </c>
      <c r="AE276" s="77" t="s">
        <v>192</v>
      </c>
      <c r="AG276" s="77" t="s">
        <v>112</v>
      </c>
    </row>
    <row r="277" spans="1:33" x14ac:dyDescent="0.3">
      <c r="A277" s="77" t="s">
        <v>879</v>
      </c>
      <c r="B277" s="77" t="s">
        <v>880</v>
      </c>
      <c r="G277" s="77" t="s">
        <v>186</v>
      </c>
      <c r="H277" s="77" t="s">
        <v>77</v>
      </c>
      <c r="I277" s="77" t="s">
        <v>78</v>
      </c>
      <c r="J277" s="77" t="s">
        <v>79</v>
      </c>
      <c r="K277" s="77" t="s">
        <v>80</v>
      </c>
      <c r="L277" s="77" t="s">
        <v>881</v>
      </c>
      <c r="M277" s="77" t="s">
        <v>82</v>
      </c>
      <c r="N277" s="77" t="s">
        <v>83</v>
      </c>
      <c r="Q277" s="77" t="s">
        <v>188</v>
      </c>
      <c r="T277" s="77" t="s">
        <v>112</v>
      </c>
      <c r="U277" s="77" t="s">
        <v>85</v>
      </c>
      <c r="V277" s="80" t="s">
        <v>95</v>
      </c>
      <c r="X277" s="77" t="s">
        <v>96</v>
      </c>
      <c r="Y277" s="78" t="s">
        <v>88</v>
      </c>
      <c r="AA277" s="77" t="s">
        <v>191</v>
      </c>
      <c r="AB277" s="77" t="s">
        <v>78</v>
      </c>
      <c r="AC277" s="77" t="s">
        <v>90</v>
      </c>
      <c r="AD277" s="77" t="s">
        <v>91</v>
      </c>
      <c r="AE277" s="77" t="s">
        <v>192</v>
      </c>
      <c r="AG277" s="77" t="s">
        <v>112</v>
      </c>
    </row>
    <row r="278" spans="1:33" x14ac:dyDescent="0.3">
      <c r="A278" s="77" t="s">
        <v>882</v>
      </c>
      <c r="B278" s="77" t="s">
        <v>883</v>
      </c>
      <c r="G278" s="77" t="s">
        <v>186</v>
      </c>
      <c r="H278" s="77" t="s">
        <v>77</v>
      </c>
      <c r="I278" s="77" t="s">
        <v>78</v>
      </c>
      <c r="J278" s="77" t="s">
        <v>79</v>
      </c>
      <c r="K278" s="77" t="s">
        <v>80</v>
      </c>
      <c r="L278" s="77" t="s">
        <v>884</v>
      </c>
      <c r="M278" s="77" t="s">
        <v>82</v>
      </c>
      <c r="N278" s="77" t="s">
        <v>83</v>
      </c>
      <c r="Q278" s="77" t="s">
        <v>188</v>
      </c>
      <c r="T278" s="77" t="s">
        <v>112</v>
      </c>
      <c r="U278" s="77" t="s">
        <v>85</v>
      </c>
      <c r="V278" s="80" t="s">
        <v>99</v>
      </c>
      <c r="X278" s="77" t="s">
        <v>100</v>
      </c>
      <c r="Y278" s="78" t="s">
        <v>101</v>
      </c>
      <c r="AA278" s="77" t="s">
        <v>191</v>
      </c>
      <c r="AB278" s="77" t="s">
        <v>78</v>
      </c>
      <c r="AC278" s="77" t="s">
        <v>90</v>
      </c>
      <c r="AD278" s="77" t="s">
        <v>102</v>
      </c>
      <c r="AE278" s="77" t="s">
        <v>192</v>
      </c>
      <c r="AG278" s="77" t="s">
        <v>112</v>
      </c>
    </row>
    <row r="279" spans="1:33" x14ac:dyDescent="0.3">
      <c r="A279" s="77" t="s">
        <v>885</v>
      </c>
      <c r="B279" s="77" t="s">
        <v>886</v>
      </c>
      <c r="G279" s="77" t="s">
        <v>186</v>
      </c>
      <c r="H279" s="77" t="s">
        <v>77</v>
      </c>
      <c r="I279" s="77" t="s">
        <v>78</v>
      </c>
      <c r="J279" s="77" t="s">
        <v>79</v>
      </c>
      <c r="K279" s="77" t="s">
        <v>80</v>
      </c>
      <c r="L279" s="77" t="s">
        <v>887</v>
      </c>
      <c r="M279" s="77" t="s">
        <v>82</v>
      </c>
      <c r="N279" s="77" t="s">
        <v>83</v>
      </c>
      <c r="Q279" s="77" t="s">
        <v>188</v>
      </c>
      <c r="T279" s="77" t="s">
        <v>112</v>
      </c>
      <c r="U279" s="77" t="s">
        <v>85</v>
      </c>
      <c r="V279" s="80" t="s">
        <v>105</v>
      </c>
      <c r="X279" s="77" t="s">
        <v>106</v>
      </c>
      <c r="Y279" s="78" t="s">
        <v>101</v>
      </c>
      <c r="AA279" s="77" t="s">
        <v>191</v>
      </c>
      <c r="AB279" s="77" t="s">
        <v>78</v>
      </c>
      <c r="AC279" s="77" t="s">
        <v>90</v>
      </c>
      <c r="AD279" s="77" t="s">
        <v>102</v>
      </c>
      <c r="AE279" s="77" t="s">
        <v>192</v>
      </c>
      <c r="AG279" s="77" t="s">
        <v>112</v>
      </c>
    </row>
    <row r="280" spans="1:33" x14ac:dyDescent="0.3">
      <c r="A280" s="77" t="s">
        <v>888</v>
      </c>
      <c r="B280" s="77" t="s">
        <v>889</v>
      </c>
      <c r="G280" s="77" t="s">
        <v>186</v>
      </c>
      <c r="H280" s="77" t="s">
        <v>77</v>
      </c>
      <c r="I280" s="77" t="s">
        <v>78</v>
      </c>
      <c r="J280" s="77" t="s">
        <v>79</v>
      </c>
      <c r="K280" s="77" t="s">
        <v>80</v>
      </c>
      <c r="L280" s="77" t="s">
        <v>890</v>
      </c>
      <c r="M280" s="77" t="s">
        <v>82</v>
      </c>
      <c r="N280" s="77" t="s">
        <v>83</v>
      </c>
      <c r="Q280" s="77" t="s">
        <v>188</v>
      </c>
      <c r="T280" s="77" t="s">
        <v>112</v>
      </c>
      <c r="U280" s="77" t="s">
        <v>85</v>
      </c>
      <c r="V280" s="80" t="s">
        <v>891</v>
      </c>
      <c r="X280" s="77" t="s">
        <v>892</v>
      </c>
      <c r="Y280" s="78" t="s">
        <v>88</v>
      </c>
      <c r="AA280" s="77" t="s">
        <v>191</v>
      </c>
      <c r="AB280" s="77" t="s">
        <v>78</v>
      </c>
      <c r="AC280" s="77" t="s">
        <v>90</v>
      </c>
      <c r="AD280" s="77" t="s">
        <v>91</v>
      </c>
      <c r="AE280" s="77" t="s">
        <v>192</v>
      </c>
      <c r="AG280" s="77" t="s">
        <v>112</v>
      </c>
    </row>
    <row r="281" spans="1:33" x14ac:dyDescent="0.3">
      <c r="A281" s="77" t="s">
        <v>893</v>
      </c>
      <c r="B281" s="77" t="s">
        <v>894</v>
      </c>
      <c r="G281" s="77" t="s">
        <v>186</v>
      </c>
      <c r="H281" s="77" t="s">
        <v>77</v>
      </c>
      <c r="I281" s="77" t="s">
        <v>78</v>
      </c>
      <c r="J281" s="77" t="s">
        <v>79</v>
      </c>
      <c r="K281" s="77" t="s">
        <v>80</v>
      </c>
      <c r="L281" s="77" t="s">
        <v>895</v>
      </c>
      <c r="M281" s="77" t="s">
        <v>82</v>
      </c>
      <c r="N281" s="77" t="s">
        <v>83</v>
      </c>
      <c r="Q281" s="77" t="s">
        <v>188</v>
      </c>
      <c r="T281" s="77" t="s">
        <v>112</v>
      </c>
      <c r="U281" s="77" t="s">
        <v>85</v>
      </c>
      <c r="V281" s="80" t="s">
        <v>896</v>
      </c>
      <c r="X281" s="77" t="s">
        <v>897</v>
      </c>
      <c r="Y281" s="78" t="s">
        <v>88</v>
      </c>
      <c r="AA281" s="77" t="s">
        <v>191</v>
      </c>
      <c r="AB281" s="77" t="s">
        <v>78</v>
      </c>
      <c r="AC281" s="77" t="s">
        <v>90</v>
      </c>
      <c r="AD281" s="77" t="s">
        <v>91</v>
      </c>
      <c r="AE281" s="77" t="s">
        <v>192</v>
      </c>
      <c r="AG281" s="77" t="s">
        <v>112</v>
      </c>
    </row>
    <row r="282" spans="1:33" x14ac:dyDescent="0.3">
      <c r="A282" s="77" t="s">
        <v>898</v>
      </c>
      <c r="B282" s="77" t="s">
        <v>899</v>
      </c>
      <c r="G282" s="77" t="s">
        <v>186</v>
      </c>
      <c r="H282" s="77" t="s">
        <v>77</v>
      </c>
      <c r="I282" s="77" t="s">
        <v>78</v>
      </c>
      <c r="J282" s="77" t="s">
        <v>79</v>
      </c>
      <c r="K282" s="77" t="s">
        <v>80</v>
      </c>
      <c r="L282" s="77" t="s">
        <v>900</v>
      </c>
      <c r="M282" s="77" t="s">
        <v>82</v>
      </c>
      <c r="N282" s="77" t="s">
        <v>83</v>
      </c>
      <c r="Q282" s="77" t="s">
        <v>188</v>
      </c>
      <c r="T282" s="77" t="s">
        <v>112</v>
      </c>
      <c r="U282" s="77" t="s">
        <v>85</v>
      </c>
      <c r="V282" s="80" t="s">
        <v>896</v>
      </c>
      <c r="X282" s="77" t="s">
        <v>897</v>
      </c>
      <c r="Y282" s="78" t="s">
        <v>88</v>
      </c>
      <c r="AA282" s="77" t="s">
        <v>191</v>
      </c>
      <c r="AB282" s="77" t="s">
        <v>78</v>
      </c>
      <c r="AC282" s="77" t="s">
        <v>90</v>
      </c>
      <c r="AD282" s="77" t="s">
        <v>91</v>
      </c>
      <c r="AE282" s="77" t="s">
        <v>192</v>
      </c>
      <c r="AG282" s="77" t="s">
        <v>112</v>
      </c>
    </row>
    <row r="283" spans="1:33" x14ac:dyDescent="0.3">
      <c r="A283" s="77" t="s">
        <v>901</v>
      </c>
      <c r="B283" s="77" t="s">
        <v>902</v>
      </c>
      <c r="G283" s="77" t="s">
        <v>186</v>
      </c>
      <c r="H283" s="77" t="s">
        <v>77</v>
      </c>
      <c r="I283" s="77" t="s">
        <v>78</v>
      </c>
      <c r="J283" s="77" t="s">
        <v>79</v>
      </c>
      <c r="K283" s="77" t="s">
        <v>80</v>
      </c>
      <c r="L283" s="77" t="s">
        <v>903</v>
      </c>
      <c r="M283" s="77" t="s">
        <v>82</v>
      </c>
      <c r="N283" s="77" t="s">
        <v>83</v>
      </c>
      <c r="Q283" s="77" t="s">
        <v>188</v>
      </c>
      <c r="T283" s="77" t="s">
        <v>112</v>
      </c>
      <c r="U283" s="77" t="s">
        <v>85</v>
      </c>
      <c r="V283" s="80" t="s">
        <v>896</v>
      </c>
      <c r="X283" s="77" t="s">
        <v>897</v>
      </c>
      <c r="Y283" s="78" t="s">
        <v>88</v>
      </c>
      <c r="AA283" s="77" t="s">
        <v>191</v>
      </c>
      <c r="AB283" s="77" t="s">
        <v>78</v>
      </c>
      <c r="AC283" s="77" t="s">
        <v>90</v>
      </c>
      <c r="AD283" s="77" t="s">
        <v>91</v>
      </c>
      <c r="AE283" s="77" t="s">
        <v>192</v>
      </c>
      <c r="AG283" s="77" t="s">
        <v>112</v>
      </c>
    </row>
    <row r="284" spans="1:33" x14ac:dyDescent="0.3">
      <c r="A284" s="77" t="s">
        <v>904</v>
      </c>
      <c r="B284" s="77" t="s">
        <v>905</v>
      </c>
      <c r="G284" s="77" t="s">
        <v>186</v>
      </c>
      <c r="H284" s="77" t="s">
        <v>77</v>
      </c>
      <c r="I284" s="77" t="s">
        <v>78</v>
      </c>
      <c r="J284" s="77" t="s">
        <v>79</v>
      </c>
      <c r="K284" s="77" t="s">
        <v>80</v>
      </c>
      <c r="L284" s="77" t="s">
        <v>906</v>
      </c>
      <c r="M284" s="77" t="s">
        <v>82</v>
      </c>
      <c r="N284" s="77" t="s">
        <v>83</v>
      </c>
      <c r="Q284" s="77" t="s">
        <v>188</v>
      </c>
      <c r="T284" s="77" t="s">
        <v>112</v>
      </c>
      <c r="U284" s="77" t="s">
        <v>85</v>
      </c>
      <c r="V284" s="80" t="s">
        <v>272</v>
      </c>
      <c r="X284" s="77" t="s">
        <v>273</v>
      </c>
      <c r="Y284" s="78" t="s">
        <v>101</v>
      </c>
      <c r="AA284" s="77" t="s">
        <v>191</v>
      </c>
      <c r="AB284" s="77" t="s">
        <v>78</v>
      </c>
      <c r="AC284" s="77" t="s">
        <v>90</v>
      </c>
      <c r="AD284" s="77" t="s">
        <v>274</v>
      </c>
      <c r="AE284" s="77" t="s">
        <v>192</v>
      </c>
      <c r="AG284" s="77" t="s">
        <v>112</v>
      </c>
    </row>
    <row r="285" spans="1:33" x14ac:dyDescent="0.3">
      <c r="A285" s="77" t="s">
        <v>907</v>
      </c>
      <c r="B285" s="77" t="s">
        <v>908</v>
      </c>
      <c r="G285" s="77" t="s">
        <v>186</v>
      </c>
      <c r="H285" s="77" t="s">
        <v>77</v>
      </c>
      <c r="I285" s="77" t="s">
        <v>78</v>
      </c>
      <c r="J285" s="77" t="s">
        <v>79</v>
      </c>
      <c r="K285" s="77" t="s">
        <v>80</v>
      </c>
      <c r="L285" s="77" t="s">
        <v>909</v>
      </c>
      <c r="M285" s="77" t="s">
        <v>82</v>
      </c>
      <c r="N285" s="77" t="s">
        <v>83</v>
      </c>
      <c r="Q285" s="77" t="s">
        <v>188</v>
      </c>
      <c r="T285" s="77" t="s">
        <v>112</v>
      </c>
      <c r="U285" s="77" t="s">
        <v>85</v>
      </c>
      <c r="V285" s="80" t="s">
        <v>272</v>
      </c>
      <c r="X285" s="77" t="s">
        <v>273</v>
      </c>
      <c r="Y285" s="78" t="s">
        <v>101</v>
      </c>
      <c r="AA285" s="77" t="s">
        <v>191</v>
      </c>
      <c r="AB285" s="77" t="s">
        <v>78</v>
      </c>
      <c r="AC285" s="77" t="s">
        <v>90</v>
      </c>
      <c r="AD285" s="77" t="s">
        <v>274</v>
      </c>
      <c r="AE285" s="77" t="s">
        <v>192</v>
      </c>
      <c r="AG285" s="77" t="s">
        <v>112</v>
      </c>
    </row>
    <row r="286" spans="1:33" x14ac:dyDescent="0.3">
      <c r="A286" s="77" t="s">
        <v>910</v>
      </c>
      <c r="B286" s="77" t="s">
        <v>911</v>
      </c>
      <c r="G286" s="77" t="s">
        <v>186</v>
      </c>
      <c r="H286" s="77" t="s">
        <v>77</v>
      </c>
      <c r="I286" s="77" t="s">
        <v>78</v>
      </c>
      <c r="J286" s="77" t="s">
        <v>79</v>
      </c>
      <c r="K286" s="77" t="s">
        <v>80</v>
      </c>
      <c r="L286" s="77" t="s">
        <v>912</v>
      </c>
      <c r="M286" s="77" t="s">
        <v>82</v>
      </c>
      <c r="N286" s="77" t="s">
        <v>83</v>
      </c>
      <c r="Q286" s="77" t="s">
        <v>188</v>
      </c>
      <c r="T286" s="77" t="s">
        <v>112</v>
      </c>
      <c r="U286" s="77" t="s">
        <v>85</v>
      </c>
      <c r="V286" s="80" t="s">
        <v>272</v>
      </c>
      <c r="X286" s="77" t="s">
        <v>273</v>
      </c>
      <c r="Y286" s="78" t="s">
        <v>101</v>
      </c>
      <c r="AA286" s="77" t="s">
        <v>191</v>
      </c>
      <c r="AB286" s="77" t="s">
        <v>78</v>
      </c>
      <c r="AC286" s="77" t="s">
        <v>90</v>
      </c>
      <c r="AD286" s="77" t="s">
        <v>274</v>
      </c>
      <c r="AE286" s="77" t="s">
        <v>192</v>
      </c>
      <c r="AG286" s="77" t="s">
        <v>112</v>
      </c>
    </row>
    <row r="287" spans="1:33" x14ac:dyDescent="0.3">
      <c r="A287" s="77" t="s">
        <v>913</v>
      </c>
      <c r="B287" s="77" t="s">
        <v>914</v>
      </c>
      <c r="G287" s="77" t="s">
        <v>186</v>
      </c>
      <c r="H287" s="77" t="s">
        <v>77</v>
      </c>
      <c r="I287" s="77" t="s">
        <v>78</v>
      </c>
      <c r="J287" s="77" t="s">
        <v>79</v>
      </c>
      <c r="K287" s="77" t="s">
        <v>80</v>
      </c>
      <c r="L287" s="77" t="s">
        <v>915</v>
      </c>
      <c r="M287" s="77" t="s">
        <v>82</v>
      </c>
      <c r="N287" s="77" t="s">
        <v>83</v>
      </c>
      <c r="Q287" s="77" t="s">
        <v>188</v>
      </c>
      <c r="T287" s="77" t="s">
        <v>112</v>
      </c>
      <c r="U287" s="77" t="s">
        <v>85</v>
      </c>
      <c r="V287" s="80" t="s">
        <v>272</v>
      </c>
      <c r="X287" s="77" t="s">
        <v>273</v>
      </c>
      <c r="Y287" s="78" t="s">
        <v>101</v>
      </c>
      <c r="AA287" s="77" t="s">
        <v>191</v>
      </c>
      <c r="AB287" s="77" t="s">
        <v>78</v>
      </c>
      <c r="AC287" s="77" t="s">
        <v>90</v>
      </c>
      <c r="AD287" s="77" t="s">
        <v>274</v>
      </c>
      <c r="AE287" s="77" t="s">
        <v>192</v>
      </c>
      <c r="AG287" s="77" t="s">
        <v>112</v>
      </c>
    </row>
    <row r="288" spans="1:33" x14ac:dyDescent="0.3">
      <c r="A288" s="77" t="s">
        <v>916</v>
      </c>
      <c r="B288" s="77" t="s">
        <v>917</v>
      </c>
      <c r="G288" s="77" t="s">
        <v>186</v>
      </c>
      <c r="H288" s="77" t="s">
        <v>77</v>
      </c>
      <c r="I288" s="77" t="s">
        <v>78</v>
      </c>
      <c r="J288" s="77" t="s">
        <v>79</v>
      </c>
      <c r="K288" s="77" t="s">
        <v>80</v>
      </c>
      <c r="L288" s="77" t="s">
        <v>918</v>
      </c>
      <c r="M288" s="77" t="s">
        <v>82</v>
      </c>
      <c r="N288" s="77" t="s">
        <v>83</v>
      </c>
      <c r="Q288" s="77" t="s">
        <v>188</v>
      </c>
      <c r="T288" s="77" t="s">
        <v>112</v>
      </c>
      <c r="U288" s="77" t="s">
        <v>85</v>
      </c>
      <c r="V288" s="80" t="s">
        <v>272</v>
      </c>
      <c r="X288" s="77" t="s">
        <v>273</v>
      </c>
      <c r="Y288" s="78" t="s">
        <v>101</v>
      </c>
      <c r="AA288" s="77" t="s">
        <v>191</v>
      </c>
      <c r="AB288" s="77" t="s">
        <v>78</v>
      </c>
      <c r="AC288" s="77" t="s">
        <v>90</v>
      </c>
      <c r="AD288" s="77" t="s">
        <v>274</v>
      </c>
      <c r="AE288" s="77" t="s">
        <v>192</v>
      </c>
      <c r="AG288" s="77" t="s">
        <v>112</v>
      </c>
    </row>
    <row r="289" spans="1:33" x14ac:dyDescent="0.3">
      <c r="A289" s="77" t="s">
        <v>919</v>
      </c>
      <c r="B289" s="77" t="s">
        <v>920</v>
      </c>
      <c r="G289" s="77" t="s">
        <v>186</v>
      </c>
      <c r="H289" s="77" t="s">
        <v>77</v>
      </c>
      <c r="I289" s="77" t="s">
        <v>78</v>
      </c>
      <c r="J289" s="77" t="s">
        <v>79</v>
      </c>
      <c r="K289" s="77" t="s">
        <v>80</v>
      </c>
      <c r="L289" s="77" t="s">
        <v>921</v>
      </c>
      <c r="M289" s="77" t="s">
        <v>82</v>
      </c>
      <c r="N289" s="77" t="s">
        <v>83</v>
      </c>
      <c r="Q289" s="77" t="s">
        <v>188</v>
      </c>
      <c r="T289" s="77" t="s">
        <v>112</v>
      </c>
      <c r="U289" s="77" t="s">
        <v>85</v>
      </c>
      <c r="V289" s="80" t="s">
        <v>272</v>
      </c>
      <c r="X289" s="77" t="s">
        <v>273</v>
      </c>
      <c r="Y289" s="78" t="s">
        <v>101</v>
      </c>
      <c r="AA289" s="77" t="s">
        <v>191</v>
      </c>
      <c r="AB289" s="77" t="s">
        <v>78</v>
      </c>
      <c r="AC289" s="77" t="s">
        <v>90</v>
      </c>
      <c r="AD289" s="77" t="s">
        <v>274</v>
      </c>
      <c r="AE289" s="77" t="s">
        <v>192</v>
      </c>
      <c r="AG289" s="77" t="s">
        <v>112</v>
      </c>
    </row>
    <row r="290" spans="1:33" x14ac:dyDescent="0.3">
      <c r="A290" s="77" t="s">
        <v>922</v>
      </c>
      <c r="B290" s="77" t="s">
        <v>923</v>
      </c>
      <c r="G290" s="77" t="s">
        <v>186</v>
      </c>
      <c r="H290" s="77" t="s">
        <v>77</v>
      </c>
      <c r="I290" s="77" t="s">
        <v>78</v>
      </c>
      <c r="J290" s="77" t="s">
        <v>79</v>
      </c>
      <c r="K290" s="77" t="s">
        <v>80</v>
      </c>
      <c r="L290" s="77" t="s">
        <v>924</v>
      </c>
      <c r="M290" s="77" t="s">
        <v>82</v>
      </c>
      <c r="N290" s="77" t="s">
        <v>83</v>
      </c>
      <c r="Q290" s="77" t="s">
        <v>188</v>
      </c>
      <c r="T290" s="77" t="s">
        <v>112</v>
      </c>
      <c r="U290" s="77" t="s">
        <v>85</v>
      </c>
      <c r="V290" s="80" t="s">
        <v>925</v>
      </c>
      <c r="X290" s="77" t="s">
        <v>926</v>
      </c>
      <c r="Y290" s="78" t="s">
        <v>101</v>
      </c>
      <c r="AA290" s="77" t="s">
        <v>191</v>
      </c>
      <c r="AB290" s="77" t="s">
        <v>78</v>
      </c>
      <c r="AC290" s="77" t="s">
        <v>90</v>
      </c>
      <c r="AD290" s="77" t="s">
        <v>274</v>
      </c>
      <c r="AE290" s="77" t="s">
        <v>192</v>
      </c>
      <c r="AG290" s="77" t="s">
        <v>112</v>
      </c>
    </row>
    <row r="291" spans="1:33" x14ac:dyDescent="0.3">
      <c r="A291" s="77" t="s">
        <v>927</v>
      </c>
      <c r="B291" s="77" t="s">
        <v>928</v>
      </c>
      <c r="G291" s="77" t="s">
        <v>186</v>
      </c>
      <c r="H291" s="77" t="s">
        <v>77</v>
      </c>
      <c r="I291" s="77" t="s">
        <v>78</v>
      </c>
      <c r="J291" s="77" t="s">
        <v>79</v>
      </c>
      <c r="K291" s="77" t="s">
        <v>80</v>
      </c>
      <c r="L291" s="77" t="s">
        <v>929</v>
      </c>
      <c r="M291" s="77" t="s">
        <v>82</v>
      </c>
      <c r="N291" s="77" t="s">
        <v>83</v>
      </c>
      <c r="Q291" s="77" t="s">
        <v>188</v>
      </c>
      <c r="T291" s="77" t="s">
        <v>112</v>
      </c>
      <c r="U291" s="77" t="s">
        <v>85</v>
      </c>
      <c r="V291" s="80" t="s">
        <v>930</v>
      </c>
      <c r="X291" s="77" t="s">
        <v>931</v>
      </c>
      <c r="Y291" s="78" t="s">
        <v>88</v>
      </c>
      <c r="AA291" s="77" t="s">
        <v>191</v>
      </c>
      <c r="AB291" s="77" t="s">
        <v>78</v>
      </c>
      <c r="AC291" s="77" t="s">
        <v>90</v>
      </c>
      <c r="AD291" s="77" t="s">
        <v>91</v>
      </c>
      <c r="AE291" s="77" t="s">
        <v>192</v>
      </c>
      <c r="AG291" s="77" t="s">
        <v>112</v>
      </c>
    </row>
    <row r="292" spans="1:33" x14ac:dyDescent="0.3">
      <c r="A292" s="77" t="s">
        <v>932</v>
      </c>
      <c r="B292" s="77" t="s">
        <v>933</v>
      </c>
      <c r="G292" s="77" t="s">
        <v>186</v>
      </c>
      <c r="H292" s="77" t="s">
        <v>77</v>
      </c>
      <c r="I292" s="77" t="s">
        <v>78</v>
      </c>
      <c r="J292" s="77" t="s">
        <v>79</v>
      </c>
      <c r="K292" s="77" t="s">
        <v>80</v>
      </c>
      <c r="L292" s="77" t="s">
        <v>934</v>
      </c>
      <c r="M292" s="77" t="s">
        <v>82</v>
      </c>
      <c r="N292" s="77" t="s">
        <v>83</v>
      </c>
      <c r="Q292" s="77" t="s">
        <v>188</v>
      </c>
      <c r="T292" s="77" t="s">
        <v>112</v>
      </c>
      <c r="U292" s="77" t="s">
        <v>85</v>
      </c>
      <c r="V292" s="80" t="s">
        <v>925</v>
      </c>
      <c r="X292" s="77" t="s">
        <v>926</v>
      </c>
      <c r="Y292" s="78" t="s">
        <v>101</v>
      </c>
      <c r="AA292" s="77" t="s">
        <v>191</v>
      </c>
      <c r="AB292" s="77" t="s">
        <v>78</v>
      </c>
      <c r="AC292" s="77" t="s">
        <v>90</v>
      </c>
      <c r="AD292" s="77" t="s">
        <v>274</v>
      </c>
      <c r="AE292" s="77" t="s">
        <v>192</v>
      </c>
      <c r="AG292" s="77" t="s">
        <v>112</v>
      </c>
    </row>
    <row r="293" spans="1:33" x14ac:dyDescent="0.3">
      <c r="A293" s="77" t="s">
        <v>935</v>
      </c>
      <c r="B293" s="77" t="s">
        <v>936</v>
      </c>
      <c r="G293" s="77" t="s">
        <v>186</v>
      </c>
      <c r="H293" s="77" t="s">
        <v>77</v>
      </c>
      <c r="I293" s="77" t="s">
        <v>78</v>
      </c>
      <c r="J293" s="77" t="s">
        <v>79</v>
      </c>
      <c r="K293" s="77" t="s">
        <v>80</v>
      </c>
      <c r="L293" s="77" t="s">
        <v>937</v>
      </c>
      <c r="M293" s="77" t="s">
        <v>82</v>
      </c>
      <c r="N293" s="77" t="s">
        <v>83</v>
      </c>
      <c r="Q293" s="77" t="s">
        <v>188</v>
      </c>
      <c r="T293" s="77" t="s">
        <v>112</v>
      </c>
      <c r="U293" s="77" t="s">
        <v>85</v>
      </c>
      <c r="V293" s="80" t="s">
        <v>930</v>
      </c>
      <c r="X293" s="77" t="s">
        <v>931</v>
      </c>
      <c r="Y293" s="78" t="s">
        <v>88</v>
      </c>
      <c r="AA293" s="77" t="s">
        <v>191</v>
      </c>
      <c r="AB293" s="77" t="s">
        <v>78</v>
      </c>
      <c r="AC293" s="77" t="s">
        <v>90</v>
      </c>
      <c r="AD293" s="77" t="s">
        <v>91</v>
      </c>
      <c r="AE293" s="77" t="s">
        <v>192</v>
      </c>
      <c r="AG293" s="77" t="s">
        <v>112</v>
      </c>
    </row>
    <row r="294" spans="1:33" x14ac:dyDescent="0.3">
      <c r="A294" s="77" t="s">
        <v>938</v>
      </c>
      <c r="B294" s="77" t="s">
        <v>939</v>
      </c>
      <c r="G294" s="77" t="s">
        <v>186</v>
      </c>
      <c r="H294" s="77" t="s">
        <v>77</v>
      </c>
      <c r="I294" s="77" t="s">
        <v>78</v>
      </c>
      <c r="J294" s="77" t="s">
        <v>79</v>
      </c>
      <c r="K294" s="77" t="s">
        <v>80</v>
      </c>
      <c r="L294" s="77" t="s">
        <v>940</v>
      </c>
      <c r="M294" s="77" t="s">
        <v>82</v>
      </c>
      <c r="N294" s="77" t="s">
        <v>83</v>
      </c>
      <c r="Q294" s="77" t="s">
        <v>188</v>
      </c>
      <c r="T294" s="77" t="s">
        <v>112</v>
      </c>
      <c r="U294" s="77" t="s">
        <v>85</v>
      </c>
      <c r="V294" s="80" t="s">
        <v>925</v>
      </c>
      <c r="X294" s="77" t="s">
        <v>926</v>
      </c>
      <c r="Y294" s="78" t="s">
        <v>101</v>
      </c>
      <c r="AA294" s="77" t="s">
        <v>191</v>
      </c>
      <c r="AB294" s="77" t="s">
        <v>78</v>
      </c>
      <c r="AC294" s="77" t="s">
        <v>90</v>
      </c>
      <c r="AD294" s="77" t="s">
        <v>274</v>
      </c>
      <c r="AE294" s="77" t="s">
        <v>192</v>
      </c>
      <c r="AG294" s="77" t="s">
        <v>112</v>
      </c>
    </row>
    <row r="295" spans="1:33" x14ac:dyDescent="0.3">
      <c r="A295" s="77" t="s">
        <v>941</v>
      </c>
      <c r="B295" s="77" t="s">
        <v>942</v>
      </c>
      <c r="G295" s="77" t="s">
        <v>186</v>
      </c>
      <c r="H295" s="77" t="s">
        <v>77</v>
      </c>
      <c r="I295" s="77" t="s">
        <v>78</v>
      </c>
      <c r="J295" s="77" t="s">
        <v>79</v>
      </c>
      <c r="K295" s="77" t="s">
        <v>80</v>
      </c>
      <c r="L295" s="77" t="s">
        <v>943</v>
      </c>
      <c r="M295" s="77" t="s">
        <v>82</v>
      </c>
      <c r="N295" s="77" t="s">
        <v>83</v>
      </c>
      <c r="Q295" s="77" t="s">
        <v>188</v>
      </c>
      <c r="T295" s="77" t="s">
        <v>112</v>
      </c>
      <c r="U295" s="77" t="s">
        <v>85</v>
      </c>
      <c r="V295" s="80" t="s">
        <v>925</v>
      </c>
      <c r="X295" s="77" t="s">
        <v>926</v>
      </c>
      <c r="Y295" s="78" t="s">
        <v>101</v>
      </c>
      <c r="AA295" s="77" t="s">
        <v>191</v>
      </c>
      <c r="AB295" s="77" t="s">
        <v>78</v>
      </c>
      <c r="AC295" s="77" t="s">
        <v>90</v>
      </c>
      <c r="AD295" s="77" t="s">
        <v>274</v>
      </c>
      <c r="AE295" s="77" t="s">
        <v>192</v>
      </c>
      <c r="AG295" s="77" t="s">
        <v>112</v>
      </c>
    </row>
    <row r="296" spans="1:33" x14ac:dyDescent="0.3">
      <c r="A296" s="77" t="s">
        <v>944</v>
      </c>
      <c r="B296" s="77" t="s">
        <v>945</v>
      </c>
      <c r="G296" s="77" t="s">
        <v>186</v>
      </c>
      <c r="H296" s="77" t="s">
        <v>77</v>
      </c>
      <c r="I296" s="77" t="s">
        <v>78</v>
      </c>
      <c r="J296" s="77" t="s">
        <v>79</v>
      </c>
      <c r="K296" s="77" t="s">
        <v>80</v>
      </c>
      <c r="L296" s="77" t="s">
        <v>946</v>
      </c>
      <c r="M296" s="77" t="s">
        <v>82</v>
      </c>
      <c r="N296" s="77" t="s">
        <v>83</v>
      </c>
      <c r="Q296" s="77" t="s">
        <v>188</v>
      </c>
      <c r="T296" s="77" t="s">
        <v>112</v>
      </c>
      <c r="U296" s="77" t="s">
        <v>85</v>
      </c>
      <c r="V296" s="80" t="s">
        <v>947</v>
      </c>
      <c r="X296" s="77" t="s">
        <v>948</v>
      </c>
      <c r="Y296" s="78" t="s">
        <v>88</v>
      </c>
      <c r="AA296" s="77" t="s">
        <v>191</v>
      </c>
      <c r="AB296" s="77" t="s">
        <v>78</v>
      </c>
      <c r="AC296" s="77" t="s">
        <v>90</v>
      </c>
      <c r="AD296" s="77" t="s">
        <v>91</v>
      </c>
      <c r="AE296" s="77" t="s">
        <v>192</v>
      </c>
      <c r="AG296" s="77" t="s">
        <v>112</v>
      </c>
    </row>
    <row r="297" spans="1:33" x14ac:dyDescent="0.3">
      <c r="A297" s="77" t="s">
        <v>949</v>
      </c>
      <c r="B297" s="77" t="s">
        <v>950</v>
      </c>
      <c r="G297" s="77" t="s">
        <v>186</v>
      </c>
      <c r="H297" s="77" t="s">
        <v>77</v>
      </c>
      <c r="I297" s="77" t="s">
        <v>78</v>
      </c>
      <c r="J297" s="77" t="s">
        <v>79</v>
      </c>
      <c r="K297" s="77" t="s">
        <v>80</v>
      </c>
      <c r="L297" s="77" t="s">
        <v>951</v>
      </c>
      <c r="M297" s="77" t="s">
        <v>82</v>
      </c>
      <c r="N297" s="77" t="s">
        <v>83</v>
      </c>
      <c r="Q297" s="77" t="s">
        <v>188</v>
      </c>
      <c r="T297" s="77" t="s">
        <v>112</v>
      </c>
      <c r="U297" s="77" t="s">
        <v>85</v>
      </c>
      <c r="V297" s="80" t="s">
        <v>952</v>
      </c>
      <c r="X297" s="77" t="s">
        <v>953</v>
      </c>
      <c r="Y297" s="78" t="s">
        <v>101</v>
      </c>
      <c r="AA297" s="77" t="s">
        <v>191</v>
      </c>
      <c r="AB297" s="77" t="s">
        <v>78</v>
      </c>
      <c r="AC297" s="77" t="s">
        <v>90</v>
      </c>
      <c r="AD297" s="77" t="s">
        <v>954</v>
      </c>
      <c r="AE297" s="77" t="s">
        <v>192</v>
      </c>
      <c r="AG297" s="77" t="s">
        <v>112</v>
      </c>
    </row>
    <row r="298" spans="1:33" x14ac:dyDescent="0.3">
      <c r="A298" s="77" t="s">
        <v>955</v>
      </c>
      <c r="B298" s="77" t="s">
        <v>956</v>
      </c>
      <c r="G298" s="77" t="s">
        <v>186</v>
      </c>
      <c r="H298" s="77" t="s">
        <v>77</v>
      </c>
      <c r="I298" s="77" t="s">
        <v>78</v>
      </c>
      <c r="J298" s="77" t="s">
        <v>79</v>
      </c>
      <c r="K298" s="77" t="s">
        <v>80</v>
      </c>
      <c r="L298" s="77" t="s">
        <v>957</v>
      </c>
      <c r="M298" s="77" t="s">
        <v>82</v>
      </c>
      <c r="N298" s="77" t="s">
        <v>83</v>
      </c>
      <c r="Q298" s="77" t="s">
        <v>188</v>
      </c>
      <c r="T298" s="77" t="s">
        <v>112</v>
      </c>
      <c r="U298" s="77" t="s">
        <v>85</v>
      </c>
      <c r="V298" s="80" t="s">
        <v>947</v>
      </c>
      <c r="X298" s="77" t="s">
        <v>948</v>
      </c>
      <c r="Y298" s="78" t="s">
        <v>88</v>
      </c>
      <c r="AA298" s="77" t="s">
        <v>191</v>
      </c>
      <c r="AB298" s="77" t="s">
        <v>78</v>
      </c>
      <c r="AC298" s="77" t="s">
        <v>90</v>
      </c>
      <c r="AD298" s="77" t="s">
        <v>91</v>
      </c>
      <c r="AE298" s="77" t="s">
        <v>192</v>
      </c>
      <c r="AG298" s="77" t="s">
        <v>112</v>
      </c>
    </row>
    <row r="299" spans="1:33" x14ac:dyDescent="0.3">
      <c r="A299" s="77" t="s">
        <v>958</v>
      </c>
      <c r="B299" s="77" t="s">
        <v>959</v>
      </c>
      <c r="G299" s="77" t="s">
        <v>186</v>
      </c>
      <c r="H299" s="77" t="s">
        <v>77</v>
      </c>
      <c r="I299" s="77" t="s">
        <v>78</v>
      </c>
      <c r="J299" s="77" t="s">
        <v>79</v>
      </c>
      <c r="K299" s="77" t="s">
        <v>80</v>
      </c>
      <c r="L299" s="77" t="s">
        <v>237</v>
      </c>
      <c r="M299" s="77" t="s">
        <v>82</v>
      </c>
      <c r="N299" s="77" t="s">
        <v>83</v>
      </c>
      <c r="Q299" s="77" t="s">
        <v>188</v>
      </c>
      <c r="U299" s="77" t="s">
        <v>85</v>
      </c>
      <c r="V299" s="80" t="s">
        <v>238</v>
      </c>
      <c r="X299" s="77" t="s">
        <v>239</v>
      </c>
      <c r="Y299" s="78" t="s">
        <v>88</v>
      </c>
      <c r="AA299" s="77" t="s">
        <v>191</v>
      </c>
      <c r="AB299" s="77" t="s">
        <v>78</v>
      </c>
      <c r="AC299" s="77" t="s">
        <v>90</v>
      </c>
      <c r="AD299" s="77" t="s">
        <v>91</v>
      </c>
      <c r="AE299" s="77" t="s">
        <v>192</v>
      </c>
    </row>
    <row r="300" spans="1:33" x14ac:dyDescent="0.3">
      <c r="A300" s="77" t="s">
        <v>960</v>
      </c>
      <c r="B300" s="77" t="s">
        <v>961</v>
      </c>
      <c r="G300" s="77" t="s">
        <v>186</v>
      </c>
      <c r="H300" s="77" t="s">
        <v>77</v>
      </c>
      <c r="I300" s="77" t="s">
        <v>78</v>
      </c>
      <c r="J300" s="77" t="s">
        <v>79</v>
      </c>
      <c r="K300" s="77" t="s">
        <v>80</v>
      </c>
      <c r="L300" s="77" t="s">
        <v>244</v>
      </c>
      <c r="M300" s="77" t="s">
        <v>82</v>
      </c>
      <c r="N300" s="77" t="s">
        <v>83</v>
      </c>
      <c r="Q300" s="77" t="s">
        <v>188</v>
      </c>
      <c r="U300" s="77" t="s">
        <v>85</v>
      </c>
      <c r="V300" s="80" t="s">
        <v>245</v>
      </c>
      <c r="X300" s="77" t="s">
        <v>246</v>
      </c>
      <c r="Y300" s="78" t="s">
        <v>88</v>
      </c>
      <c r="AA300" s="77" t="s">
        <v>191</v>
      </c>
      <c r="AB300" s="77" t="s">
        <v>78</v>
      </c>
      <c r="AC300" s="77" t="s">
        <v>90</v>
      </c>
      <c r="AD300" s="77" t="s">
        <v>91</v>
      </c>
      <c r="AE300" s="77" t="s">
        <v>192</v>
      </c>
    </row>
    <row r="301" spans="1:33" x14ac:dyDescent="0.3">
      <c r="A301" s="77" t="s">
        <v>962</v>
      </c>
      <c r="B301" s="77" t="s">
        <v>963</v>
      </c>
      <c r="G301" s="77" t="s">
        <v>186</v>
      </c>
      <c r="H301" s="77" t="s">
        <v>77</v>
      </c>
      <c r="I301" s="77" t="s">
        <v>78</v>
      </c>
      <c r="J301" s="77" t="s">
        <v>79</v>
      </c>
      <c r="K301" s="77" t="s">
        <v>80</v>
      </c>
      <c r="L301" s="77" t="s">
        <v>251</v>
      </c>
      <c r="M301" s="77" t="s">
        <v>82</v>
      </c>
      <c r="N301" s="77" t="s">
        <v>83</v>
      </c>
      <c r="Q301" s="77" t="s">
        <v>188</v>
      </c>
      <c r="U301" s="77" t="s">
        <v>85</v>
      </c>
      <c r="V301" s="80" t="s">
        <v>252</v>
      </c>
      <c r="X301" s="77" t="s">
        <v>253</v>
      </c>
      <c r="Y301" s="78" t="s">
        <v>101</v>
      </c>
      <c r="AA301" s="77" t="s">
        <v>191</v>
      </c>
      <c r="AB301" s="77" t="s">
        <v>78</v>
      </c>
      <c r="AC301" s="77" t="s">
        <v>90</v>
      </c>
      <c r="AD301" s="77" t="s">
        <v>102</v>
      </c>
      <c r="AE301" s="77" t="s">
        <v>192</v>
      </c>
    </row>
    <row r="302" spans="1:33" x14ac:dyDescent="0.3">
      <c r="A302" s="77" t="s">
        <v>964</v>
      </c>
      <c r="B302" s="77" t="s">
        <v>965</v>
      </c>
      <c r="G302" s="77" t="s">
        <v>186</v>
      </c>
      <c r="H302" s="77" t="s">
        <v>77</v>
      </c>
      <c r="I302" s="77" t="s">
        <v>78</v>
      </c>
      <c r="J302" s="77" t="s">
        <v>79</v>
      </c>
      <c r="K302" s="77" t="s">
        <v>80</v>
      </c>
      <c r="L302" s="77" t="s">
        <v>258</v>
      </c>
      <c r="M302" s="77" t="s">
        <v>82</v>
      </c>
      <c r="N302" s="77" t="s">
        <v>83</v>
      </c>
      <c r="Q302" s="77" t="s">
        <v>188</v>
      </c>
      <c r="U302" s="77" t="s">
        <v>85</v>
      </c>
      <c r="V302" s="80" t="s">
        <v>259</v>
      </c>
      <c r="X302" s="77" t="s">
        <v>260</v>
      </c>
      <c r="Y302" s="78" t="s">
        <v>101</v>
      </c>
      <c r="AA302" s="77" t="s">
        <v>191</v>
      </c>
      <c r="AB302" s="77" t="s">
        <v>78</v>
      </c>
      <c r="AC302" s="77" t="s">
        <v>90</v>
      </c>
      <c r="AD302" s="77" t="s">
        <v>102</v>
      </c>
      <c r="AE302" s="77" t="s">
        <v>192</v>
      </c>
    </row>
    <row r="303" spans="1:33" x14ac:dyDescent="0.3">
      <c r="A303" s="77" t="s">
        <v>966</v>
      </c>
      <c r="B303" s="77" t="s">
        <v>967</v>
      </c>
      <c r="G303" s="77" t="s">
        <v>186</v>
      </c>
      <c r="H303" s="77" t="s">
        <v>77</v>
      </c>
      <c r="I303" s="77" t="s">
        <v>78</v>
      </c>
      <c r="J303" s="77" t="s">
        <v>79</v>
      </c>
      <c r="K303" s="77" t="s">
        <v>80</v>
      </c>
      <c r="L303" s="77" t="s">
        <v>968</v>
      </c>
      <c r="M303" s="77" t="s">
        <v>82</v>
      </c>
      <c r="N303" s="77" t="s">
        <v>83</v>
      </c>
      <c r="Q303" s="77" t="s">
        <v>188</v>
      </c>
      <c r="U303" s="77" t="s">
        <v>85</v>
      </c>
      <c r="V303" s="80" t="s">
        <v>238</v>
      </c>
      <c r="X303" s="77" t="s">
        <v>239</v>
      </c>
      <c r="Y303" s="78" t="s">
        <v>88</v>
      </c>
      <c r="AA303" s="77" t="s">
        <v>191</v>
      </c>
      <c r="AB303" s="77" t="s">
        <v>78</v>
      </c>
      <c r="AC303" s="77" t="s">
        <v>90</v>
      </c>
      <c r="AD303" s="77" t="s">
        <v>91</v>
      </c>
      <c r="AE303" s="77" t="s">
        <v>192</v>
      </c>
    </row>
    <row r="304" spans="1:33" x14ac:dyDescent="0.3">
      <c r="A304" s="77" t="s">
        <v>969</v>
      </c>
      <c r="B304" s="77" t="s">
        <v>970</v>
      </c>
      <c r="G304" s="77" t="s">
        <v>186</v>
      </c>
      <c r="H304" s="77" t="s">
        <v>77</v>
      </c>
      <c r="I304" s="77" t="s">
        <v>78</v>
      </c>
      <c r="J304" s="77" t="s">
        <v>79</v>
      </c>
      <c r="K304" s="77" t="s">
        <v>80</v>
      </c>
      <c r="L304" s="77" t="s">
        <v>971</v>
      </c>
      <c r="M304" s="77" t="s">
        <v>82</v>
      </c>
      <c r="N304" s="77" t="s">
        <v>83</v>
      </c>
      <c r="Q304" s="77" t="s">
        <v>188</v>
      </c>
      <c r="U304" s="77" t="s">
        <v>85</v>
      </c>
      <c r="V304" s="80" t="s">
        <v>245</v>
      </c>
      <c r="X304" s="77" t="s">
        <v>246</v>
      </c>
      <c r="Y304" s="78" t="s">
        <v>88</v>
      </c>
      <c r="AA304" s="77" t="s">
        <v>191</v>
      </c>
      <c r="AB304" s="77" t="s">
        <v>78</v>
      </c>
      <c r="AC304" s="77" t="s">
        <v>90</v>
      </c>
      <c r="AD304" s="77" t="s">
        <v>91</v>
      </c>
      <c r="AE304" s="77" t="s">
        <v>192</v>
      </c>
    </row>
    <row r="305" spans="1:31" x14ac:dyDescent="0.3">
      <c r="A305" s="77" t="s">
        <v>972</v>
      </c>
      <c r="B305" s="77" t="s">
        <v>973</v>
      </c>
      <c r="G305" s="77" t="s">
        <v>186</v>
      </c>
      <c r="H305" s="77" t="s">
        <v>77</v>
      </c>
      <c r="I305" s="77" t="s">
        <v>78</v>
      </c>
      <c r="J305" s="77" t="s">
        <v>79</v>
      </c>
      <c r="K305" s="77" t="s">
        <v>80</v>
      </c>
      <c r="L305" s="77" t="s">
        <v>974</v>
      </c>
      <c r="M305" s="77" t="s">
        <v>82</v>
      </c>
      <c r="N305" s="77" t="s">
        <v>83</v>
      </c>
      <c r="Q305" s="77" t="s">
        <v>188</v>
      </c>
      <c r="U305" s="77" t="s">
        <v>85</v>
      </c>
      <c r="V305" s="80" t="s">
        <v>252</v>
      </c>
      <c r="X305" s="77" t="s">
        <v>253</v>
      </c>
      <c r="Y305" s="78" t="s">
        <v>101</v>
      </c>
      <c r="AA305" s="77" t="s">
        <v>191</v>
      </c>
      <c r="AB305" s="77" t="s">
        <v>78</v>
      </c>
      <c r="AC305" s="77" t="s">
        <v>90</v>
      </c>
      <c r="AD305" s="77" t="s">
        <v>102</v>
      </c>
      <c r="AE305" s="77" t="s">
        <v>192</v>
      </c>
    </row>
    <row r="306" spans="1:31" x14ac:dyDescent="0.3">
      <c r="A306" s="77" t="s">
        <v>975</v>
      </c>
      <c r="B306" s="77" t="s">
        <v>976</v>
      </c>
      <c r="G306" s="77" t="s">
        <v>186</v>
      </c>
      <c r="H306" s="77" t="s">
        <v>77</v>
      </c>
      <c r="I306" s="77" t="s">
        <v>78</v>
      </c>
      <c r="J306" s="77" t="s">
        <v>79</v>
      </c>
      <c r="K306" s="77" t="s">
        <v>80</v>
      </c>
      <c r="L306" s="77" t="s">
        <v>977</v>
      </c>
      <c r="M306" s="77" t="s">
        <v>82</v>
      </c>
      <c r="N306" s="77" t="s">
        <v>83</v>
      </c>
      <c r="Q306" s="77" t="s">
        <v>188</v>
      </c>
      <c r="U306" s="77" t="s">
        <v>85</v>
      </c>
      <c r="V306" s="80" t="s">
        <v>259</v>
      </c>
      <c r="X306" s="77" t="s">
        <v>260</v>
      </c>
      <c r="Y306" s="78" t="s">
        <v>101</v>
      </c>
      <c r="AA306" s="77" t="s">
        <v>191</v>
      </c>
      <c r="AB306" s="77" t="s">
        <v>78</v>
      </c>
      <c r="AC306" s="77" t="s">
        <v>90</v>
      </c>
      <c r="AD306" s="77" t="s">
        <v>102</v>
      </c>
      <c r="AE306" s="77" t="s">
        <v>192</v>
      </c>
    </row>
    <row r="307" spans="1:31" x14ac:dyDescent="0.3">
      <c r="A307" s="77" t="s">
        <v>978</v>
      </c>
      <c r="B307" s="77" t="s">
        <v>979</v>
      </c>
      <c r="G307" s="77" t="s">
        <v>186</v>
      </c>
      <c r="H307" s="77" t="s">
        <v>77</v>
      </c>
      <c r="I307" s="77" t="s">
        <v>78</v>
      </c>
      <c r="J307" s="77" t="s">
        <v>79</v>
      </c>
      <c r="K307" s="77" t="s">
        <v>80</v>
      </c>
      <c r="L307" s="77" t="s">
        <v>980</v>
      </c>
      <c r="M307" s="77" t="s">
        <v>82</v>
      </c>
      <c r="N307" s="77" t="s">
        <v>83</v>
      </c>
      <c r="Q307" s="77" t="s">
        <v>188</v>
      </c>
      <c r="U307" s="77" t="s">
        <v>85</v>
      </c>
      <c r="V307" s="80" t="s">
        <v>238</v>
      </c>
      <c r="X307" s="77" t="s">
        <v>239</v>
      </c>
      <c r="Y307" s="78" t="s">
        <v>88</v>
      </c>
      <c r="AA307" s="77" t="s">
        <v>191</v>
      </c>
      <c r="AB307" s="77" t="s">
        <v>78</v>
      </c>
      <c r="AC307" s="77" t="s">
        <v>90</v>
      </c>
      <c r="AD307" s="77" t="s">
        <v>91</v>
      </c>
      <c r="AE307" s="77" t="s">
        <v>192</v>
      </c>
    </row>
    <row r="308" spans="1:31" x14ac:dyDescent="0.3">
      <c r="A308" s="77" t="s">
        <v>981</v>
      </c>
      <c r="B308" s="77" t="s">
        <v>982</v>
      </c>
      <c r="G308" s="77" t="s">
        <v>186</v>
      </c>
      <c r="H308" s="77" t="s">
        <v>77</v>
      </c>
      <c r="I308" s="77" t="s">
        <v>78</v>
      </c>
      <c r="J308" s="77" t="s">
        <v>79</v>
      </c>
      <c r="K308" s="77" t="s">
        <v>80</v>
      </c>
      <c r="L308" s="77" t="s">
        <v>983</v>
      </c>
      <c r="M308" s="77" t="s">
        <v>82</v>
      </c>
      <c r="N308" s="77" t="s">
        <v>83</v>
      </c>
      <c r="Q308" s="77" t="s">
        <v>188</v>
      </c>
      <c r="U308" s="77" t="s">
        <v>85</v>
      </c>
      <c r="V308" s="80" t="s">
        <v>245</v>
      </c>
      <c r="X308" s="77" t="s">
        <v>246</v>
      </c>
      <c r="Y308" s="78" t="s">
        <v>88</v>
      </c>
      <c r="AA308" s="77" t="s">
        <v>191</v>
      </c>
      <c r="AB308" s="77" t="s">
        <v>78</v>
      </c>
      <c r="AC308" s="77" t="s">
        <v>90</v>
      </c>
      <c r="AD308" s="77" t="s">
        <v>91</v>
      </c>
      <c r="AE308" s="77" t="s">
        <v>192</v>
      </c>
    </row>
    <row r="309" spans="1:31" x14ac:dyDescent="0.3">
      <c r="A309" s="77" t="s">
        <v>984</v>
      </c>
      <c r="B309" s="77" t="s">
        <v>985</v>
      </c>
      <c r="G309" s="77" t="s">
        <v>186</v>
      </c>
      <c r="H309" s="77" t="s">
        <v>77</v>
      </c>
      <c r="I309" s="77" t="s">
        <v>78</v>
      </c>
      <c r="J309" s="77" t="s">
        <v>79</v>
      </c>
      <c r="K309" s="77" t="s">
        <v>80</v>
      </c>
      <c r="L309" s="77" t="s">
        <v>986</v>
      </c>
      <c r="M309" s="77" t="s">
        <v>82</v>
      </c>
      <c r="N309" s="77" t="s">
        <v>83</v>
      </c>
      <c r="Q309" s="77" t="s">
        <v>188</v>
      </c>
      <c r="U309" s="77" t="s">
        <v>85</v>
      </c>
      <c r="V309" s="80" t="s">
        <v>252</v>
      </c>
      <c r="X309" s="77" t="s">
        <v>253</v>
      </c>
      <c r="Y309" s="78" t="s">
        <v>101</v>
      </c>
      <c r="AA309" s="77" t="s">
        <v>191</v>
      </c>
      <c r="AB309" s="77" t="s">
        <v>78</v>
      </c>
      <c r="AC309" s="77" t="s">
        <v>90</v>
      </c>
      <c r="AD309" s="77" t="s">
        <v>102</v>
      </c>
      <c r="AE309" s="77" t="s">
        <v>192</v>
      </c>
    </row>
    <row r="310" spans="1:31" x14ac:dyDescent="0.3">
      <c r="A310" s="77" t="s">
        <v>987</v>
      </c>
      <c r="B310" s="77" t="s">
        <v>988</v>
      </c>
      <c r="G310" s="77" t="s">
        <v>186</v>
      </c>
      <c r="H310" s="77" t="s">
        <v>77</v>
      </c>
      <c r="I310" s="77" t="s">
        <v>78</v>
      </c>
      <c r="J310" s="77" t="s">
        <v>79</v>
      </c>
      <c r="K310" s="77" t="s">
        <v>80</v>
      </c>
      <c r="L310" s="77" t="s">
        <v>989</v>
      </c>
      <c r="M310" s="77" t="s">
        <v>82</v>
      </c>
      <c r="N310" s="77" t="s">
        <v>83</v>
      </c>
      <c r="Q310" s="77" t="s">
        <v>188</v>
      </c>
      <c r="U310" s="77" t="s">
        <v>85</v>
      </c>
      <c r="V310" s="80" t="s">
        <v>259</v>
      </c>
      <c r="X310" s="77" t="s">
        <v>260</v>
      </c>
      <c r="Y310" s="78" t="s">
        <v>101</v>
      </c>
      <c r="AA310" s="77" t="s">
        <v>191</v>
      </c>
      <c r="AB310" s="77" t="s">
        <v>78</v>
      </c>
      <c r="AC310" s="77" t="s">
        <v>90</v>
      </c>
      <c r="AD310" s="77" t="s">
        <v>102</v>
      </c>
      <c r="AE310" s="77" t="s">
        <v>192</v>
      </c>
    </row>
    <row r="311" spans="1:31" x14ac:dyDescent="0.3">
      <c r="A311" s="77" t="s">
        <v>990</v>
      </c>
      <c r="B311" s="77" t="s">
        <v>991</v>
      </c>
      <c r="G311" s="77" t="s">
        <v>186</v>
      </c>
      <c r="H311" s="77" t="s">
        <v>77</v>
      </c>
      <c r="I311" s="77" t="s">
        <v>78</v>
      </c>
      <c r="J311" s="77" t="s">
        <v>79</v>
      </c>
      <c r="K311" s="77" t="s">
        <v>80</v>
      </c>
      <c r="L311" s="77" t="s">
        <v>992</v>
      </c>
      <c r="M311" s="77" t="s">
        <v>82</v>
      </c>
      <c r="N311" s="77" t="s">
        <v>83</v>
      </c>
      <c r="Q311" s="77" t="s">
        <v>188</v>
      </c>
      <c r="U311" s="77" t="s">
        <v>85</v>
      </c>
      <c r="V311" s="80" t="s">
        <v>238</v>
      </c>
      <c r="X311" s="77" t="s">
        <v>239</v>
      </c>
      <c r="Y311" s="78" t="s">
        <v>88</v>
      </c>
      <c r="AA311" s="77" t="s">
        <v>191</v>
      </c>
      <c r="AB311" s="77" t="s">
        <v>78</v>
      </c>
      <c r="AC311" s="77" t="s">
        <v>90</v>
      </c>
      <c r="AD311" s="77" t="s">
        <v>91</v>
      </c>
      <c r="AE311" s="77" t="s">
        <v>192</v>
      </c>
    </row>
    <row r="312" spans="1:31" x14ac:dyDescent="0.3">
      <c r="A312" s="77" t="s">
        <v>993</v>
      </c>
      <c r="B312" s="77" t="s">
        <v>994</v>
      </c>
      <c r="G312" s="77" t="s">
        <v>186</v>
      </c>
      <c r="H312" s="77" t="s">
        <v>77</v>
      </c>
      <c r="I312" s="77" t="s">
        <v>78</v>
      </c>
      <c r="J312" s="77" t="s">
        <v>79</v>
      </c>
      <c r="K312" s="77" t="s">
        <v>80</v>
      </c>
      <c r="L312" s="77" t="s">
        <v>992</v>
      </c>
      <c r="M312" s="77" t="s">
        <v>82</v>
      </c>
      <c r="N312" s="77" t="s">
        <v>83</v>
      </c>
      <c r="Q312" s="77" t="s">
        <v>188</v>
      </c>
      <c r="U312" s="77" t="s">
        <v>85</v>
      </c>
      <c r="V312" s="80" t="s">
        <v>238</v>
      </c>
      <c r="X312" s="77" t="s">
        <v>239</v>
      </c>
      <c r="Y312" s="78" t="s">
        <v>88</v>
      </c>
      <c r="AA312" s="77" t="s">
        <v>191</v>
      </c>
      <c r="AB312" s="77" t="s">
        <v>78</v>
      </c>
      <c r="AC312" s="77" t="s">
        <v>90</v>
      </c>
      <c r="AD312" s="77" t="s">
        <v>91</v>
      </c>
      <c r="AE312" s="77" t="s">
        <v>192</v>
      </c>
    </row>
    <row r="313" spans="1:31" x14ac:dyDescent="0.3">
      <c r="A313" s="77" t="s">
        <v>995</v>
      </c>
      <c r="B313" s="77" t="s">
        <v>996</v>
      </c>
      <c r="G313" s="77" t="s">
        <v>186</v>
      </c>
      <c r="H313" s="77" t="s">
        <v>77</v>
      </c>
      <c r="I313" s="77" t="s">
        <v>78</v>
      </c>
      <c r="J313" s="77" t="s">
        <v>79</v>
      </c>
      <c r="K313" s="77" t="s">
        <v>80</v>
      </c>
      <c r="L313" s="77" t="s">
        <v>992</v>
      </c>
      <c r="M313" s="77" t="s">
        <v>82</v>
      </c>
      <c r="N313" s="77" t="s">
        <v>83</v>
      </c>
      <c r="Q313" s="77" t="s">
        <v>188</v>
      </c>
      <c r="U313" s="77" t="s">
        <v>85</v>
      </c>
      <c r="V313" s="80" t="s">
        <v>238</v>
      </c>
      <c r="X313" s="77" t="s">
        <v>239</v>
      </c>
      <c r="Y313" s="78" t="s">
        <v>88</v>
      </c>
      <c r="AA313" s="77" t="s">
        <v>191</v>
      </c>
      <c r="AB313" s="77" t="s">
        <v>78</v>
      </c>
      <c r="AC313" s="77" t="s">
        <v>90</v>
      </c>
      <c r="AD313" s="77" t="s">
        <v>91</v>
      </c>
      <c r="AE313" s="77" t="s">
        <v>192</v>
      </c>
    </row>
    <row r="314" spans="1:31" x14ac:dyDescent="0.3">
      <c r="A314" s="77" t="s">
        <v>997</v>
      </c>
      <c r="B314" s="77" t="s">
        <v>998</v>
      </c>
      <c r="G314" s="77" t="s">
        <v>186</v>
      </c>
      <c r="H314" s="77" t="s">
        <v>77</v>
      </c>
      <c r="I314" s="77" t="s">
        <v>78</v>
      </c>
      <c r="J314" s="77" t="s">
        <v>79</v>
      </c>
      <c r="K314" s="77" t="s">
        <v>80</v>
      </c>
      <c r="L314" s="77" t="s">
        <v>992</v>
      </c>
      <c r="M314" s="77" t="s">
        <v>82</v>
      </c>
      <c r="N314" s="77" t="s">
        <v>83</v>
      </c>
      <c r="Q314" s="77" t="s">
        <v>188</v>
      </c>
      <c r="U314" s="77" t="s">
        <v>85</v>
      </c>
      <c r="V314" s="80" t="s">
        <v>238</v>
      </c>
      <c r="X314" s="77" t="s">
        <v>239</v>
      </c>
      <c r="Y314" s="78" t="s">
        <v>88</v>
      </c>
      <c r="AA314" s="77" t="s">
        <v>191</v>
      </c>
      <c r="AB314" s="77" t="s">
        <v>78</v>
      </c>
      <c r="AC314" s="77" t="s">
        <v>90</v>
      </c>
      <c r="AD314" s="77" t="s">
        <v>91</v>
      </c>
      <c r="AE314" s="77" t="s">
        <v>192</v>
      </c>
    </row>
    <row r="315" spans="1:31" x14ac:dyDescent="0.3">
      <c r="A315" s="77" t="s">
        <v>999</v>
      </c>
      <c r="B315" s="77" t="s">
        <v>1000</v>
      </c>
      <c r="G315" s="77" t="s">
        <v>186</v>
      </c>
      <c r="H315" s="77" t="s">
        <v>77</v>
      </c>
      <c r="I315" s="77" t="s">
        <v>78</v>
      </c>
      <c r="J315" s="77" t="s">
        <v>79</v>
      </c>
      <c r="K315" s="77" t="s">
        <v>80</v>
      </c>
      <c r="L315" s="77" t="s">
        <v>992</v>
      </c>
      <c r="M315" s="77" t="s">
        <v>82</v>
      </c>
      <c r="N315" s="77" t="s">
        <v>83</v>
      </c>
      <c r="Q315" s="77" t="s">
        <v>188</v>
      </c>
      <c r="U315" s="77" t="s">
        <v>85</v>
      </c>
      <c r="V315" s="80" t="s">
        <v>238</v>
      </c>
      <c r="X315" s="77" t="s">
        <v>239</v>
      </c>
      <c r="Y315" s="78" t="s">
        <v>88</v>
      </c>
      <c r="AA315" s="77" t="s">
        <v>191</v>
      </c>
      <c r="AB315" s="77" t="s">
        <v>78</v>
      </c>
      <c r="AC315" s="77" t="s">
        <v>90</v>
      </c>
      <c r="AD315" s="77" t="s">
        <v>91</v>
      </c>
      <c r="AE315" s="77" t="s">
        <v>192</v>
      </c>
    </row>
    <row r="316" spans="1:31" x14ac:dyDescent="0.3">
      <c r="A316" s="77" t="s">
        <v>1001</v>
      </c>
      <c r="B316" s="77" t="s">
        <v>1002</v>
      </c>
      <c r="G316" s="77" t="s">
        <v>186</v>
      </c>
      <c r="H316" s="77" t="s">
        <v>77</v>
      </c>
      <c r="I316" s="77" t="s">
        <v>78</v>
      </c>
      <c r="J316" s="77" t="s">
        <v>79</v>
      </c>
      <c r="K316" s="77" t="s">
        <v>80</v>
      </c>
      <c r="L316" s="77" t="s">
        <v>992</v>
      </c>
      <c r="M316" s="77" t="s">
        <v>82</v>
      </c>
      <c r="N316" s="77" t="s">
        <v>83</v>
      </c>
      <c r="Q316" s="77" t="s">
        <v>188</v>
      </c>
      <c r="U316" s="77" t="s">
        <v>85</v>
      </c>
      <c r="V316" s="80" t="s">
        <v>238</v>
      </c>
      <c r="X316" s="77" t="s">
        <v>239</v>
      </c>
      <c r="Y316" s="78" t="s">
        <v>88</v>
      </c>
      <c r="AA316" s="77" t="s">
        <v>191</v>
      </c>
      <c r="AB316" s="77" t="s">
        <v>78</v>
      </c>
      <c r="AC316" s="77" t="s">
        <v>90</v>
      </c>
      <c r="AD316" s="77" t="s">
        <v>91</v>
      </c>
      <c r="AE316" s="77" t="s">
        <v>192</v>
      </c>
    </row>
    <row r="317" spans="1:31" x14ac:dyDescent="0.3">
      <c r="A317" s="77" t="s">
        <v>1003</v>
      </c>
      <c r="B317" s="77" t="s">
        <v>1004</v>
      </c>
      <c r="G317" s="77" t="s">
        <v>186</v>
      </c>
      <c r="H317" s="77" t="s">
        <v>77</v>
      </c>
      <c r="I317" s="77" t="s">
        <v>78</v>
      </c>
      <c r="J317" s="77" t="s">
        <v>79</v>
      </c>
      <c r="K317" s="77" t="s">
        <v>80</v>
      </c>
      <c r="L317" s="77" t="s">
        <v>992</v>
      </c>
      <c r="M317" s="77" t="s">
        <v>82</v>
      </c>
      <c r="N317" s="77" t="s">
        <v>83</v>
      </c>
      <c r="Q317" s="77" t="s">
        <v>188</v>
      </c>
      <c r="U317" s="77" t="s">
        <v>85</v>
      </c>
      <c r="V317" s="80" t="s">
        <v>238</v>
      </c>
      <c r="X317" s="77" t="s">
        <v>239</v>
      </c>
      <c r="Y317" s="78" t="s">
        <v>88</v>
      </c>
      <c r="AA317" s="77" t="s">
        <v>191</v>
      </c>
      <c r="AB317" s="77" t="s">
        <v>78</v>
      </c>
      <c r="AC317" s="77" t="s">
        <v>90</v>
      </c>
      <c r="AD317" s="77" t="s">
        <v>91</v>
      </c>
      <c r="AE317" s="77" t="s">
        <v>192</v>
      </c>
    </row>
    <row r="318" spans="1:31" x14ac:dyDescent="0.3">
      <c r="A318" s="77" t="s">
        <v>1005</v>
      </c>
      <c r="B318" s="77" t="s">
        <v>1006</v>
      </c>
      <c r="G318" s="77" t="s">
        <v>186</v>
      </c>
      <c r="H318" s="77" t="s">
        <v>77</v>
      </c>
      <c r="I318" s="77" t="s">
        <v>78</v>
      </c>
      <c r="J318" s="77" t="s">
        <v>79</v>
      </c>
      <c r="K318" s="77" t="s">
        <v>80</v>
      </c>
      <c r="L318" s="77" t="s">
        <v>992</v>
      </c>
      <c r="M318" s="77" t="s">
        <v>82</v>
      </c>
      <c r="N318" s="77" t="s">
        <v>83</v>
      </c>
      <c r="Q318" s="77" t="s">
        <v>188</v>
      </c>
      <c r="U318" s="77" t="s">
        <v>85</v>
      </c>
      <c r="V318" s="80" t="s">
        <v>238</v>
      </c>
      <c r="X318" s="77" t="s">
        <v>239</v>
      </c>
      <c r="Y318" s="78" t="s">
        <v>88</v>
      </c>
      <c r="AA318" s="77" t="s">
        <v>191</v>
      </c>
      <c r="AB318" s="77" t="s">
        <v>78</v>
      </c>
      <c r="AC318" s="77" t="s">
        <v>90</v>
      </c>
      <c r="AD318" s="77" t="s">
        <v>91</v>
      </c>
      <c r="AE318" s="77" t="s">
        <v>192</v>
      </c>
    </row>
    <row r="319" spans="1:31" x14ac:dyDescent="0.3">
      <c r="A319" s="77" t="s">
        <v>1007</v>
      </c>
      <c r="B319" s="77" t="s">
        <v>1008</v>
      </c>
      <c r="G319" s="77" t="s">
        <v>186</v>
      </c>
      <c r="H319" s="77" t="s">
        <v>77</v>
      </c>
      <c r="I319" s="77" t="s">
        <v>78</v>
      </c>
      <c r="J319" s="77" t="s">
        <v>79</v>
      </c>
      <c r="K319" s="77" t="s">
        <v>80</v>
      </c>
      <c r="L319" s="77" t="s">
        <v>992</v>
      </c>
      <c r="M319" s="77" t="s">
        <v>82</v>
      </c>
      <c r="N319" s="77" t="s">
        <v>83</v>
      </c>
      <c r="Q319" s="77" t="s">
        <v>188</v>
      </c>
      <c r="U319" s="77" t="s">
        <v>85</v>
      </c>
      <c r="V319" s="80" t="s">
        <v>238</v>
      </c>
      <c r="X319" s="77" t="s">
        <v>239</v>
      </c>
      <c r="Y319" s="78" t="s">
        <v>88</v>
      </c>
      <c r="AA319" s="77" t="s">
        <v>191</v>
      </c>
      <c r="AB319" s="77" t="s">
        <v>78</v>
      </c>
      <c r="AC319" s="77" t="s">
        <v>90</v>
      </c>
      <c r="AD319" s="77" t="s">
        <v>91</v>
      </c>
      <c r="AE319" s="77" t="s">
        <v>192</v>
      </c>
    </row>
    <row r="320" spans="1:31" x14ac:dyDescent="0.3">
      <c r="A320" s="77" t="s">
        <v>1009</v>
      </c>
      <c r="B320" s="77" t="s">
        <v>1010</v>
      </c>
      <c r="G320" s="77" t="s">
        <v>186</v>
      </c>
      <c r="H320" s="77" t="s">
        <v>77</v>
      </c>
      <c r="I320" s="77" t="s">
        <v>78</v>
      </c>
      <c r="J320" s="77" t="s">
        <v>79</v>
      </c>
      <c r="K320" s="77" t="s">
        <v>80</v>
      </c>
      <c r="L320" s="77" t="s">
        <v>992</v>
      </c>
      <c r="M320" s="77" t="s">
        <v>82</v>
      </c>
      <c r="N320" s="77" t="s">
        <v>83</v>
      </c>
      <c r="Q320" s="77" t="s">
        <v>188</v>
      </c>
      <c r="U320" s="77" t="s">
        <v>85</v>
      </c>
      <c r="V320" s="80" t="s">
        <v>238</v>
      </c>
      <c r="X320" s="77" t="s">
        <v>239</v>
      </c>
      <c r="Y320" s="78" t="s">
        <v>88</v>
      </c>
      <c r="AA320" s="77" t="s">
        <v>191</v>
      </c>
      <c r="AB320" s="77" t="s">
        <v>78</v>
      </c>
      <c r="AC320" s="77" t="s">
        <v>90</v>
      </c>
      <c r="AD320" s="77" t="s">
        <v>91</v>
      </c>
      <c r="AE320" s="77" t="s">
        <v>192</v>
      </c>
    </row>
    <row r="321" spans="1:31" x14ac:dyDescent="0.3">
      <c r="A321" s="77" t="s">
        <v>1011</v>
      </c>
      <c r="B321" s="77" t="s">
        <v>1012</v>
      </c>
      <c r="G321" s="77" t="s">
        <v>186</v>
      </c>
      <c r="H321" s="77" t="s">
        <v>77</v>
      </c>
      <c r="I321" s="77" t="s">
        <v>78</v>
      </c>
      <c r="J321" s="77" t="s">
        <v>79</v>
      </c>
      <c r="K321" s="77" t="s">
        <v>80</v>
      </c>
      <c r="L321" s="77" t="s">
        <v>992</v>
      </c>
      <c r="M321" s="77" t="s">
        <v>82</v>
      </c>
      <c r="N321" s="77" t="s">
        <v>83</v>
      </c>
      <c r="Q321" s="77" t="s">
        <v>188</v>
      </c>
      <c r="U321" s="77" t="s">
        <v>85</v>
      </c>
      <c r="V321" s="80" t="s">
        <v>238</v>
      </c>
      <c r="X321" s="77" t="s">
        <v>239</v>
      </c>
      <c r="Y321" s="78" t="s">
        <v>88</v>
      </c>
      <c r="AA321" s="77" t="s">
        <v>191</v>
      </c>
      <c r="AB321" s="77" t="s">
        <v>78</v>
      </c>
      <c r="AC321" s="77" t="s">
        <v>90</v>
      </c>
      <c r="AD321" s="77" t="s">
        <v>91</v>
      </c>
      <c r="AE321" s="77" t="s">
        <v>192</v>
      </c>
    </row>
    <row r="322" spans="1:31" x14ac:dyDescent="0.3">
      <c r="A322" s="77" t="s">
        <v>1013</v>
      </c>
      <c r="B322" s="77" t="s">
        <v>1014</v>
      </c>
      <c r="G322" s="77" t="s">
        <v>186</v>
      </c>
      <c r="H322" s="77" t="s">
        <v>77</v>
      </c>
      <c r="I322" s="77" t="s">
        <v>78</v>
      </c>
      <c r="J322" s="77" t="s">
        <v>79</v>
      </c>
      <c r="K322" s="77" t="s">
        <v>80</v>
      </c>
      <c r="L322" s="77" t="s">
        <v>1015</v>
      </c>
      <c r="M322" s="77" t="s">
        <v>82</v>
      </c>
      <c r="N322" s="77" t="s">
        <v>83</v>
      </c>
      <c r="Q322" s="77" t="s">
        <v>188</v>
      </c>
      <c r="U322" s="77" t="s">
        <v>85</v>
      </c>
      <c r="V322" s="80" t="s">
        <v>245</v>
      </c>
      <c r="X322" s="77" t="s">
        <v>246</v>
      </c>
      <c r="Y322" s="78" t="s">
        <v>88</v>
      </c>
      <c r="AA322" s="77" t="s">
        <v>191</v>
      </c>
      <c r="AB322" s="77" t="s">
        <v>78</v>
      </c>
      <c r="AC322" s="77" t="s">
        <v>90</v>
      </c>
      <c r="AD322" s="77" t="s">
        <v>91</v>
      </c>
      <c r="AE322" s="77" t="s">
        <v>192</v>
      </c>
    </row>
    <row r="323" spans="1:31" x14ac:dyDescent="0.3">
      <c r="A323" s="77" t="s">
        <v>1016</v>
      </c>
      <c r="B323" s="77" t="s">
        <v>1017</v>
      </c>
      <c r="G323" s="77" t="s">
        <v>186</v>
      </c>
      <c r="H323" s="77" t="s">
        <v>77</v>
      </c>
      <c r="I323" s="77" t="s">
        <v>78</v>
      </c>
      <c r="J323" s="77" t="s">
        <v>79</v>
      </c>
      <c r="K323" s="77" t="s">
        <v>80</v>
      </c>
      <c r="L323" s="77" t="s">
        <v>1015</v>
      </c>
      <c r="M323" s="77" t="s">
        <v>82</v>
      </c>
      <c r="N323" s="77" t="s">
        <v>83</v>
      </c>
      <c r="Q323" s="77" t="s">
        <v>188</v>
      </c>
      <c r="U323" s="77" t="s">
        <v>85</v>
      </c>
      <c r="V323" s="80" t="s">
        <v>245</v>
      </c>
      <c r="X323" s="77" t="s">
        <v>246</v>
      </c>
      <c r="Y323" s="78" t="s">
        <v>88</v>
      </c>
      <c r="AA323" s="77" t="s">
        <v>191</v>
      </c>
      <c r="AB323" s="77" t="s">
        <v>78</v>
      </c>
      <c r="AC323" s="77" t="s">
        <v>90</v>
      </c>
      <c r="AD323" s="77" t="s">
        <v>91</v>
      </c>
      <c r="AE323" s="77" t="s">
        <v>192</v>
      </c>
    </row>
    <row r="324" spans="1:31" x14ac:dyDescent="0.3">
      <c r="A324" s="77" t="s">
        <v>1018</v>
      </c>
      <c r="B324" s="77" t="s">
        <v>1019</v>
      </c>
      <c r="G324" s="77" t="s">
        <v>186</v>
      </c>
      <c r="H324" s="77" t="s">
        <v>77</v>
      </c>
      <c r="I324" s="77" t="s">
        <v>78</v>
      </c>
      <c r="J324" s="77" t="s">
        <v>79</v>
      </c>
      <c r="K324" s="77" t="s">
        <v>80</v>
      </c>
      <c r="L324" s="77" t="s">
        <v>1015</v>
      </c>
      <c r="M324" s="77" t="s">
        <v>82</v>
      </c>
      <c r="N324" s="77" t="s">
        <v>83</v>
      </c>
      <c r="Q324" s="77" t="s">
        <v>188</v>
      </c>
      <c r="U324" s="77" t="s">
        <v>85</v>
      </c>
      <c r="V324" s="80" t="s">
        <v>245</v>
      </c>
      <c r="X324" s="77" t="s">
        <v>246</v>
      </c>
      <c r="Y324" s="78" t="s">
        <v>88</v>
      </c>
      <c r="AA324" s="77" t="s">
        <v>191</v>
      </c>
      <c r="AB324" s="77" t="s">
        <v>78</v>
      </c>
      <c r="AC324" s="77" t="s">
        <v>90</v>
      </c>
      <c r="AD324" s="77" t="s">
        <v>91</v>
      </c>
      <c r="AE324" s="77" t="s">
        <v>192</v>
      </c>
    </row>
    <row r="325" spans="1:31" x14ac:dyDescent="0.3">
      <c r="A325" s="77" t="s">
        <v>1020</v>
      </c>
      <c r="B325" s="77" t="s">
        <v>1021</v>
      </c>
      <c r="G325" s="77" t="s">
        <v>186</v>
      </c>
      <c r="H325" s="77" t="s">
        <v>77</v>
      </c>
      <c r="I325" s="77" t="s">
        <v>78</v>
      </c>
      <c r="J325" s="77" t="s">
        <v>79</v>
      </c>
      <c r="K325" s="77" t="s">
        <v>80</v>
      </c>
      <c r="L325" s="77" t="s">
        <v>1015</v>
      </c>
      <c r="M325" s="77" t="s">
        <v>82</v>
      </c>
      <c r="N325" s="77" t="s">
        <v>83</v>
      </c>
      <c r="Q325" s="77" t="s">
        <v>188</v>
      </c>
      <c r="U325" s="77" t="s">
        <v>85</v>
      </c>
      <c r="V325" s="80" t="s">
        <v>245</v>
      </c>
      <c r="X325" s="77" t="s">
        <v>246</v>
      </c>
      <c r="Y325" s="78" t="s">
        <v>88</v>
      </c>
      <c r="AA325" s="77" t="s">
        <v>191</v>
      </c>
      <c r="AB325" s="77" t="s">
        <v>78</v>
      </c>
      <c r="AC325" s="77" t="s">
        <v>90</v>
      </c>
      <c r="AD325" s="77" t="s">
        <v>91</v>
      </c>
      <c r="AE325" s="77" t="s">
        <v>192</v>
      </c>
    </row>
    <row r="326" spans="1:31" x14ac:dyDescent="0.3">
      <c r="A326" s="77" t="s">
        <v>1022</v>
      </c>
      <c r="B326" s="77" t="s">
        <v>1023</v>
      </c>
      <c r="G326" s="77" t="s">
        <v>186</v>
      </c>
      <c r="H326" s="77" t="s">
        <v>77</v>
      </c>
      <c r="I326" s="77" t="s">
        <v>78</v>
      </c>
      <c r="J326" s="77" t="s">
        <v>79</v>
      </c>
      <c r="K326" s="77" t="s">
        <v>80</v>
      </c>
      <c r="L326" s="77" t="s">
        <v>1015</v>
      </c>
      <c r="M326" s="77" t="s">
        <v>82</v>
      </c>
      <c r="N326" s="77" t="s">
        <v>83</v>
      </c>
      <c r="Q326" s="77" t="s">
        <v>188</v>
      </c>
      <c r="U326" s="77" t="s">
        <v>85</v>
      </c>
      <c r="V326" s="80" t="s">
        <v>245</v>
      </c>
      <c r="X326" s="77" t="s">
        <v>246</v>
      </c>
      <c r="Y326" s="78" t="s">
        <v>88</v>
      </c>
      <c r="AA326" s="77" t="s">
        <v>191</v>
      </c>
      <c r="AB326" s="77" t="s">
        <v>78</v>
      </c>
      <c r="AC326" s="77" t="s">
        <v>90</v>
      </c>
      <c r="AD326" s="77" t="s">
        <v>91</v>
      </c>
      <c r="AE326" s="77" t="s">
        <v>192</v>
      </c>
    </row>
    <row r="327" spans="1:31" x14ac:dyDescent="0.3">
      <c r="A327" s="77" t="s">
        <v>1024</v>
      </c>
      <c r="B327" s="77" t="s">
        <v>1025</v>
      </c>
      <c r="G327" s="77" t="s">
        <v>186</v>
      </c>
      <c r="H327" s="77" t="s">
        <v>77</v>
      </c>
      <c r="I327" s="77" t="s">
        <v>78</v>
      </c>
      <c r="J327" s="77" t="s">
        <v>79</v>
      </c>
      <c r="K327" s="77" t="s">
        <v>80</v>
      </c>
      <c r="L327" s="77" t="s">
        <v>1015</v>
      </c>
      <c r="M327" s="77" t="s">
        <v>82</v>
      </c>
      <c r="N327" s="77" t="s">
        <v>83</v>
      </c>
      <c r="Q327" s="77" t="s">
        <v>188</v>
      </c>
      <c r="U327" s="77" t="s">
        <v>85</v>
      </c>
      <c r="V327" s="80" t="s">
        <v>245</v>
      </c>
      <c r="X327" s="77" t="s">
        <v>246</v>
      </c>
      <c r="Y327" s="78" t="s">
        <v>88</v>
      </c>
      <c r="AA327" s="77" t="s">
        <v>191</v>
      </c>
      <c r="AB327" s="77" t="s">
        <v>78</v>
      </c>
      <c r="AC327" s="77" t="s">
        <v>90</v>
      </c>
      <c r="AD327" s="77" t="s">
        <v>91</v>
      </c>
      <c r="AE327" s="77" t="s">
        <v>192</v>
      </c>
    </row>
    <row r="328" spans="1:31" x14ac:dyDescent="0.3">
      <c r="A328" s="77" t="s">
        <v>1026</v>
      </c>
      <c r="B328" s="77" t="s">
        <v>1027</v>
      </c>
      <c r="G328" s="77" t="s">
        <v>186</v>
      </c>
      <c r="H328" s="77" t="s">
        <v>77</v>
      </c>
      <c r="I328" s="77" t="s">
        <v>78</v>
      </c>
      <c r="J328" s="77" t="s">
        <v>79</v>
      </c>
      <c r="K328" s="77" t="s">
        <v>80</v>
      </c>
      <c r="L328" s="77" t="s">
        <v>1015</v>
      </c>
      <c r="M328" s="77" t="s">
        <v>82</v>
      </c>
      <c r="N328" s="77" t="s">
        <v>83</v>
      </c>
      <c r="Q328" s="77" t="s">
        <v>188</v>
      </c>
      <c r="U328" s="77" t="s">
        <v>85</v>
      </c>
      <c r="V328" s="80" t="s">
        <v>245</v>
      </c>
      <c r="X328" s="77" t="s">
        <v>246</v>
      </c>
      <c r="Y328" s="78" t="s">
        <v>88</v>
      </c>
      <c r="AA328" s="77" t="s">
        <v>191</v>
      </c>
      <c r="AB328" s="77" t="s">
        <v>78</v>
      </c>
      <c r="AC328" s="77" t="s">
        <v>90</v>
      </c>
      <c r="AD328" s="77" t="s">
        <v>91</v>
      </c>
      <c r="AE328" s="77" t="s">
        <v>192</v>
      </c>
    </row>
    <row r="329" spans="1:31" x14ac:dyDescent="0.3">
      <c r="A329" s="77" t="s">
        <v>1028</v>
      </c>
      <c r="B329" s="77" t="s">
        <v>1029</v>
      </c>
      <c r="G329" s="77" t="s">
        <v>186</v>
      </c>
      <c r="H329" s="77" t="s">
        <v>77</v>
      </c>
      <c r="I329" s="77" t="s">
        <v>78</v>
      </c>
      <c r="J329" s="77" t="s">
        <v>79</v>
      </c>
      <c r="K329" s="77" t="s">
        <v>80</v>
      </c>
      <c r="L329" s="77" t="s">
        <v>1015</v>
      </c>
      <c r="M329" s="77" t="s">
        <v>82</v>
      </c>
      <c r="N329" s="77" t="s">
        <v>83</v>
      </c>
      <c r="Q329" s="77" t="s">
        <v>188</v>
      </c>
      <c r="U329" s="77" t="s">
        <v>85</v>
      </c>
      <c r="V329" s="80" t="s">
        <v>245</v>
      </c>
      <c r="X329" s="77" t="s">
        <v>246</v>
      </c>
      <c r="Y329" s="78" t="s">
        <v>88</v>
      </c>
      <c r="AA329" s="77" t="s">
        <v>191</v>
      </c>
      <c r="AB329" s="77" t="s">
        <v>78</v>
      </c>
      <c r="AC329" s="77" t="s">
        <v>90</v>
      </c>
      <c r="AD329" s="77" t="s">
        <v>91</v>
      </c>
      <c r="AE329" s="77" t="s">
        <v>192</v>
      </c>
    </row>
    <row r="330" spans="1:31" x14ac:dyDescent="0.3">
      <c r="A330" s="77" t="s">
        <v>1030</v>
      </c>
      <c r="B330" s="77" t="s">
        <v>1031</v>
      </c>
      <c r="G330" s="77" t="s">
        <v>186</v>
      </c>
      <c r="H330" s="77" t="s">
        <v>77</v>
      </c>
      <c r="I330" s="77" t="s">
        <v>78</v>
      </c>
      <c r="J330" s="77" t="s">
        <v>79</v>
      </c>
      <c r="K330" s="77" t="s">
        <v>80</v>
      </c>
      <c r="L330" s="77" t="s">
        <v>1015</v>
      </c>
      <c r="M330" s="77" t="s">
        <v>82</v>
      </c>
      <c r="N330" s="77" t="s">
        <v>83</v>
      </c>
      <c r="Q330" s="77" t="s">
        <v>188</v>
      </c>
      <c r="U330" s="77" t="s">
        <v>85</v>
      </c>
      <c r="V330" s="80" t="s">
        <v>245</v>
      </c>
      <c r="X330" s="77" t="s">
        <v>246</v>
      </c>
      <c r="Y330" s="78" t="s">
        <v>88</v>
      </c>
      <c r="AA330" s="77" t="s">
        <v>191</v>
      </c>
      <c r="AB330" s="77" t="s">
        <v>78</v>
      </c>
      <c r="AC330" s="77" t="s">
        <v>90</v>
      </c>
      <c r="AD330" s="77" t="s">
        <v>91</v>
      </c>
      <c r="AE330" s="77" t="s">
        <v>192</v>
      </c>
    </row>
    <row r="331" spans="1:31" x14ac:dyDescent="0.3">
      <c r="A331" s="77" t="s">
        <v>1032</v>
      </c>
      <c r="B331" s="77" t="s">
        <v>1033</v>
      </c>
      <c r="G331" s="77" t="s">
        <v>186</v>
      </c>
      <c r="H331" s="77" t="s">
        <v>77</v>
      </c>
      <c r="I331" s="77" t="s">
        <v>78</v>
      </c>
      <c r="J331" s="77" t="s">
        <v>79</v>
      </c>
      <c r="K331" s="77" t="s">
        <v>80</v>
      </c>
      <c r="L331" s="77" t="s">
        <v>1015</v>
      </c>
      <c r="M331" s="77" t="s">
        <v>82</v>
      </c>
      <c r="N331" s="77" t="s">
        <v>83</v>
      </c>
      <c r="Q331" s="77" t="s">
        <v>188</v>
      </c>
      <c r="U331" s="77" t="s">
        <v>85</v>
      </c>
      <c r="V331" s="80" t="s">
        <v>245</v>
      </c>
      <c r="X331" s="77" t="s">
        <v>246</v>
      </c>
      <c r="Y331" s="78" t="s">
        <v>88</v>
      </c>
      <c r="AA331" s="77" t="s">
        <v>191</v>
      </c>
      <c r="AB331" s="77" t="s">
        <v>78</v>
      </c>
      <c r="AC331" s="77" t="s">
        <v>90</v>
      </c>
      <c r="AD331" s="77" t="s">
        <v>91</v>
      </c>
      <c r="AE331" s="77" t="s">
        <v>192</v>
      </c>
    </row>
    <row r="332" spans="1:31" x14ac:dyDescent="0.3">
      <c r="A332" s="77" t="s">
        <v>1034</v>
      </c>
      <c r="B332" s="77" t="s">
        <v>1035</v>
      </c>
      <c r="G332" s="77" t="s">
        <v>186</v>
      </c>
      <c r="H332" s="77" t="s">
        <v>77</v>
      </c>
      <c r="I332" s="77" t="s">
        <v>78</v>
      </c>
      <c r="J332" s="77" t="s">
        <v>79</v>
      </c>
      <c r="K332" s="77" t="s">
        <v>80</v>
      </c>
      <c r="L332" s="77" t="s">
        <v>1015</v>
      </c>
      <c r="M332" s="77" t="s">
        <v>82</v>
      </c>
      <c r="N332" s="77" t="s">
        <v>83</v>
      </c>
      <c r="Q332" s="77" t="s">
        <v>188</v>
      </c>
      <c r="U332" s="77" t="s">
        <v>85</v>
      </c>
      <c r="V332" s="80" t="s">
        <v>245</v>
      </c>
      <c r="X332" s="77" t="s">
        <v>246</v>
      </c>
      <c r="Y332" s="78" t="s">
        <v>88</v>
      </c>
      <c r="AA332" s="77" t="s">
        <v>191</v>
      </c>
      <c r="AB332" s="77" t="s">
        <v>78</v>
      </c>
      <c r="AC332" s="77" t="s">
        <v>90</v>
      </c>
      <c r="AD332" s="77" t="s">
        <v>91</v>
      </c>
      <c r="AE332" s="77" t="s">
        <v>192</v>
      </c>
    </row>
    <row r="333" spans="1:31" x14ac:dyDescent="0.3">
      <c r="A333" s="77" t="s">
        <v>1036</v>
      </c>
      <c r="B333" s="77" t="s">
        <v>1037</v>
      </c>
      <c r="G333" s="77" t="s">
        <v>186</v>
      </c>
      <c r="H333" s="77" t="s">
        <v>77</v>
      </c>
      <c r="I333" s="77" t="s">
        <v>78</v>
      </c>
      <c r="J333" s="77" t="s">
        <v>79</v>
      </c>
      <c r="K333" s="77" t="s">
        <v>80</v>
      </c>
      <c r="L333" s="77" t="s">
        <v>1038</v>
      </c>
      <c r="M333" s="77" t="s">
        <v>82</v>
      </c>
      <c r="N333" s="77" t="s">
        <v>83</v>
      </c>
      <c r="Q333" s="77" t="s">
        <v>188</v>
      </c>
      <c r="U333" s="77" t="s">
        <v>85</v>
      </c>
      <c r="V333" s="80" t="s">
        <v>252</v>
      </c>
      <c r="X333" s="77" t="s">
        <v>253</v>
      </c>
      <c r="Y333" s="78" t="s">
        <v>101</v>
      </c>
      <c r="AA333" s="77" t="s">
        <v>191</v>
      </c>
      <c r="AB333" s="77" t="s">
        <v>78</v>
      </c>
      <c r="AC333" s="77" t="s">
        <v>90</v>
      </c>
      <c r="AD333" s="77" t="s">
        <v>102</v>
      </c>
      <c r="AE333" s="77" t="s">
        <v>192</v>
      </c>
    </row>
    <row r="334" spans="1:31" x14ac:dyDescent="0.3">
      <c r="A334" s="77" t="s">
        <v>1039</v>
      </c>
      <c r="B334" s="77" t="s">
        <v>1040</v>
      </c>
      <c r="G334" s="77" t="s">
        <v>186</v>
      </c>
      <c r="H334" s="77" t="s">
        <v>77</v>
      </c>
      <c r="I334" s="77" t="s">
        <v>78</v>
      </c>
      <c r="J334" s="77" t="s">
        <v>79</v>
      </c>
      <c r="K334" s="77" t="s">
        <v>80</v>
      </c>
      <c r="L334" s="77" t="s">
        <v>1038</v>
      </c>
      <c r="M334" s="77" t="s">
        <v>82</v>
      </c>
      <c r="N334" s="77" t="s">
        <v>83</v>
      </c>
      <c r="Q334" s="77" t="s">
        <v>188</v>
      </c>
      <c r="U334" s="77" t="s">
        <v>85</v>
      </c>
      <c r="V334" s="80" t="s">
        <v>252</v>
      </c>
      <c r="X334" s="77" t="s">
        <v>253</v>
      </c>
      <c r="Y334" s="78" t="s">
        <v>101</v>
      </c>
      <c r="AA334" s="77" t="s">
        <v>191</v>
      </c>
      <c r="AB334" s="77" t="s">
        <v>78</v>
      </c>
      <c r="AC334" s="77" t="s">
        <v>90</v>
      </c>
      <c r="AD334" s="77" t="s">
        <v>102</v>
      </c>
      <c r="AE334" s="77" t="s">
        <v>192</v>
      </c>
    </row>
    <row r="335" spans="1:31" x14ac:dyDescent="0.3">
      <c r="A335" s="77" t="s">
        <v>1041</v>
      </c>
      <c r="B335" s="77" t="s">
        <v>1042</v>
      </c>
      <c r="G335" s="77" t="s">
        <v>186</v>
      </c>
      <c r="H335" s="77" t="s">
        <v>77</v>
      </c>
      <c r="I335" s="77" t="s">
        <v>78</v>
      </c>
      <c r="J335" s="77" t="s">
        <v>79</v>
      </c>
      <c r="K335" s="77" t="s">
        <v>80</v>
      </c>
      <c r="L335" s="77" t="s">
        <v>1038</v>
      </c>
      <c r="M335" s="77" t="s">
        <v>82</v>
      </c>
      <c r="N335" s="77" t="s">
        <v>83</v>
      </c>
      <c r="Q335" s="77" t="s">
        <v>188</v>
      </c>
      <c r="U335" s="77" t="s">
        <v>85</v>
      </c>
      <c r="V335" s="80" t="s">
        <v>252</v>
      </c>
      <c r="X335" s="77" t="s">
        <v>253</v>
      </c>
      <c r="Y335" s="78" t="s">
        <v>101</v>
      </c>
      <c r="AA335" s="77" t="s">
        <v>191</v>
      </c>
      <c r="AB335" s="77" t="s">
        <v>78</v>
      </c>
      <c r="AC335" s="77" t="s">
        <v>90</v>
      </c>
      <c r="AD335" s="77" t="s">
        <v>102</v>
      </c>
      <c r="AE335" s="77" t="s">
        <v>192</v>
      </c>
    </row>
    <row r="336" spans="1:31" x14ac:dyDescent="0.3">
      <c r="A336" s="77" t="s">
        <v>1043</v>
      </c>
      <c r="B336" s="77" t="s">
        <v>1044</v>
      </c>
      <c r="G336" s="77" t="s">
        <v>186</v>
      </c>
      <c r="H336" s="77" t="s">
        <v>77</v>
      </c>
      <c r="I336" s="77" t="s">
        <v>78</v>
      </c>
      <c r="J336" s="77" t="s">
        <v>79</v>
      </c>
      <c r="K336" s="77" t="s">
        <v>80</v>
      </c>
      <c r="L336" s="77" t="s">
        <v>1038</v>
      </c>
      <c r="M336" s="77" t="s">
        <v>82</v>
      </c>
      <c r="N336" s="77" t="s">
        <v>83</v>
      </c>
      <c r="Q336" s="77" t="s">
        <v>188</v>
      </c>
      <c r="U336" s="77" t="s">
        <v>85</v>
      </c>
      <c r="V336" s="80" t="s">
        <v>252</v>
      </c>
      <c r="X336" s="77" t="s">
        <v>253</v>
      </c>
      <c r="Y336" s="78" t="s">
        <v>101</v>
      </c>
      <c r="AA336" s="77" t="s">
        <v>191</v>
      </c>
      <c r="AB336" s="77" t="s">
        <v>78</v>
      </c>
      <c r="AC336" s="77" t="s">
        <v>90</v>
      </c>
      <c r="AD336" s="77" t="s">
        <v>102</v>
      </c>
      <c r="AE336" s="77" t="s">
        <v>192</v>
      </c>
    </row>
    <row r="337" spans="1:31" x14ac:dyDescent="0.3">
      <c r="A337" s="77" t="s">
        <v>1045</v>
      </c>
      <c r="B337" s="77" t="s">
        <v>1046</v>
      </c>
      <c r="G337" s="77" t="s">
        <v>186</v>
      </c>
      <c r="H337" s="77" t="s">
        <v>77</v>
      </c>
      <c r="I337" s="77" t="s">
        <v>78</v>
      </c>
      <c r="J337" s="77" t="s">
        <v>79</v>
      </c>
      <c r="K337" s="77" t="s">
        <v>80</v>
      </c>
      <c r="L337" s="77" t="s">
        <v>1038</v>
      </c>
      <c r="M337" s="77" t="s">
        <v>82</v>
      </c>
      <c r="N337" s="77" t="s">
        <v>83</v>
      </c>
      <c r="Q337" s="77" t="s">
        <v>188</v>
      </c>
      <c r="U337" s="77" t="s">
        <v>85</v>
      </c>
      <c r="V337" s="80" t="s">
        <v>252</v>
      </c>
      <c r="X337" s="77" t="s">
        <v>253</v>
      </c>
      <c r="Y337" s="78" t="s">
        <v>101</v>
      </c>
      <c r="AA337" s="77" t="s">
        <v>191</v>
      </c>
      <c r="AB337" s="77" t="s">
        <v>78</v>
      </c>
      <c r="AC337" s="77" t="s">
        <v>90</v>
      </c>
      <c r="AD337" s="77" t="s">
        <v>102</v>
      </c>
      <c r="AE337" s="77" t="s">
        <v>192</v>
      </c>
    </row>
    <row r="338" spans="1:31" x14ac:dyDescent="0.3">
      <c r="A338" s="77" t="s">
        <v>1047</v>
      </c>
      <c r="B338" s="77" t="s">
        <v>1048</v>
      </c>
      <c r="G338" s="77" t="s">
        <v>186</v>
      </c>
      <c r="H338" s="77" t="s">
        <v>77</v>
      </c>
      <c r="I338" s="77" t="s">
        <v>78</v>
      </c>
      <c r="J338" s="77" t="s">
        <v>79</v>
      </c>
      <c r="K338" s="77" t="s">
        <v>80</v>
      </c>
      <c r="L338" s="77" t="s">
        <v>1038</v>
      </c>
      <c r="M338" s="77" t="s">
        <v>82</v>
      </c>
      <c r="N338" s="77" t="s">
        <v>83</v>
      </c>
      <c r="Q338" s="77" t="s">
        <v>188</v>
      </c>
      <c r="U338" s="77" t="s">
        <v>85</v>
      </c>
      <c r="V338" s="80" t="s">
        <v>252</v>
      </c>
      <c r="X338" s="77" t="s">
        <v>253</v>
      </c>
      <c r="Y338" s="78" t="s">
        <v>101</v>
      </c>
      <c r="AA338" s="77" t="s">
        <v>191</v>
      </c>
      <c r="AB338" s="77" t="s">
        <v>78</v>
      </c>
      <c r="AC338" s="77" t="s">
        <v>90</v>
      </c>
      <c r="AD338" s="77" t="s">
        <v>102</v>
      </c>
      <c r="AE338" s="77" t="s">
        <v>192</v>
      </c>
    </row>
    <row r="339" spans="1:31" x14ac:dyDescent="0.3">
      <c r="A339" s="77" t="s">
        <v>1049</v>
      </c>
      <c r="B339" s="77" t="s">
        <v>1050</v>
      </c>
      <c r="G339" s="77" t="s">
        <v>186</v>
      </c>
      <c r="H339" s="77" t="s">
        <v>77</v>
      </c>
      <c r="I339" s="77" t="s">
        <v>78</v>
      </c>
      <c r="J339" s="77" t="s">
        <v>79</v>
      </c>
      <c r="K339" s="77" t="s">
        <v>80</v>
      </c>
      <c r="L339" s="77" t="s">
        <v>1038</v>
      </c>
      <c r="M339" s="77" t="s">
        <v>82</v>
      </c>
      <c r="N339" s="77" t="s">
        <v>83</v>
      </c>
      <c r="Q339" s="77" t="s">
        <v>188</v>
      </c>
      <c r="U339" s="77" t="s">
        <v>85</v>
      </c>
      <c r="V339" s="80" t="s">
        <v>252</v>
      </c>
      <c r="X339" s="77" t="s">
        <v>253</v>
      </c>
      <c r="Y339" s="78" t="s">
        <v>101</v>
      </c>
      <c r="AA339" s="77" t="s">
        <v>191</v>
      </c>
      <c r="AB339" s="77" t="s">
        <v>78</v>
      </c>
      <c r="AC339" s="77" t="s">
        <v>90</v>
      </c>
      <c r="AD339" s="77" t="s">
        <v>102</v>
      </c>
      <c r="AE339" s="77" t="s">
        <v>192</v>
      </c>
    </row>
    <row r="340" spans="1:31" x14ac:dyDescent="0.3">
      <c r="A340" s="77" t="s">
        <v>1051</v>
      </c>
      <c r="B340" s="77" t="s">
        <v>1052</v>
      </c>
      <c r="G340" s="77" t="s">
        <v>186</v>
      </c>
      <c r="H340" s="77" t="s">
        <v>77</v>
      </c>
      <c r="I340" s="77" t="s">
        <v>78</v>
      </c>
      <c r="J340" s="77" t="s">
        <v>79</v>
      </c>
      <c r="K340" s="77" t="s">
        <v>80</v>
      </c>
      <c r="L340" s="77" t="s">
        <v>1038</v>
      </c>
      <c r="M340" s="77" t="s">
        <v>82</v>
      </c>
      <c r="N340" s="77" t="s">
        <v>83</v>
      </c>
      <c r="Q340" s="77" t="s">
        <v>188</v>
      </c>
      <c r="U340" s="77" t="s">
        <v>85</v>
      </c>
      <c r="V340" s="80" t="s">
        <v>252</v>
      </c>
      <c r="X340" s="77" t="s">
        <v>253</v>
      </c>
      <c r="Y340" s="78" t="s">
        <v>101</v>
      </c>
      <c r="AA340" s="77" t="s">
        <v>191</v>
      </c>
      <c r="AB340" s="77" t="s">
        <v>78</v>
      </c>
      <c r="AC340" s="77" t="s">
        <v>90</v>
      </c>
      <c r="AD340" s="77" t="s">
        <v>102</v>
      </c>
      <c r="AE340" s="77" t="s">
        <v>192</v>
      </c>
    </row>
    <row r="341" spans="1:31" x14ac:dyDescent="0.3">
      <c r="A341" s="77" t="s">
        <v>1053</v>
      </c>
      <c r="B341" s="77" t="s">
        <v>1054</v>
      </c>
      <c r="G341" s="77" t="s">
        <v>186</v>
      </c>
      <c r="H341" s="77" t="s">
        <v>77</v>
      </c>
      <c r="I341" s="77" t="s">
        <v>78</v>
      </c>
      <c r="J341" s="77" t="s">
        <v>79</v>
      </c>
      <c r="K341" s="77" t="s">
        <v>80</v>
      </c>
      <c r="L341" s="77" t="s">
        <v>1038</v>
      </c>
      <c r="M341" s="77" t="s">
        <v>82</v>
      </c>
      <c r="N341" s="77" t="s">
        <v>83</v>
      </c>
      <c r="Q341" s="77" t="s">
        <v>188</v>
      </c>
      <c r="U341" s="77" t="s">
        <v>85</v>
      </c>
      <c r="V341" s="80" t="s">
        <v>252</v>
      </c>
      <c r="X341" s="77" t="s">
        <v>253</v>
      </c>
      <c r="Y341" s="78" t="s">
        <v>101</v>
      </c>
      <c r="AA341" s="77" t="s">
        <v>191</v>
      </c>
      <c r="AB341" s="77" t="s">
        <v>78</v>
      </c>
      <c r="AC341" s="77" t="s">
        <v>90</v>
      </c>
      <c r="AD341" s="77" t="s">
        <v>102</v>
      </c>
      <c r="AE341" s="77" t="s">
        <v>192</v>
      </c>
    </row>
    <row r="342" spans="1:31" x14ac:dyDescent="0.3">
      <c r="A342" s="77" t="s">
        <v>1055</v>
      </c>
      <c r="B342" s="77" t="s">
        <v>1056</v>
      </c>
      <c r="G342" s="77" t="s">
        <v>186</v>
      </c>
      <c r="H342" s="77" t="s">
        <v>77</v>
      </c>
      <c r="I342" s="77" t="s">
        <v>78</v>
      </c>
      <c r="J342" s="77" t="s">
        <v>79</v>
      </c>
      <c r="K342" s="77" t="s">
        <v>80</v>
      </c>
      <c r="L342" s="77" t="s">
        <v>1038</v>
      </c>
      <c r="M342" s="77" t="s">
        <v>82</v>
      </c>
      <c r="N342" s="77" t="s">
        <v>83</v>
      </c>
      <c r="Q342" s="77" t="s">
        <v>188</v>
      </c>
      <c r="U342" s="77" t="s">
        <v>85</v>
      </c>
      <c r="V342" s="80" t="s">
        <v>252</v>
      </c>
      <c r="X342" s="77" t="s">
        <v>253</v>
      </c>
      <c r="Y342" s="78" t="s">
        <v>101</v>
      </c>
      <c r="AA342" s="77" t="s">
        <v>191</v>
      </c>
      <c r="AB342" s="77" t="s">
        <v>78</v>
      </c>
      <c r="AC342" s="77" t="s">
        <v>90</v>
      </c>
      <c r="AD342" s="77" t="s">
        <v>102</v>
      </c>
      <c r="AE342" s="77" t="s">
        <v>192</v>
      </c>
    </row>
    <row r="343" spans="1:31" x14ac:dyDescent="0.3">
      <c r="A343" s="77" t="s">
        <v>1057</v>
      </c>
      <c r="B343" s="77" t="s">
        <v>1058</v>
      </c>
      <c r="G343" s="77" t="s">
        <v>186</v>
      </c>
      <c r="H343" s="77" t="s">
        <v>77</v>
      </c>
      <c r="I343" s="77" t="s">
        <v>78</v>
      </c>
      <c r="J343" s="77" t="s">
        <v>79</v>
      </c>
      <c r="K343" s="77" t="s">
        <v>80</v>
      </c>
      <c r="L343" s="77" t="s">
        <v>1038</v>
      </c>
      <c r="M343" s="77" t="s">
        <v>82</v>
      </c>
      <c r="N343" s="77" t="s">
        <v>83</v>
      </c>
      <c r="Q343" s="77" t="s">
        <v>188</v>
      </c>
      <c r="U343" s="77" t="s">
        <v>85</v>
      </c>
      <c r="V343" s="80" t="s">
        <v>252</v>
      </c>
      <c r="X343" s="77" t="s">
        <v>253</v>
      </c>
      <c r="Y343" s="78" t="s">
        <v>101</v>
      </c>
      <c r="AA343" s="77" t="s">
        <v>191</v>
      </c>
      <c r="AB343" s="77" t="s">
        <v>78</v>
      </c>
      <c r="AC343" s="77" t="s">
        <v>90</v>
      </c>
      <c r="AD343" s="77" t="s">
        <v>102</v>
      </c>
      <c r="AE343" s="77" t="s">
        <v>192</v>
      </c>
    </row>
    <row r="344" spans="1:31" x14ac:dyDescent="0.3">
      <c r="A344" s="77" t="s">
        <v>1059</v>
      </c>
      <c r="B344" s="77" t="s">
        <v>1060</v>
      </c>
      <c r="G344" s="77" t="s">
        <v>186</v>
      </c>
      <c r="H344" s="77" t="s">
        <v>77</v>
      </c>
      <c r="I344" s="77" t="s">
        <v>78</v>
      </c>
      <c r="J344" s="77" t="s">
        <v>79</v>
      </c>
      <c r="K344" s="77" t="s">
        <v>80</v>
      </c>
      <c r="L344" s="77" t="s">
        <v>1061</v>
      </c>
      <c r="M344" s="77" t="s">
        <v>82</v>
      </c>
      <c r="N344" s="77" t="s">
        <v>83</v>
      </c>
      <c r="Q344" s="77" t="s">
        <v>188</v>
      </c>
      <c r="U344" s="77" t="s">
        <v>85</v>
      </c>
      <c r="V344" s="80" t="s">
        <v>259</v>
      </c>
      <c r="X344" s="77" t="s">
        <v>260</v>
      </c>
      <c r="Y344" s="78" t="s">
        <v>101</v>
      </c>
      <c r="AA344" s="77" t="s">
        <v>191</v>
      </c>
      <c r="AB344" s="77" t="s">
        <v>78</v>
      </c>
      <c r="AC344" s="77" t="s">
        <v>90</v>
      </c>
      <c r="AD344" s="77" t="s">
        <v>102</v>
      </c>
      <c r="AE344" s="77" t="s">
        <v>192</v>
      </c>
    </row>
    <row r="345" spans="1:31" x14ac:dyDescent="0.3">
      <c r="A345" s="77" t="s">
        <v>1062</v>
      </c>
      <c r="B345" s="77" t="s">
        <v>1063</v>
      </c>
      <c r="G345" s="77" t="s">
        <v>186</v>
      </c>
      <c r="H345" s="77" t="s">
        <v>77</v>
      </c>
      <c r="I345" s="77" t="s">
        <v>78</v>
      </c>
      <c r="J345" s="77" t="s">
        <v>79</v>
      </c>
      <c r="K345" s="77" t="s">
        <v>80</v>
      </c>
      <c r="L345" s="77" t="s">
        <v>1061</v>
      </c>
      <c r="M345" s="77" t="s">
        <v>82</v>
      </c>
      <c r="N345" s="77" t="s">
        <v>83</v>
      </c>
      <c r="Q345" s="77" t="s">
        <v>188</v>
      </c>
      <c r="U345" s="77" t="s">
        <v>85</v>
      </c>
      <c r="V345" s="80" t="s">
        <v>259</v>
      </c>
      <c r="X345" s="77" t="s">
        <v>260</v>
      </c>
      <c r="Y345" s="78" t="s">
        <v>101</v>
      </c>
      <c r="AA345" s="77" t="s">
        <v>191</v>
      </c>
      <c r="AB345" s="77" t="s">
        <v>78</v>
      </c>
      <c r="AC345" s="77" t="s">
        <v>90</v>
      </c>
      <c r="AD345" s="77" t="s">
        <v>102</v>
      </c>
      <c r="AE345" s="77" t="s">
        <v>192</v>
      </c>
    </row>
    <row r="346" spans="1:31" x14ac:dyDescent="0.3">
      <c r="A346" s="77" t="s">
        <v>1064</v>
      </c>
      <c r="B346" s="77" t="s">
        <v>1065</v>
      </c>
      <c r="G346" s="77" t="s">
        <v>186</v>
      </c>
      <c r="H346" s="77" t="s">
        <v>77</v>
      </c>
      <c r="I346" s="77" t="s">
        <v>78</v>
      </c>
      <c r="J346" s="77" t="s">
        <v>79</v>
      </c>
      <c r="K346" s="77" t="s">
        <v>80</v>
      </c>
      <c r="L346" s="77" t="s">
        <v>1061</v>
      </c>
      <c r="M346" s="77" t="s">
        <v>82</v>
      </c>
      <c r="N346" s="77" t="s">
        <v>83</v>
      </c>
      <c r="Q346" s="77" t="s">
        <v>188</v>
      </c>
      <c r="U346" s="77" t="s">
        <v>85</v>
      </c>
      <c r="V346" s="80" t="s">
        <v>259</v>
      </c>
      <c r="X346" s="77" t="s">
        <v>260</v>
      </c>
      <c r="Y346" s="78" t="s">
        <v>101</v>
      </c>
      <c r="AA346" s="77" t="s">
        <v>191</v>
      </c>
      <c r="AB346" s="77" t="s">
        <v>78</v>
      </c>
      <c r="AC346" s="77" t="s">
        <v>90</v>
      </c>
      <c r="AD346" s="77" t="s">
        <v>102</v>
      </c>
      <c r="AE346" s="77" t="s">
        <v>192</v>
      </c>
    </row>
    <row r="347" spans="1:31" x14ac:dyDescent="0.3">
      <c r="A347" s="77" t="s">
        <v>1066</v>
      </c>
      <c r="B347" s="77" t="s">
        <v>1067</v>
      </c>
      <c r="G347" s="77" t="s">
        <v>186</v>
      </c>
      <c r="H347" s="77" t="s">
        <v>77</v>
      </c>
      <c r="I347" s="77" t="s">
        <v>78</v>
      </c>
      <c r="J347" s="77" t="s">
        <v>79</v>
      </c>
      <c r="K347" s="77" t="s">
        <v>80</v>
      </c>
      <c r="L347" s="77" t="s">
        <v>1061</v>
      </c>
      <c r="M347" s="77" t="s">
        <v>82</v>
      </c>
      <c r="N347" s="77" t="s">
        <v>83</v>
      </c>
      <c r="Q347" s="77" t="s">
        <v>188</v>
      </c>
      <c r="U347" s="77" t="s">
        <v>85</v>
      </c>
      <c r="V347" s="80" t="s">
        <v>259</v>
      </c>
      <c r="X347" s="77" t="s">
        <v>260</v>
      </c>
      <c r="Y347" s="78" t="s">
        <v>101</v>
      </c>
      <c r="AA347" s="77" t="s">
        <v>191</v>
      </c>
      <c r="AB347" s="77" t="s">
        <v>78</v>
      </c>
      <c r="AC347" s="77" t="s">
        <v>90</v>
      </c>
      <c r="AD347" s="77" t="s">
        <v>102</v>
      </c>
      <c r="AE347" s="77" t="s">
        <v>192</v>
      </c>
    </row>
    <row r="348" spans="1:31" x14ac:dyDescent="0.3">
      <c r="A348" s="77" t="s">
        <v>1068</v>
      </c>
      <c r="B348" s="77" t="s">
        <v>1069</v>
      </c>
      <c r="G348" s="77" t="s">
        <v>186</v>
      </c>
      <c r="H348" s="77" t="s">
        <v>77</v>
      </c>
      <c r="I348" s="77" t="s">
        <v>78</v>
      </c>
      <c r="J348" s="77" t="s">
        <v>79</v>
      </c>
      <c r="K348" s="77" t="s">
        <v>80</v>
      </c>
      <c r="L348" s="77" t="s">
        <v>1061</v>
      </c>
      <c r="M348" s="77" t="s">
        <v>82</v>
      </c>
      <c r="N348" s="77" t="s">
        <v>83</v>
      </c>
      <c r="Q348" s="77" t="s">
        <v>188</v>
      </c>
      <c r="U348" s="77" t="s">
        <v>85</v>
      </c>
      <c r="V348" s="80" t="s">
        <v>259</v>
      </c>
      <c r="X348" s="77" t="s">
        <v>260</v>
      </c>
      <c r="Y348" s="78" t="s">
        <v>101</v>
      </c>
      <c r="AA348" s="77" t="s">
        <v>191</v>
      </c>
      <c r="AB348" s="77" t="s">
        <v>78</v>
      </c>
      <c r="AC348" s="77" t="s">
        <v>90</v>
      </c>
      <c r="AD348" s="77" t="s">
        <v>102</v>
      </c>
      <c r="AE348" s="77" t="s">
        <v>192</v>
      </c>
    </row>
    <row r="349" spans="1:31" x14ac:dyDescent="0.3">
      <c r="A349" s="77" t="s">
        <v>1070</v>
      </c>
      <c r="B349" s="77" t="s">
        <v>1071</v>
      </c>
      <c r="G349" s="77" t="s">
        <v>186</v>
      </c>
      <c r="H349" s="77" t="s">
        <v>77</v>
      </c>
      <c r="I349" s="77" t="s">
        <v>78</v>
      </c>
      <c r="J349" s="77" t="s">
        <v>79</v>
      </c>
      <c r="K349" s="77" t="s">
        <v>80</v>
      </c>
      <c r="L349" s="77" t="s">
        <v>1061</v>
      </c>
      <c r="M349" s="77" t="s">
        <v>82</v>
      </c>
      <c r="N349" s="77" t="s">
        <v>83</v>
      </c>
      <c r="Q349" s="77" t="s">
        <v>188</v>
      </c>
      <c r="U349" s="77" t="s">
        <v>85</v>
      </c>
      <c r="V349" s="80" t="s">
        <v>259</v>
      </c>
      <c r="X349" s="77" t="s">
        <v>260</v>
      </c>
      <c r="Y349" s="78" t="s">
        <v>101</v>
      </c>
      <c r="AA349" s="77" t="s">
        <v>191</v>
      </c>
      <c r="AB349" s="77" t="s">
        <v>78</v>
      </c>
      <c r="AC349" s="77" t="s">
        <v>90</v>
      </c>
      <c r="AD349" s="77" t="s">
        <v>102</v>
      </c>
      <c r="AE349" s="77" t="s">
        <v>192</v>
      </c>
    </row>
    <row r="350" spans="1:31" x14ac:dyDescent="0.3">
      <c r="A350" s="77" t="s">
        <v>1072</v>
      </c>
      <c r="B350" s="77" t="s">
        <v>1073</v>
      </c>
      <c r="G350" s="77" t="s">
        <v>186</v>
      </c>
      <c r="H350" s="77" t="s">
        <v>77</v>
      </c>
      <c r="I350" s="77" t="s">
        <v>78</v>
      </c>
      <c r="J350" s="77" t="s">
        <v>79</v>
      </c>
      <c r="K350" s="77" t="s">
        <v>80</v>
      </c>
      <c r="L350" s="77" t="s">
        <v>1061</v>
      </c>
      <c r="M350" s="77" t="s">
        <v>82</v>
      </c>
      <c r="N350" s="77" t="s">
        <v>83</v>
      </c>
      <c r="Q350" s="77" t="s">
        <v>188</v>
      </c>
      <c r="U350" s="77" t="s">
        <v>85</v>
      </c>
      <c r="V350" s="80" t="s">
        <v>259</v>
      </c>
      <c r="X350" s="77" t="s">
        <v>260</v>
      </c>
      <c r="Y350" s="78" t="s">
        <v>101</v>
      </c>
      <c r="AA350" s="77" t="s">
        <v>191</v>
      </c>
      <c r="AB350" s="77" t="s">
        <v>78</v>
      </c>
      <c r="AC350" s="77" t="s">
        <v>90</v>
      </c>
      <c r="AD350" s="77" t="s">
        <v>102</v>
      </c>
      <c r="AE350" s="77" t="s">
        <v>192</v>
      </c>
    </row>
    <row r="351" spans="1:31" x14ac:dyDescent="0.3">
      <c r="A351" s="77" t="s">
        <v>1074</v>
      </c>
      <c r="B351" s="77" t="s">
        <v>1075</v>
      </c>
      <c r="G351" s="77" t="s">
        <v>186</v>
      </c>
      <c r="H351" s="77" t="s">
        <v>77</v>
      </c>
      <c r="I351" s="77" t="s">
        <v>78</v>
      </c>
      <c r="J351" s="77" t="s">
        <v>79</v>
      </c>
      <c r="K351" s="77" t="s">
        <v>80</v>
      </c>
      <c r="L351" s="77" t="s">
        <v>1061</v>
      </c>
      <c r="M351" s="77" t="s">
        <v>82</v>
      </c>
      <c r="N351" s="77" t="s">
        <v>83</v>
      </c>
      <c r="Q351" s="77" t="s">
        <v>188</v>
      </c>
      <c r="U351" s="77" t="s">
        <v>85</v>
      </c>
      <c r="V351" s="80" t="s">
        <v>259</v>
      </c>
      <c r="X351" s="77" t="s">
        <v>260</v>
      </c>
      <c r="Y351" s="78" t="s">
        <v>101</v>
      </c>
      <c r="AA351" s="77" t="s">
        <v>191</v>
      </c>
      <c r="AB351" s="77" t="s">
        <v>78</v>
      </c>
      <c r="AC351" s="77" t="s">
        <v>90</v>
      </c>
      <c r="AD351" s="77" t="s">
        <v>102</v>
      </c>
      <c r="AE351" s="77" t="s">
        <v>192</v>
      </c>
    </row>
    <row r="352" spans="1:31" x14ac:dyDescent="0.3">
      <c r="A352" s="77" t="s">
        <v>1076</v>
      </c>
      <c r="B352" s="77" t="s">
        <v>1077</v>
      </c>
      <c r="G352" s="77" t="s">
        <v>186</v>
      </c>
      <c r="H352" s="77" t="s">
        <v>77</v>
      </c>
      <c r="I352" s="77" t="s">
        <v>78</v>
      </c>
      <c r="J352" s="77" t="s">
        <v>79</v>
      </c>
      <c r="K352" s="77" t="s">
        <v>80</v>
      </c>
      <c r="L352" s="77" t="s">
        <v>1061</v>
      </c>
      <c r="M352" s="77" t="s">
        <v>82</v>
      </c>
      <c r="N352" s="77" t="s">
        <v>83</v>
      </c>
      <c r="Q352" s="77" t="s">
        <v>188</v>
      </c>
      <c r="U352" s="77" t="s">
        <v>85</v>
      </c>
      <c r="V352" s="80" t="s">
        <v>259</v>
      </c>
      <c r="X352" s="77" t="s">
        <v>260</v>
      </c>
      <c r="Y352" s="78" t="s">
        <v>101</v>
      </c>
      <c r="AA352" s="77" t="s">
        <v>191</v>
      </c>
      <c r="AB352" s="77" t="s">
        <v>78</v>
      </c>
      <c r="AC352" s="77" t="s">
        <v>90</v>
      </c>
      <c r="AD352" s="77" t="s">
        <v>102</v>
      </c>
      <c r="AE352" s="77" t="s">
        <v>192</v>
      </c>
    </row>
    <row r="353" spans="1:31" x14ac:dyDescent="0.3">
      <c r="A353" s="77" t="s">
        <v>1078</v>
      </c>
      <c r="B353" s="77" t="s">
        <v>1079</v>
      </c>
      <c r="G353" s="77" t="s">
        <v>186</v>
      </c>
      <c r="H353" s="77" t="s">
        <v>77</v>
      </c>
      <c r="I353" s="77" t="s">
        <v>78</v>
      </c>
      <c r="J353" s="77" t="s">
        <v>79</v>
      </c>
      <c r="K353" s="77" t="s">
        <v>80</v>
      </c>
      <c r="L353" s="77" t="s">
        <v>1061</v>
      </c>
      <c r="M353" s="77" t="s">
        <v>82</v>
      </c>
      <c r="N353" s="77" t="s">
        <v>83</v>
      </c>
      <c r="Q353" s="77" t="s">
        <v>188</v>
      </c>
      <c r="U353" s="77" t="s">
        <v>85</v>
      </c>
      <c r="V353" s="80" t="s">
        <v>259</v>
      </c>
      <c r="X353" s="77" t="s">
        <v>260</v>
      </c>
      <c r="Y353" s="78" t="s">
        <v>101</v>
      </c>
      <c r="AA353" s="77" t="s">
        <v>191</v>
      </c>
      <c r="AB353" s="77" t="s">
        <v>78</v>
      </c>
      <c r="AC353" s="77" t="s">
        <v>90</v>
      </c>
      <c r="AD353" s="77" t="s">
        <v>102</v>
      </c>
      <c r="AE353" s="77" t="s">
        <v>192</v>
      </c>
    </row>
    <row r="354" spans="1:31" x14ac:dyDescent="0.3">
      <c r="A354" s="77" t="s">
        <v>1080</v>
      </c>
      <c r="B354" s="77" t="s">
        <v>1081</v>
      </c>
      <c r="G354" s="77" t="s">
        <v>186</v>
      </c>
      <c r="H354" s="77" t="s">
        <v>77</v>
      </c>
      <c r="I354" s="77" t="s">
        <v>78</v>
      </c>
      <c r="J354" s="77" t="s">
        <v>79</v>
      </c>
      <c r="K354" s="77" t="s">
        <v>80</v>
      </c>
      <c r="L354" s="77" t="s">
        <v>1061</v>
      </c>
      <c r="M354" s="77" t="s">
        <v>82</v>
      </c>
      <c r="N354" s="77" t="s">
        <v>83</v>
      </c>
      <c r="Q354" s="77" t="s">
        <v>188</v>
      </c>
      <c r="U354" s="77" t="s">
        <v>85</v>
      </c>
      <c r="V354" s="80" t="s">
        <v>259</v>
      </c>
      <c r="X354" s="77" t="s">
        <v>260</v>
      </c>
      <c r="Y354" s="78" t="s">
        <v>101</v>
      </c>
      <c r="AA354" s="77" t="s">
        <v>191</v>
      </c>
      <c r="AB354" s="77" t="s">
        <v>78</v>
      </c>
      <c r="AC354" s="77" t="s">
        <v>90</v>
      </c>
      <c r="AD354" s="77" t="s">
        <v>102</v>
      </c>
      <c r="AE354" s="77" t="s">
        <v>192</v>
      </c>
    </row>
    <row r="355" spans="1:31" x14ac:dyDescent="0.3">
      <c r="A355" s="77" t="s">
        <v>1082</v>
      </c>
      <c r="B355" s="77" t="s">
        <v>1083</v>
      </c>
      <c r="G355" s="77" t="s">
        <v>186</v>
      </c>
      <c r="H355" s="77" t="s">
        <v>77</v>
      </c>
      <c r="I355" s="77" t="s">
        <v>78</v>
      </c>
      <c r="J355" s="77" t="s">
        <v>79</v>
      </c>
      <c r="K355" s="77" t="s">
        <v>80</v>
      </c>
      <c r="L355" s="77" t="s">
        <v>1084</v>
      </c>
      <c r="M355" s="77" t="s">
        <v>82</v>
      </c>
      <c r="N355" s="77" t="s">
        <v>83</v>
      </c>
      <c r="Q355" s="77" t="s">
        <v>188</v>
      </c>
      <c r="U355" s="77" t="s">
        <v>85</v>
      </c>
      <c r="V355" s="80" t="s">
        <v>238</v>
      </c>
      <c r="X355" s="77" t="s">
        <v>239</v>
      </c>
      <c r="Y355" s="78" t="s">
        <v>88</v>
      </c>
      <c r="AA355" s="77" t="s">
        <v>191</v>
      </c>
      <c r="AB355" s="77" t="s">
        <v>78</v>
      </c>
      <c r="AC355" s="77" t="s">
        <v>90</v>
      </c>
      <c r="AD355" s="77" t="s">
        <v>91</v>
      </c>
      <c r="AE355" s="77" t="s">
        <v>192</v>
      </c>
    </row>
    <row r="356" spans="1:31" x14ac:dyDescent="0.3">
      <c r="A356" s="77" t="s">
        <v>1085</v>
      </c>
      <c r="B356" s="77" t="s">
        <v>1086</v>
      </c>
      <c r="G356" s="77" t="s">
        <v>186</v>
      </c>
      <c r="H356" s="77" t="s">
        <v>77</v>
      </c>
      <c r="I356" s="77" t="s">
        <v>78</v>
      </c>
      <c r="J356" s="77" t="s">
        <v>79</v>
      </c>
      <c r="K356" s="77" t="s">
        <v>80</v>
      </c>
      <c r="L356" s="77" t="s">
        <v>1087</v>
      </c>
      <c r="M356" s="77" t="s">
        <v>82</v>
      </c>
      <c r="N356" s="77" t="s">
        <v>83</v>
      </c>
      <c r="Q356" s="77" t="s">
        <v>188</v>
      </c>
      <c r="U356" s="77" t="s">
        <v>85</v>
      </c>
      <c r="V356" s="80" t="s">
        <v>245</v>
      </c>
      <c r="X356" s="77" t="s">
        <v>246</v>
      </c>
      <c r="Y356" s="78" t="s">
        <v>88</v>
      </c>
      <c r="AA356" s="77" t="s">
        <v>191</v>
      </c>
      <c r="AB356" s="77" t="s">
        <v>78</v>
      </c>
      <c r="AC356" s="77" t="s">
        <v>90</v>
      </c>
      <c r="AD356" s="77" t="s">
        <v>91</v>
      </c>
      <c r="AE356" s="77" t="s">
        <v>192</v>
      </c>
    </row>
    <row r="357" spans="1:31" x14ac:dyDescent="0.3">
      <c r="A357" s="77" t="s">
        <v>1088</v>
      </c>
      <c r="B357" s="77" t="s">
        <v>1089</v>
      </c>
      <c r="G357" s="77" t="s">
        <v>186</v>
      </c>
      <c r="H357" s="77" t="s">
        <v>77</v>
      </c>
      <c r="I357" s="77" t="s">
        <v>78</v>
      </c>
      <c r="J357" s="77" t="s">
        <v>79</v>
      </c>
      <c r="K357" s="77" t="s">
        <v>80</v>
      </c>
      <c r="L357" s="77" t="s">
        <v>1090</v>
      </c>
      <c r="M357" s="77" t="s">
        <v>82</v>
      </c>
      <c r="N357" s="77" t="s">
        <v>83</v>
      </c>
      <c r="Q357" s="77" t="s">
        <v>188</v>
      </c>
      <c r="U357" s="77" t="s">
        <v>85</v>
      </c>
      <c r="V357" s="80" t="s">
        <v>252</v>
      </c>
      <c r="X357" s="77" t="s">
        <v>253</v>
      </c>
      <c r="Y357" s="78" t="s">
        <v>101</v>
      </c>
      <c r="AA357" s="77" t="s">
        <v>191</v>
      </c>
      <c r="AB357" s="77" t="s">
        <v>78</v>
      </c>
      <c r="AC357" s="77" t="s">
        <v>90</v>
      </c>
      <c r="AD357" s="77" t="s">
        <v>102</v>
      </c>
      <c r="AE357" s="77" t="s">
        <v>192</v>
      </c>
    </row>
    <row r="358" spans="1:31" x14ac:dyDescent="0.3">
      <c r="A358" s="77" t="s">
        <v>1091</v>
      </c>
      <c r="B358" s="77" t="s">
        <v>1092</v>
      </c>
      <c r="G358" s="77" t="s">
        <v>186</v>
      </c>
      <c r="H358" s="77" t="s">
        <v>77</v>
      </c>
      <c r="I358" s="77" t="s">
        <v>78</v>
      </c>
      <c r="J358" s="77" t="s">
        <v>79</v>
      </c>
      <c r="K358" s="77" t="s">
        <v>80</v>
      </c>
      <c r="L358" s="77" t="s">
        <v>1093</v>
      </c>
      <c r="M358" s="77" t="s">
        <v>82</v>
      </c>
      <c r="N358" s="77" t="s">
        <v>83</v>
      </c>
      <c r="Q358" s="77" t="s">
        <v>188</v>
      </c>
      <c r="U358" s="77" t="s">
        <v>85</v>
      </c>
      <c r="V358" s="80" t="s">
        <v>259</v>
      </c>
      <c r="X358" s="77" t="s">
        <v>260</v>
      </c>
      <c r="Y358" s="78" t="s">
        <v>101</v>
      </c>
      <c r="AA358" s="77" t="s">
        <v>191</v>
      </c>
      <c r="AB358" s="77" t="s">
        <v>78</v>
      </c>
      <c r="AC358" s="77" t="s">
        <v>90</v>
      </c>
      <c r="AD358" s="77" t="s">
        <v>102</v>
      </c>
      <c r="AE358" s="77" t="s">
        <v>192</v>
      </c>
    </row>
    <row r="359" spans="1:31" x14ac:dyDescent="0.3">
      <c r="A359" s="77" t="s">
        <v>1094</v>
      </c>
      <c r="B359" s="77" t="s">
        <v>1095</v>
      </c>
      <c r="G359" s="77" t="s">
        <v>186</v>
      </c>
      <c r="H359" s="77" t="s">
        <v>77</v>
      </c>
      <c r="I359" s="77" t="s">
        <v>78</v>
      </c>
      <c r="J359" s="77" t="s">
        <v>79</v>
      </c>
      <c r="K359" s="77" t="s">
        <v>80</v>
      </c>
      <c r="L359" s="77" t="s">
        <v>1096</v>
      </c>
      <c r="M359" s="77" t="s">
        <v>82</v>
      </c>
      <c r="N359" s="77" t="s">
        <v>83</v>
      </c>
      <c r="Q359" s="77" t="s">
        <v>188</v>
      </c>
      <c r="U359" s="77" t="s">
        <v>85</v>
      </c>
      <c r="V359" s="80" t="s">
        <v>238</v>
      </c>
      <c r="X359" s="77" t="s">
        <v>239</v>
      </c>
      <c r="Y359" s="78" t="s">
        <v>88</v>
      </c>
      <c r="AA359" s="77" t="s">
        <v>191</v>
      </c>
      <c r="AB359" s="77" t="s">
        <v>78</v>
      </c>
      <c r="AC359" s="77" t="s">
        <v>90</v>
      </c>
      <c r="AD359" s="77" t="s">
        <v>91</v>
      </c>
      <c r="AE359" s="77" t="s">
        <v>192</v>
      </c>
    </row>
    <row r="360" spans="1:31" x14ac:dyDescent="0.3">
      <c r="A360" s="77" t="s">
        <v>1097</v>
      </c>
      <c r="B360" s="77" t="s">
        <v>1098</v>
      </c>
      <c r="G360" s="77" t="s">
        <v>186</v>
      </c>
      <c r="H360" s="77" t="s">
        <v>77</v>
      </c>
      <c r="I360" s="77" t="s">
        <v>78</v>
      </c>
      <c r="J360" s="77" t="s">
        <v>79</v>
      </c>
      <c r="K360" s="77" t="s">
        <v>80</v>
      </c>
      <c r="L360" s="77" t="s">
        <v>1099</v>
      </c>
      <c r="M360" s="77" t="s">
        <v>82</v>
      </c>
      <c r="N360" s="77" t="s">
        <v>83</v>
      </c>
      <c r="Q360" s="77" t="s">
        <v>188</v>
      </c>
      <c r="U360" s="77" t="s">
        <v>85</v>
      </c>
      <c r="V360" s="80" t="s">
        <v>245</v>
      </c>
      <c r="X360" s="77" t="s">
        <v>246</v>
      </c>
      <c r="Y360" s="78" t="s">
        <v>88</v>
      </c>
      <c r="AA360" s="77" t="s">
        <v>191</v>
      </c>
      <c r="AB360" s="77" t="s">
        <v>78</v>
      </c>
      <c r="AC360" s="77" t="s">
        <v>90</v>
      </c>
      <c r="AD360" s="77" t="s">
        <v>91</v>
      </c>
      <c r="AE360" s="77" t="s">
        <v>192</v>
      </c>
    </row>
    <row r="361" spans="1:31" x14ac:dyDescent="0.3">
      <c r="A361" s="77" t="s">
        <v>1100</v>
      </c>
      <c r="B361" s="77" t="s">
        <v>1101</v>
      </c>
      <c r="G361" s="77" t="s">
        <v>186</v>
      </c>
      <c r="H361" s="77" t="s">
        <v>77</v>
      </c>
      <c r="I361" s="77" t="s">
        <v>78</v>
      </c>
      <c r="J361" s="77" t="s">
        <v>79</v>
      </c>
      <c r="K361" s="77" t="s">
        <v>80</v>
      </c>
      <c r="L361" s="77" t="s">
        <v>1102</v>
      </c>
      <c r="M361" s="77" t="s">
        <v>82</v>
      </c>
      <c r="N361" s="77" t="s">
        <v>83</v>
      </c>
      <c r="Q361" s="77" t="s">
        <v>188</v>
      </c>
      <c r="U361" s="77" t="s">
        <v>85</v>
      </c>
      <c r="V361" s="80" t="s">
        <v>252</v>
      </c>
      <c r="X361" s="77" t="s">
        <v>253</v>
      </c>
      <c r="Y361" s="78" t="s">
        <v>101</v>
      </c>
      <c r="AA361" s="77" t="s">
        <v>191</v>
      </c>
      <c r="AB361" s="77" t="s">
        <v>78</v>
      </c>
      <c r="AC361" s="77" t="s">
        <v>90</v>
      </c>
      <c r="AD361" s="77" t="s">
        <v>102</v>
      </c>
      <c r="AE361" s="77" t="s">
        <v>192</v>
      </c>
    </row>
    <row r="362" spans="1:31" x14ac:dyDescent="0.3">
      <c r="A362" s="77" t="s">
        <v>1103</v>
      </c>
      <c r="B362" s="77" t="s">
        <v>1104</v>
      </c>
      <c r="G362" s="77" t="s">
        <v>186</v>
      </c>
      <c r="H362" s="77" t="s">
        <v>77</v>
      </c>
      <c r="I362" s="77" t="s">
        <v>78</v>
      </c>
      <c r="J362" s="77" t="s">
        <v>79</v>
      </c>
      <c r="K362" s="77" t="s">
        <v>80</v>
      </c>
      <c r="L362" s="77" t="s">
        <v>1105</v>
      </c>
      <c r="M362" s="77" t="s">
        <v>82</v>
      </c>
      <c r="N362" s="77" t="s">
        <v>83</v>
      </c>
      <c r="Q362" s="77" t="s">
        <v>188</v>
      </c>
      <c r="U362" s="77" t="s">
        <v>85</v>
      </c>
      <c r="V362" s="80" t="s">
        <v>259</v>
      </c>
      <c r="X362" s="77" t="s">
        <v>260</v>
      </c>
      <c r="Y362" s="78" t="s">
        <v>101</v>
      </c>
      <c r="AA362" s="77" t="s">
        <v>191</v>
      </c>
      <c r="AB362" s="77" t="s">
        <v>78</v>
      </c>
      <c r="AC362" s="77" t="s">
        <v>90</v>
      </c>
      <c r="AD362" s="77" t="s">
        <v>102</v>
      </c>
      <c r="AE362" s="77" t="s">
        <v>192</v>
      </c>
    </row>
    <row r="363" spans="1:31" x14ac:dyDescent="0.3">
      <c r="A363" s="77" t="s">
        <v>1106</v>
      </c>
      <c r="B363" s="77" t="s">
        <v>1107</v>
      </c>
      <c r="G363" s="77" t="s">
        <v>186</v>
      </c>
      <c r="H363" s="77" t="s">
        <v>77</v>
      </c>
      <c r="I363" s="77" t="s">
        <v>78</v>
      </c>
      <c r="J363" s="77" t="s">
        <v>79</v>
      </c>
      <c r="K363" s="77" t="s">
        <v>80</v>
      </c>
      <c r="L363" s="77" t="s">
        <v>1108</v>
      </c>
      <c r="M363" s="77" t="s">
        <v>82</v>
      </c>
      <c r="N363" s="77" t="s">
        <v>83</v>
      </c>
      <c r="Q363" s="77" t="s">
        <v>188</v>
      </c>
      <c r="U363" s="77" t="s">
        <v>85</v>
      </c>
      <c r="V363" s="80" t="s">
        <v>925</v>
      </c>
      <c r="X363" s="77" t="s">
        <v>926</v>
      </c>
      <c r="Y363" s="78" t="s">
        <v>101</v>
      </c>
      <c r="AA363" s="77" t="s">
        <v>191</v>
      </c>
      <c r="AB363" s="77" t="s">
        <v>78</v>
      </c>
      <c r="AC363" s="77" t="s">
        <v>90</v>
      </c>
      <c r="AD363" s="77" t="s">
        <v>274</v>
      </c>
      <c r="AE363" s="77" t="s">
        <v>192</v>
      </c>
    </row>
    <row r="364" spans="1:31" x14ac:dyDescent="0.3">
      <c r="A364" s="77" t="s">
        <v>1109</v>
      </c>
      <c r="B364" s="77" t="s">
        <v>1110</v>
      </c>
      <c r="G364" s="77" t="s">
        <v>186</v>
      </c>
      <c r="H364" s="77" t="s">
        <v>77</v>
      </c>
      <c r="I364" s="77" t="s">
        <v>78</v>
      </c>
      <c r="J364" s="77" t="s">
        <v>79</v>
      </c>
      <c r="K364" s="77" t="s">
        <v>80</v>
      </c>
      <c r="L364" s="77" t="s">
        <v>1108</v>
      </c>
      <c r="M364" s="77" t="s">
        <v>82</v>
      </c>
      <c r="N364" s="77" t="s">
        <v>83</v>
      </c>
      <c r="Q364" s="77" t="s">
        <v>188</v>
      </c>
      <c r="U364" s="77" t="s">
        <v>85</v>
      </c>
      <c r="V364" s="80" t="s">
        <v>925</v>
      </c>
      <c r="X364" s="77" t="s">
        <v>926</v>
      </c>
      <c r="Y364" s="78" t="s">
        <v>101</v>
      </c>
      <c r="AA364" s="77" t="s">
        <v>191</v>
      </c>
      <c r="AB364" s="77" t="s">
        <v>78</v>
      </c>
      <c r="AC364" s="77" t="s">
        <v>90</v>
      </c>
      <c r="AD364" s="77" t="s">
        <v>274</v>
      </c>
      <c r="AE364" s="77" t="s">
        <v>192</v>
      </c>
    </row>
    <row r="365" spans="1:31" x14ac:dyDescent="0.3">
      <c r="A365" s="77" t="s">
        <v>1111</v>
      </c>
      <c r="B365" s="77" t="s">
        <v>1112</v>
      </c>
      <c r="G365" s="77" t="s">
        <v>186</v>
      </c>
      <c r="H365" s="77" t="s">
        <v>77</v>
      </c>
      <c r="I365" s="77" t="s">
        <v>78</v>
      </c>
      <c r="J365" s="77" t="s">
        <v>79</v>
      </c>
      <c r="K365" s="77" t="s">
        <v>80</v>
      </c>
      <c r="L365" s="77" t="s">
        <v>1108</v>
      </c>
      <c r="M365" s="77" t="s">
        <v>82</v>
      </c>
      <c r="N365" s="77" t="s">
        <v>83</v>
      </c>
      <c r="Q365" s="77" t="s">
        <v>188</v>
      </c>
      <c r="U365" s="77" t="s">
        <v>85</v>
      </c>
      <c r="V365" s="80" t="s">
        <v>925</v>
      </c>
      <c r="X365" s="77" t="s">
        <v>926</v>
      </c>
      <c r="Y365" s="78" t="s">
        <v>101</v>
      </c>
      <c r="AA365" s="77" t="s">
        <v>191</v>
      </c>
      <c r="AB365" s="77" t="s">
        <v>78</v>
      </c>
      <c r="AC365" s="77" t="s">
        <v>90</v>
      </c>
      <c r="AD365" s="77" t="s">
        <v>274</v>
      </c>
      <c r="AE365" s="77" t="s">
        <v>192</v>
      </c>
    </row>
    <row r="366" spans="1:31" x14ac:dyDescent="0.3">
      <c r="A366" s="77" t="s">
        <v>1113</v>
      </c>
      <c r="B366" s="77" t="s">
        <v>1114</v>
      </c>
      <c r="G366" s="77" t="s">
        <v>186</v>
      </c>
      <c r="H366" s="77" t="s">
        <v>77</v>
      </c>
      <c r="I366" s="77" t="s">
        <v>78</v>
      </c>
      <c r="J366" s="77" t="s">
        <v>79</v>
      </c>
      <c r="K366" s="77" t="s">
        <v>80</v>
      </c>
      <c r="L366" s="77" t="s">
        <v>1115</v>
      </c>
      <c r="M366" s="77" t="s">
        <v>82</v>
      </c>
      <c r="N366" s="77" t="s">
        <v>83</v>
      </c>
      <c r="Q366" s="77" t="s">
        <v>188</v>
      </c>
      <c r="U366" s="77" t="s">
        <v>85</v>
      </c>
      <c r="V366" s="80" t="s">
        <v>925</v>
      </c>
      <c r="X366" s="77" t="s">
        <v>926</v>
      </c>
      <c r="Y366" s="78" t="s">
        <v>101</v>
      </c>
      <c r="AA366" s="77" t="s">
        <v>191</v>
      </c>
      <c r="AB366" s="77" t="s">
        <v>78</v>
      </c>
      <c r="AC366" s="77" t="s">
        <v>90</v>
      </c>
      <c r="AD366" s="77" t="s">
        <v>274</v>
      </c>
      <c r="AE366" s="77" t="s">
        <v>192</v>
      </c>
    </row>
    <row r="367" spans="1:31" x14ac:dyDescent="0.3">
      <c r="A367" s="77" t="s">
        <v>1116</v>
      </c>
      <c r="B367" s="77" t="s">
        <v>1117</v>
      </c>
      <c r="G367" s="77" t="s">
        <v>186</v>
      </c>
      <c r="H367" s="77" t="s">
        <v>77</v>
      </c>
      <c r="I367" s="77" t="s">
        <v>78</v>
      </c>
      <c r="J367" s="77" t="s">
        <v>79</v>
      </c>
      <c r="K367" s="77" t="s">
        <v>80</v>
      </c>
      <c r="L367" s="77" t="s">
        <v>1115</v>
      </c>
      <c r="M367" s="77" t="s">
        <v>82</v>
      </c>
      <c r="N367" s="77" t="s">
        <v>83</v>
      </c>
      <c r="Q367" s="77" t="s">
        <v>188</v>
      </c>
      <c r="U367" s="77" t="s">
        <v>85</v>
      </c>
      <c r="V367" s="80" t="s">
        <v>925</v>
      </c>
      <c r="X367" s="77" t="s">
        <v>926</v>
      </c>
      <c r="Y367" s="78" t="s">
        <v>101</v>
      </c>
      <c r="AA367" s="77" t="s">
        <v>191</v>
      </c>
      <c r="AB367" s="77" t="s">
        <v>78</v>
      </c>
      <c r="AC367" s="77" t="s">
        <v>90</v>
      </c>
      <c r="AD367" s="77" t="s">
        <v>274</v>
      </c>
      <c r="AE367" s="77" t="s">
        <v>192</v>
      </c>
    </row>
    <row r="368" spans="1:31" x14ac:dyDescent="0.3">
      <c r="A368" s="77" t="s">
        <v>1118</v>
      </c>
      <c r="B368" s="77" t="s">
        <v>1119</v>
      </c>
      <c r="G368" s="77" t="s">
        <v>186</v>
      </c>
      <c r="H368" s="77" t="s">
        <v>77</v>
      </c>
      <c r="I368" s="77" t="s">
        <v>78</v>
      </c>
      <c r="J368" s="77" t="s">
        <v>79</v>
      </c>
      <c r="K368" s="77" t="s">
        <v>80</v>
      </c>
      <c r="L368" s="77" t="s">
        <v>1115</v>
      </c>
      <c r="M368" s="77" t="s">
        <v>82</v>
      </c>
      <c r="N368" s="77" t="s">
        <v>83</v>
      </c>
      <c r="Q368" s="77" t="s">
        <v>188</v>
      </c>
      <c r="U368" s="77" t="s">
        <v>85</v>
      </c>
      <c r="V368" s="80" t="s">
        <v>925</v>
      </c>
      <c r="X368" s="77" t="s">
        <v>926</v>
      </c>
      <c r="Y368" s="78" t="s">
        <v>101</v>
      </c>
      <c r="AA368" s="77" t="s">
        <v>191</v>
      </c>
      <c r="AB368" s="77" t="s">
        <v>78</v>
      </c>
      <c r="AC368" s="77" t="s">
        <v>90</v>
      </c>
      <c r="AD368" s="77" t="s">
        <v>274</v>
      </c>
      <c r="AE368" s="77" t="s">
        <v>192</v>
      </c>
    </row>
    <row r="369" spans="1:33" x14ac:dyDescent="0.3">
      <c r="A369" s="77" t="s">
        <v>1120</v>
      </c>
      <c r="B369" s="77" t="s">
        <v>1121</v>
      </c>
      <c r="G369" s="77" t="s">
        <v>186</v>
      </c>
      <c r="H369" s="77" t="s">
        <v>77</v>
      </c>
      <c r="I369" s="77" t="s">
        <v>78</v>
      </c>
      <c r="J369" s="77" t="s">
        <v>79</v>
      </c>
      <c r="K369" s="77" t="s">
        <v>80</v>
      </c>
      <c r="L369" s="77" t="s">
        <v>1115</v>
      </c>
      <c r="M369" s="77" t="s">
        <v>82</v>
      </c>
      <c r="N369" s="77" t="s">
        <v>83</v>
      </c>
      <c r="Q369" s="77" t="s">
        <v>188</v>
      </c>
      <c r="U369" s="77" t="s">
        <v>85</v>
      </c>
      <c r="V369" s="80" t="s">
        <v>925</v>
      </c>
      <c r="X369" s="77" t="s">
        <v>926</v>
      </c>
      <c r="Y369" s="78" t="s">
        <v>101</v>
      </c>
      <c r="AA369" s="77" t="s">
        <v>191</v>
      </c>
      <c r="AB369" s="77" t="s">
        <v>78</v>
      </c>
      <c r="AC369" s="77" t="s">
        <v>90</v>
      </c>
      <c r="AD369" s="77" t="s">
        <v>274</v>
      </c>
      <c r="AE369" s="77" t="s">
        <v>192</v>
      </c>
    </row>
    <row r="370" spans="1:33" x14ac:dyDescent="0.3">
      <c r="A370" s="77" t="s">
        <v>1122</v>
      </c>
      <c r="B370" s="77" t="s">
        <v>1123</v>
      </c>
      <c r="G370" s="77" t="s">
        <v>186</v>
      </c>
      <c r="H370" s="77" t="s">
        <v>77</v>
      </c>
      <c r="I370" s="77" t="s">
        <v>78</v>
      </c>
      <c r="J370" s="77" t="s">
        <v>79</v>
      </c>
      <c r="K370" s="77" t="s">
        <v>80</v>
      </c>
      <c r="L370" s="77" t="s">
        <v>1124</v>
      </c>
      <c r="M370" s="77" t="s">
        <v>82</v>
      </c>
      <c r="N370" s="77" t="s">
        <v>83</v>
      </c>
      <c r="Q370" s="77" t="s">
        <v>188</v>
      </c>
      <c r="U370" s="77" t="s">
        <v>85</v>
      </c>
      <c r="V370" s="80" t="s">
        <v>925</v>
      </c>
      <c r="X370" s="77" t="s">
        <v>926</v>
      </c>
      <c r="Y370" s="78" t="s">
        <v>101</v>
      </c>
      <c r="AA370" s="77" t="s">
        <v>191</v>
      </c>
      <c r="AB370" s="77" t="s">
        <v>78</v>
      </c>
      <c r="AC370" s="77" t="s">
        <v>90</v>
      </c>
      <c r="AD370" s="77" t="s">
        <v>274</v>
      </c>
      <c r="AE370" s="77" t="s">
        <v>192</v>
      </c>
    </row>
    <row r="371" spans="1:33" x14ac:dyDescent="0.3">
      <c r="A371" s="77" t="s">
        <v>1125</v>
      </c>
      <c r="B371" s="77" t="s">
        <v>1126</v>
      </c>
      <c r="G371" s="77" t="s">
        <v>186</v>
      </c>
      <c r="H371" s="77" t="s">
        <v>77</v>
      </c>
      <c r="I371" s="77" t="s">
        <v>78</v>
      </c>
      <c r="J371" s="77" t="s">
        <v>79</v>
      </c>
      <c r="K371" s="77" t="s">
        <v>80</v>
      </c>
      <c r="L371" s="77" t="s">
        <v>1127</v>
      </c>
      <c r="M371" s="77" t="s">
        <v>82</v>
      </c>
      <c r="N371" s="77" t="s">
        <v>83</v>
      </c>
      <c r="Q371" s="77" t="s">
        <v>188</v>
      </c>
      <c r="U371" s="77" t="s">
        <v>85</v>
      </c>
      <c r="V371" s="80" t="s">
        <v>930</v>
      </c>
      <c r="X371" s="77" t="s">
        <v>931</v>
      </c>
      <c r="Y371" s="78" t="s">
        <v>88</v>
      </c>
      <c r="AA371" s="77" t="s">
        <v>191</v>
      </c>
      <c r="AB371" s="77" t="s">
        <v>78</v>
      </c>
      <c r="AC371" s="77" t="s">
        <v>90</v>
      </c>
      <c r="AD371" s="77" t="s">
        <v>91</v>
      </c>
      <c r="AE371" s="77" t="s">
        <v>192</v>
      </c>
    </row>
    <row r="372" spans="1:33" x14ac:dyDescent="0.3">
      <c r="A372" s="77" t="s">
        <v>1128</v>
      </c>
      <c r="B372" s="77" t="s">
        <v>1129</v>
      </c>
      <c r="G372" s="77" t="s">
        <v>186</v>
      </c>
      <c r="H372" s="77" t="s">
        <v>77</v>
      </c>
      <c r="I372" s="77" t="s">
        <v>78</v>
      </c>
      <c r="J372" s="77" t="s">
        <v>79</v>
      </c>
      <c r="K372" s="77" t="s">
        <v>80</v>
      </c>
      <c r="L372" s="77" t="s">
        <v>1127</v>
      </c>
      <c r="M372" s="77" t="s">
        <v>82</v>
      </c>
      <c r="N372" s="77" t="s">
        <v>83</v>
      </c>
      <c r="Q372" s="77" t="s">
        <v>188</v>
      </c>
      <c r="U372" s="77" t="s">
        <v>85</v>
      </c>
      <c r="V372" s="80" t="s">
        <v>930</v>
      </c>
      <c r="X372" s="77" t="s">
        <v>931</v>
      </c>
      <c r="Y372" s="78" t="s">
        <v>88</v>
      </c>
      <c r="AA372" s="77" t="s">
        <v>191</v>
      </c>
      <c r="AB372" s="77" t="s">
        <v>78</v>
      </c>
      <c r="AC372" s="77" t="s">
        <v>90</v>
      </c>
      <c r="AD372" s="77" t="s">
        <v>91</v>
      </c>
      <c r="AE372" s="77" t="s">
        <v>192</v>
      </c>
    </row>
    <row r="373" spans="1:33" x14ac:dyDescent="0.3">
      <c r="A373" s="77" t="s">
        <v>1130</v>
      </c>
      <c r="B373" s="77" t="s">
        <v>1131</v>
      </c>
      <c r="G373" s="77" t="s">
        <v>186</v>
      </c>
      <c r="H373" s="77" t="s">
        <v>77</v>
      </c>
      <c r="I373" s="77" t="s">
        <v>78</v>
      </c>
      <c r="J373" s="77" t="s">
        <v>79</v>
      </c>
      <c r="K373" s="77" t="s">
        <v>80</v>
      </c>
      <c r="L373" s="77" t="s">
        <v>1127</v>
      </c>
      <c r="M373" s="77" t="s">
        <v>82</v>
      </c>
      <c r="N373" s="77" t="s">
        <v>83</v>
      </c>
      <c r="Q373" s="77" t="s">
        <v>188</v>
      </c>
      <c r="U373" s="77" t="s">
        <v>85</v>
      </c>
      <c r="V373" s="80" t="s">
        <v>930</v>
      </c>
      <c r="X373" s="77" t="s">
        <v>931</v>
      </c>
      <c r="Y373" s="78" t="s">
        <v>88</v>
      </c>
      <c r="AA373" s="77" t="s">
        <v>191</v>
      </c>
      <c r="AB373" s="77" t="s">
        <v>78</v>
      </c>
      <c r="AC373" s="77" t="s">
        <v>90</v>
      </c>
      <c r="AD373" s="77" t="s">
        <v>91</v>
      </c>
      <c r="AE373" s="77" t="s">
        <v>192</v>
      </c>
    </row>
    <row r="374" spans="1:33" x14ac:dyDescent="0.3">
      <c r="A374" s="77" t="s">
        <v>1132</v>
      </c>
      <c r="B374" s="77" t="s">
        <v>1133</v>
      </c>
      <c r="G374" s="77" t="s">
        <v>186</v>
      </c>
      <c r="H374" s="77" t="s">
        <v>77</v>
      </c>
      <c r="I374" s="77" t="s">
        <v>78</v>
      </c>
      <c r="J374" s="77" t="s">
        <v>79</v>
      </c>
      <c r="K374" s="77" t="s">
        <v>80</v>
      </c>
      <c r="L374" s="77" t="s">
        <v>1134</v>
      </c>
      <c r="M374" s="77" t="s">
        <v>82</v>
      </c>
      <c r="N374" s="77" t="s">
        <v>83</v>
      </c>
      <c r="Q374" s="77" t="s">
        <v>188</v>
      </c>
      <c r="U374" s="77" t="s">
        <v>85</v>
      </c>
      <c r="V374" s="80" t="s">
        <v>930</v>
      </c>
      <c r="X374" s="77" t="s">
        <v>931</v>
      </c>
      <c r="Y374" s="78" t="s">
        <v>88</v>
      </c>
      <c r="AA374" s="77" t="s">
        <v>191</v>
      </c>
      <c r="AB374" s="77" t="s">
        <v>78</v>
      </c>
      <c r="AC374" s="77" t="s">
        <v>90</v>
      </c>
      <c r="AD374" s="77" t="s">
        <v>91</v>
      </c>
      <c r="AE374" s="77" t="s">
        <v>192</v>
      </c>
    </row>
    <row r="375" spans="1:33" x14ac:dyDescent="0.3">
      <c r="A375" s="77" t="s">
        <v>1135</v>
      </c>
      <c r="B375" s="77" t="s">
        <v>1136</v>
      </c>
      <c r="G375" s="77" t="s">
        <v>1137</v>
      </c>
      <c r="H375" s="77" t="s">
        <v>77</v>
      </c>
      <c r="I375" s="77" t="s">
        <v>78</v>
      </c>
      <c r="J375" s="77" t="s">
        <v>79</v>
      </c>
      <c r="K375" s="77" t="s">
        <v>80</v>
      </c>
      <c r="L375" s="77" t="s">
        <v>626</v>
      </c>
      <c r="M375" s="77" t="s">
        <v>82</v>
      </c>
      <c r="N375" s="77" t="s">
        <v>83</v>
      </c>
      <c r="Q375" s="77" t="s">
        <v>111</v>
      </c>
      <c r="T375" s="77" t="s">
        <v>112</v>
      </c>
      <c r="U375" s="77" t="s">
        <v>85</v>
      </c>
      <c r="V375" s="80" t="s">
        <v>86</v>
      </c>
      <c r="X375" s="77" t="s">
        <v>87</v>
      </c>
      <c r="Y375" s="78" t="s">
        <v>88</v>
      </c>
      <c r="AA375" s="77" t="s">
        <v>1138</v>
      </c>
      <c r="AB375" s="77" t="s">
        <v>78</v>
      </c>
      <c r="AC375" s="77" t="s">
        <v>90</v>
      </c>
      <c r="AD375" s="77" t="s">
        <v>91</v>
      </c>
      <c r="AE375" s="77" t="s">
        <v>1139</v>
      </c>
      <c r="AG375" s="77" t="s">
        <v>112</v>
      </c>
    </row>
    <row r="376" spans="1:33" x14ac:dyDescent="0.3">
      <c r="A376" s="77" t="s">
        <v>1140</v>
      </c>
      <c r="B376" s="77" t="s">
        <v>1141</v>
      </c>
      <c r="G376" s="77" t="s">
        <v>1137</v>
      </c>
      <c r="H376" s="77" t="s">
        <v>77</v>
      </c>
      <c r="I376" s="77" t="s">
        <v>78</v>
      </c>
      <c r="J376" s="77" t="s">
        <v>79</v>
      </c>
      <c r="K376" s="77" t="s">
        <v>80</v>
      </c>
      <c r="L376" s="77" t="s">
        <v>626</v>
      </c>
      <c r="M376" s="77" t="s">
        <v>82</v>
      </c>
      <c r="N376" s="77" t="s">
        <v>83</v>
      </c>
      <c r="Q376" s="77" t="s">
        <v>111</v>
      </c>
      <c r="T376" s="77" t="s">
        <v>112</v>
      </c>
      <c r="U376" s="77" t="s">
        <v>85</v>
      </c>
      <c r="V376" s="80" t="s">
        <v>86</v>
      </c>
      <c r="X376" s="77" t="s">
        <v>87</v>
      </c>
      <c r="Y376" s="78" t="s">
        <v>88</v>
      </c>
      <c r="AA376" s="77" t="s">
        <v>1138</v>
      </c>
      <c r="AB376" s="77" t="s">
        <v>78</v>
      </c>
      <c r="AC376" s="77" t="s">
        <v>90</v>
      </c>
      <c r="AD376" s="77" t="s">
        <v>91</v>
      </c>
      <c r="AE376" s="77" t="s">
        <v>1139</v>
      </c>
      <c r="AG376" s="77" t="s">
        <v>112</v>
      </c>
    </row>
    <row r="377" spans="1:33" x14ac:dyDescent="0.3">
      <c r="A377" s="77" t="s">
        <v>1142</v>
      </c>
      <c r="B377" s="77" t="s">
        <v>1143</v>
      </c>
      <c r="G377" s="77" t="s">
        <v>1137</v>
      </c>
      <c r="H377" s="77" t="s">
        <v>77</v>
      </c>
      <c r="I377" s="77" t="s">
        <v>78</v>
      </c>
      <c r="J377" s="77" t="s">
        <v>79</v>
      </c>
      <c r="K377" s="77" t="s">
        <v>80</v>
      </c>
      <c r="L377" s="77" t="s">
        <v>626</v>
      </c>
      <c r="M377" s="77" t="s">
        <v>82</v>
      </c>
      <c r="N377" s="77" t="s">
        <v>83</v>
      </c>
      <c r="Q377" s="77" t="s">
        <v>111</v>
      </c>
      <c r="T377" s="77" t="s">
        <v>112</v>
      </c>
      <c r="U377" s="77" t="s">
        <v>85</v>
      </c>
      <c r="V377" s="80" t="s">
        <v>86</v>
      </c>
      <c r="X377" s="77" t="s">
        <v>87</v>
      </c>
      <c r="Y377" s="78" t="s">
        <v>88</v>
      </c>
      <c r="AA377" s="77" t="s">
        <v>1138</v>
      </c>
      <c r="AB377" s="77" t="s">
        <v>78</v>
      </c>
      <c r="AC377" s="77" t="s">
        <v>90</v>
      </c>
      <c r="AD377" s="77" t="s">
        <v>91</v>
      </c>
      <c r="AE377" s="77" t="s">
        <v>1139</v>
      </c>
      <c r="AG377" s="77" t="s">
        <v>112</v>
      </c>
    </row>
    <row r="378" spans="1:33" x14ac:dyDescent="0.3">
      <c r="A378" s="77" t="s">
        <v>1144</v>
      </c>
      <c r="B378" s="77" t="s">
        <v>1145</v>
      </c>
      <c r="G378" s="77" t="s">
        <v>1137</v>
      </c>
      <c r="H378" s="77" t="s">
        <v>77</v>
      </c>
      <c r="I378" s="77" t="s">
        <v>78</v>
      </c>
      <c r="J378" s="77" t="s">
        <v>79</v>
      </c>
      <c r="K378" s="77" t="s">
        <v>80</v>
      </c>
      <c r="L378" s="77" t="s">
        <v>635</v>
      </c>
      <c r="M378" s="77" t="s">
        <v>82</v>
      </c>
      <c r="N378" s="77" t="s">
        <v>83</v>
      </c>
      <c r="Q378" s="77" t="s">
        <v>111</v>
      </c>
      <c r="T378" s="77" t="s">
        <v>112</v>
      </c>
      <c r="U378" s="77" t="s">
        <v>85</v>
      </c>
      <c r="V378" s="80" t="s">
        <v>95</v>
      </c>
      <c r="X378" s="77" t="s">
        <v>96</v>
      </c>
      <c r="Y378" s="78" t="s">
        <v>88</v>
      </c>
      <c r="AA378" s="77" t="s">
        <v>1138</v>
      </c>
      <c r="AB378" s="77" t="s">
        <v>78</v>
      </c>
      <c r="AC378" s="77" t="s">
        <v>90</v>
      </c>
      <c r="AD378" s="77" t="s">
        <v>91</v>
      </c>
      <c r="AE378" s="77" t="s">
        <v>1139</v>
      </c>
      <c r="AG378" s="77" t="s">
        <v>112</v>
      </c>
    </row>
    <row r="379" spans="1:33" x14ac:dyDescent="0.3">
      <c r="A379" s="77" t="s">
        <v>1146</v>
      </c>
      <c r="B379" s="77" t="s">
        <v>1147</v>
      </c>
      <c r="G379" s="77" t="s">
        <v>1137</v>
      </c>
      <c r="H379" s="77" t="s">
        <v>77</v>
      </c>
      <c r="I379" s="77" t="s">
        <v>78</v>
      </c>
      <c r="J379" s="77" t="s">
        <v>79</v>
      </c>
      <c r="K379" s="77" t="s">
        <v>80</v>
      </c>
      <c r="L379" s="77" t="s">
        <v>635</v>
      </c>
      <c r="M379" s="77" t="s">
        <v>82</v>
      </c>
      <c r="N379" s="77" t="s">
        <v>83</v>
      </c>
      <c r="Q379" s="77" t="s">
        <v>111</v>
      </c>
      <c r="T379" s="77" t="s">
        <v>112</v>
      </c>
      <c r="U379" s="77" t="s">
        <v>85</v>
      </c>
      <c r="V379" s="80" t="s">
        <v>95</v>
      </c>
      <c r="X379" s="77" t="s">
        <v>96</v>
      </c>
      <c r="Y379" s="78" t="s">
        <v>88</v>
      </c>
      <c r="AA379" s="77" t="s">
        <v>1138</v>
      </c>
      <c r="AB379" s="77" t="s">
        <v>78</v>
      </c>
      <c r="AC379" s="77" t="s">
        <v>90</v>
      </c>
      <c r="AD379" s="77" t="s">
        <v>91</v>
      </c>
      <c r="AE379" s="77" t="s">
        <v>1139</v>
      </c>
      <c r="AG379" s="77" t="s">
        <v>112</v>
      </c>
    </row>
    <row r="380" spans="1:33" x14ac:dyDescent="0.3">
      <c r="A380" s="77" t="s">
        <v>1148</v>
      </c>
      <c r="B380" s="77" t="s">
        <v>1149</v>
      </c>
      <c r="G380" s="77" t="s">
        <v>1137</v>
      </c>
      <c r="H380" s="77" t="s">
        <v>77</v>
      </c>
      <c r="I380" s="77" t="s">
        <v>78</v>
      </c>
      <c r="J380" s="77" t="s">
        <v>79</v>
      </c>
      <c r="K380" s="77" t="s">
        <v>80</v>
      </c>
      <c r="L380" s="77" t="s">
        <v>635</v>
      </c>
      <c r="M380" s="77" t="s">
        <v>82</v>
      </c>
      <c r="N380" s="77" t="s">
        <v>83</v>
      </c>
      <c r="Q380" s="77" t="s">
        <v>111</v>
      </c>
      <c r="T380" s="77" t="s">
        <v>112</v>
      </c>
      <c r="U380" s="77" t="s">
        <v>85</v>
      </c>
      <c r="V380" s="80" t="s">
        <v>95</v>
      </c>
      <c r="X380" s="77" t="s">
        <v>96</v>
      </c>
      <c r="Y380" s="78" t="s">
        <v>88</v>
      </c>
      <c r="AA380" s="77" t="s">
        <v>1138</v>
      </c>
      <c r="AB380" s="77" t="s">
        <v>78</v>
      </c>
      <c r="AC380" s="77" t="s">
        <v>90</v>
      </c>
      <c r="AD380" s="77" t="s">
        <v>91</v>
      </c>
      <c r="AE380" s="77" t="s">
        <v>1139</v>
      </c>
      <c r="AG380" s="77" t="s">
        <v>112</v>
      </c>
    </row>
    <row r="381" spans="1:33" x14ac:dyDescent="0.3">
      <c r="A381" s="77" t="s">
        <v>1150</v>
      </c>
      <c r="B381" s="77" t="s">
        <v>1151</v>
      </c>
      <c r="G381" s="77" t="s">
        <v>1137</v>
      </c>
      <c r="H381" s="77" t="s">
        <v>77</v>
      </c>
      <c r="I381" s="77" t="s">
        <v>78</v>
      </c>
      <c r="J381" s="77" t="s">
        <v>79</v>
      </c>
      <c r="K381" s="77" t="s">
        <v>80</v>
      </c>
      <c r="L381" s="77" t="s">
        <v>644</v>
      </c>
      <c r="M381" s="77" t="s">
        <v>82</v>
      </c>
      <c r="N381" s="77" t="s">
        <v>83</v>
      </c>
      <c r="Q381" s="77" t="s">
        <v>111</v>
      </c>
      <c r="T381" s="77" t="s">
        <v>112</v>
      </c>
      <c r="U381" s="77" t="s">
        <v>85</v>
      </c>
      <c r="V381" s="80" t="s">
        <v>99</v>
      </c>
      <c r="X381" s="77" t="s">
        <v>100</v>
      </c>
      <c r="Y381" s="78" t="s">
        <v>101</v>
      </c>
      <c r="AA381" s="77" t="s">
        <v>1138</v>
      </c>
      <c r="AB381" s="77" t="s">
        <v>78</v>
      </c>
      <c r="AC381" s="77" t="s">
        <v>90</v>
      </c>
      <c r="AD381" s="77" t="s">
        <v>102</v>
      </c>
      <c r="AE381" s="77" t="s">
        <v>1139</v>
      </c>
      <c r="AG381" s="77" t="s">
        <v>112</v>
      </c>
    </row>
    <row r="382" spans="1:33" x14ac:dyDescent="0.3">
      <c r="A382" s="77" t="s">
        <v>1152</v>
      </c>
      <c r="B382" s="77" t="s">
        <v>1153</v>
      </c>
      <c r="G382" s="77" t="s">
        <v>1137</v>
      </c>
      <c r="H382" s="77" t="s">
        <v>77</v>
      </c>
      <c r="I382" s="77" t="s">
        <v>78</v>
      </c>
      <c r="J382" s="77" t="s">
        <v>79</v>
      </c>
      <c r="K382" s="77" t="s">
        <v>80</v>
      </c>
      <c r="L382" s="77" t="s">
        <v>644</v>
      </c>
      <c r="M382" s="77" t="s">
        <v>82</v>
      </c>
      <c r="N382" s="77" t="s">
        <v>83</v>
      </c>
      <c r="Q382" s="77" t="s">
        <v>111</v>
      </c>
      <c r="T382" s="77" t="s">
        <v>112</v>
      </c>
      <c r="U382" s="77" t="s">
        <v>85</v>
      </c>
      <c r="V382" s="80" t="s">
        <v>99</v>
      </c>
      <c r="X382" s="77" t="s">
        <v>100</v>
      </c>
      <c r="Y382" s="78" t="s">
        <v>101</v>
      </c>
      <c r="AA382" s="77" t="s">
        <v>1138</v>
      </c>
      <c r="AB382" s="77" t="s">
        <v>78</v>
      </c>
      <c r="AC382" s="77" t="s">
        <v>90</v>
      </c>
      <c r="AD382" s="77" t="s">
        <v>102</v>
      </c>
      <c r="AE382" s="77" t="s">
        <v>1139</v>
      </c>
      <c r="AG382" s="77" t="s">
        <v>112</v>
      </c>
    </row>
    <row r="383" spans="1:33" x14ac:dyDescent="0.3">
      <c r="A383" s="77" t="s">
        <v>1154</v>
      </c>
      <c r="B383" s="77" t="s">
        <v>1155</v>
      </c>
      <c r="G383" s="77" t="s">
        <v>1137</v>
      </c>
      <c r="H383" s="77" t="s">
        <v>77</v>
      </c>
      <c r="I383" s="77" t="s">
        <v>78</v>
      </c>
      <c r="J383" s="77" t="s">
        <v>79</v>
      </c>
      <c r="K383" s="77" t="s">
        <v>80</v>
      </c>
      <c r="L383" s="77" t="s">
        <v>644</v>
      </c>
      <c r="M383" s="77" t="s">
        <v>82</v>
      </c>
      <c r="N383" s="77" t="s">
        <v>83</v>
      </c>
      <c r="Q383" s="77" t="s">
        <v>111</v>
      </c>
      <c r="T383" s="77" t="s">
        <v>112</v>
      </c>
      <c r="U383" s="77" t="s">
        <v>85</v>
      </c>
      <c r="V383" s="80" t="s">
        <v>99</v>
      </c>
      <c r="X383" s="77" t="s">
        <v>100</v>
      </c>
      <c r="Y383" s="78" t="s">
        <v>101</v>
      </c>
      <c r="AA383" s="77" t="s">
        <v>1138</v>
      </c>
      <c r="AB383" s="77" t="s">
        <v>78</v>
      </c>
      <c r="AC383" s="77" t="s">
        <v>90</v>
      </c>
      <c r="AD383" s="77" t="s">
        <v>102</v>
      </c>
      <c r="AE383" s="77" t="s">
        <v>1139</v>
      </c>
      <c r="AG383" s="77" t="s">
        <v>112</v>
      </c>
    </row>
    <row r="384" spans="1:33" x14ac:dyDescent="0.3">
      <c r="A384" s="77" t="s">
        <v>1156</v>
      </c>
      <c r="B384" s="77" t="s">
        <v>1157</v>
      </c>
      <c r="G384" s="77" t="s">
        <v>1137</v>
      </c>
      <c r="H384" s="77" t="s">
        <v>77</v>
      </c>
      <c r="I384" s="77" t="s">
        <v>78</v>
      </c>
      <c r="J384" s="77" t="s">
        <v>79</v>
      </c>
      <c r="K384" s="77" t="s">
        <v>80</v>
      </c>
      <c r="L384" s="77" t="s">
        <v>653</v>
      </c>
      <c r="M384" s="77" t="s">
        <v>82</v>
      </c>
      <c r="N384" s="77" t="s">
        <v>83</v>
      </c>
      <c r="Q384" s="77" t="s">
        <v>111</v>
      </c>
      <c r="T384" s="77" t="s">
        <v>112</v>
      </c>
      <c r="U384" s="77" t="s">
        <v>85</v>
      </c>
      <c r="V384" s="80" t="s">
        <v>105</v>
      </c>
      <c r="X384" s="77" t="s">
        <v>106</v>
      </c>
      <c r="Y384" s="78" t="s">
        <v>101</v>
      </c>
      <c r="AA384" s="77" t="s">
        <v>1138</v>
      </c>
      <c r="AB384" s="77" t="s">
        <v>78</v>
      </c>
      <c r="AC384" s="77" t="s">
        <v>90</v>
      </c>
      <c r="AD384" s="77" t="s">
        <v>102</v>
      </c>
      <c r="AE384" s="77" t="s">
        <v>1139</v>
      </c>
      <c r="AG384" s="77" t="s">
        <v>112</v>
      </c>
    </row>
    <row r="385" spans="1:33" x14ac:dyDescent="0.3">
      <c r="A385" s="77" t="s">
        <v>1158</v>
      </c>
      <c r="B385" s="77" t="s">
        <v>1159</v>
      </c>
      <c r="G385" s="77" t="s">
        <v>1137</v>
      </c>
      <c r="H385" s="77" t="s">
        <v>77</v>
      </c>
      <c r="I385" s="77" t="s">
        <v>78</v>
      </c>
      <c r="J385" s="77" t="s">
        <v>79</v>
      </c>
      <c r="K385" s="77" t="s">
        <v>80</v>
      </c>
      <c r="L385" s="77" t="s">
        <v>653</v>
      </c>
      <c r="M385" s="77" t="s">
        <v>82</v>
      </c>
      <c r="N385" s="77" t="s">
        <v>83</v>
      </c>
      <c r="Q385" s="77" t="s">
        <v>111</v>
      </c>
      <c r="T385" s="77" t="s">
        <v>112</v>
      </c>
      <c r="U385" s="77" t="s">
        <v>85</v>
      </c>
      <c r="V385" s="80" t="s">
        <v>105</v>
      </c>
      <c r="X385" s="77" t="s">
        <v>106</v>
      </c>
      <c r="Y385" s="78" t="s">
        <v>101</v>
      </c>
      <c r="AA385" s="77" t="s">
        <v>1138</v>
      </c>
      <c r="AB385" s="77" t="s">
        <v>78</v>
      </c>
      <c r="AC385" s="77" t="s">
        <v>90</v>
      </c>
      <c r="AD385" s="77" t="s">
        <v>102</v>
      </c>
      <c r="AE385" s="77" t="s">
        <v>1139</v>
      </c>
      <c r="AG385" s="77" t="s">
        <v>112</v>
      </c>
    </row>
    <row r="386" spans="1:33" x14ac:dyDescent="0.3">
      <c r="A386" s="77" t="s">
        <v>1160</v>
      </c>
      <c r="B386" s="77" t="s">
        <v>1161</v>
      </c>
      <c r="G386" s="77" t="s">
        <v>1137</v>
      </c>
      <c r="H386" s="77" t="s">
        <v>77</v>
      </c>
      <c r="I386" s="77" t="s">
        <v>78</v>
      </c>
      <c r="J386" s="77" t="s">
        <v>79</v>
      </c>
      <c r="K386" s="77" t="s">
        <v>80</v>
      </c>
      <c r="L386" s="77" t="s">
        <v>653</v>
      </c>
      <c r="M386" s="77" t="s">
        <v>82</v>
      </c>
      <c r="N386" s="77" t="s">
        <v>83</v>
      </c>
      <c r="Q386" s="77" t="s">
        <v>111</v>
      </c>
      <c r="T386" s="77" t="s">
        <v>112</v>
      </c>
      <c r="U386" s="77" t="s">
        <v>85</v>
      </c>
      <c r="V386" s="80" t="s">
        <v>105</v>
      </c>
      <c r="X386" s="77" t="s">
        <v>106</v>
      </c>
      <c r="Y386" s="78" t="s">
        <v>101</v>
      </c>
      <c r="AA386" s="77" t="s">
        <v>1138</v>
      </c>
      <c r="AB386" s="77" t="s">
        <v>78</v>
      </c>
      <c r="AC386" s="77" t="s">
        <v>90</v>
      </c>
      <c r="AD386" s="77" t="s">
        <v>102</v>
      </c>
      <c r="AE386" s="77" t="s">
        <v>1139</v>
      </c>
      <c r="AG386" s="77" t="s">
        <v>112</v>
      </c>
    </row>
    <row r="387" spans="1:33" x14ac:dyDescent="0.3">
      <c r="A387" s="77" t="s">
        <v>1162</v>
      </c>
      <c r="B387" s="77" t="s">
        <v>1163</v>
      </c>
      <c r="G387" s="77" t="s">
        <v>1137</v>
      </c>
      <c r="H387" s="77" t="s">
        <v>77</v>
      </c>
      <c r="I387" s="77" t="s">
        <v>78</v>
      </c>
      <c r="J387" s="77" t="s">
        <v>79</v>
      </c>
      <c r="K387" s="77" t="s">
        <v>80</v>
      </c>
      <c r="L387" s="77" t="s">
        <v>1164</v>
      </c>
      <c r="M387" s="77" t="s">
        <v>82</v>
      </c>
      <c r="N387" s="77" t="s">
        <v>83</v>
      </c>
      <c r="Q387" s="77" t="s">
        <v>111</v>
      </c>
      <c r="T387" s="77" t="s">
        <v>112</v>
      </c>
      <c r="U387" s="77" t="s">
        <v>85</v>
      </c>
      <c r="V387" s="80" t="s">
        <v>86</v>
      </c>
      <c r="X387" s="77" t="s">
        <v>87</v>
      </c>
      <c r="Y387" s="78" t="s">
        <v>88</v>
      </c>
      <c r="AA387" s="77" t="s">
        <v>1138</v>
      </c>
      <c r="AB387" s="77" t="s">
        <v>78</v>
      </c>
      <c r="AC387" s="77" t="s">
        <v>90</v>
      </c>
      <c r="AD387" s="77" t="s">
        <v>91</v>
      </c>
      <c r="AE387" s="77" t="s">
        <v>1139</v>
      </c>
      <c r="AG387" s="77" t="s">
        <v>112</v>
      </c>
    </row>
    <row r="388" spans="1:33" x14ac:dyDescent="0.3">
      <c r="A388" s="77" t="s">
        <v>1165</v>
      </c>
      <c r="B388" s="77" t="s">
        <v>1166</v>
      </c>
      <c r="G388" s="77" t="s">
        <v>1137</v>
      </c>
      <c r="H388" s="77" t="s">
        <v>77</v>
      </c>
      <c r="I388" s="77" t="s">
        <v>78</v>
      </c>
      <c r="J388" s="77" t="s">
        <v>79</v>
      </c>
      <c r="K388" s="77" t="s">
        <v>80</v>
      </c>
      <c r="L388" s="77" t="s">
        <v>1164</v>
      </c>
      <c r="M388" s="77" t="s">
        <v>82</v>
      </c>
      <c r="N388" s="77" t="s">
        <v>83</v>
      </c>
      <c r="Q388" s="77" t="s">
        <v>111</v>
      </c>
      <c r="T388" s="77" t="s">
        <v>112</v>
      </c>
      <c r="U388" s="77" t="s">
        <v>85</v>
      </c>
      <c r="V388" s="80" t="s">
        <v>86</v>
      </c>
      <c r="X388" s="77" t="s">
        <v>87</v>
      </c>
      <c r="Y388" s="78" t="s">
        <v>88</v>
      </c>
      <c r="AA388" s="77" t="s">
        <v>1138</v>
      </c>
      <c r="AB388" s="77" t="s">
        <v>78</v>
      </c>
      <c r="AC388" s="77" t="s">
        <v>90</v>
      </c>
      <c r="AD388" s="77" t="s">
        <v>91</v>
      </c>
      <c r="AE388" s="77" t="s">
        <v>1139</v>
      </c>
      <c r="AG388" s="77" t="s">
        <v>112</v>
      </c>
    </row>
    <row r="389" spans="1:33" x14ac:dyDescent="0.3">
      <c r="A389" s="77" t="s">
        <v>1167</v>
      </c>
      <c r="B389" s="77" t="s">
        <v>1168</v>
      </c>
      <c r="G389" s="77" t="s">
        <v>1137</v>
      </c>
      <c r="H389" s="77" t="s">
        <v>77</v>
      </c>
      <c r="I389" s="77" t="s">
        <v>78</v>
      </c>
      <c r="J389" s="77" t="s">
        <v>79</v>
      </c>
      <c r="K389" s="77" t="s">
        <v>80</v>
      </c>
      <c r="L389" s="77" t="s">
        <v>1169</v>
      </c>
      <c r="M389" s="77" t="s">
        <v>82</v>
      </c>
      <c r="N389" s="77" t="s">
        <v>83</v>
      </c>
      <c r="Q389" s="77" t="s">
        <v>111</v>
      </c>
      <c r="T389" s="77" t="s">
        <v>112</v>
      </c>
      <c r="U389" s="77" t="s">
        <v>85</v>
      </c>
      <c r="V389" s="80" t="s">
        <v>86</v>
      </c>
      <c r="X389" s="77" t="s">
        <v>87</v>
      </c>
      <c r="Y389" s="78" t="s">
        <v>88</v>
      </c>
      <c r="AA389" s="77" t="s">
        <v>1138</v>
      </c>
      <c r="AB389" s="77" t="s">
        <v>78</v>
      </c>
      <c r="AC389" s="77" t="s">
        <v>90</v>
      </c>
      <c r="AD389" s="77" t="s">
        <v>91</v>
      </c>
      <c r="AE389" s="77" t="s">
        <v>1139</v>
      </c>
      <c r="AG389" s="77" t="s">
        <v>112</v>
      </c>
    </row>
    <row r="390" spans="1:33" x14ac:dyDescent="0.3">
      <c r="A390" s="77" t="s">
        <v>1170</v>
      </c>
      <c r="B390" s="77" t="s">
        <v>1171</v>
      </c>
      <c r="G390" s="77" t="s">
        <v>1137</v>
      </c>
      <c r="H390" s="77" t="s">
        <v>77</v>
      </c>
      <c r="I390" s="77" t="s">
        <v>78</v>
      </c>
      <c r="J390" s="77" t="s">
        <v>79</v>
      </c>
      <c r="K390" s="77" t="s">
        <v>80</v>
      </c>
      <c r="L390" s="77" t="s">
        <v>1164</v>
      </c>
      <c r="M390" s="77" t="s">
        <v>82</v>
      </c>
      <c r="N390" s="77" t="s">
        <v>83</v>
      </c>
      <c r="Q390" s="77" t="s">
        <v>111</v>
      </c>
      <c r="T390" s="77" t="s">
        <v>112</v>
      </c>
      <c r="U390" s="77" t="s">
        <v>85</v>
      </c>
      <c r="V390" s="80" t="s">
        <v>86</v>
      </c>
      <c r="X390" s="77" t="s">
        <v>87</v>
      </c>
      <c r="Y390" s="78" t="s">
        <v>88</v>
      </c>
      <c r="AA390" s="77" t="s">
        <v>1138</v>
      </c>
      <c r="AB390" s="77" t="s">
        <v>78</v>
      </c>
      <c r="AC390" s="77" t="s">
        <v>90</v>
      </c>
      <c r="AD390" s="77" t="s">
        <v>91</v>
      </c>
      <c r="AE390" s="77" t="s">
        <v>1139</v>
      </c>
      <c r="AG390" s="77" t="s">
        <v>112</v>
      </c>
    </row>
    <row r="391" spans="1:33" x14ac:dyDescent="0.3">
      <c r="A391" s="77" t="s">
        <v>1172</v>
      </c>
      <c r="B391" s="77" t="s">
        <v>1173</v>
      </c>
      <c r="G391" s="77" t="s">
        <v>1137</v>
      </c>
      <c r="H391" s="77" t="s">
        <v>77</v>
      </c>
      <c r="I391" s="77" t="s">
        <v>78</v>
      </c>
      <c r="J391" s="77" t="s">
        <v>79</v>
      </c>
      <c r="K391" s="77" t="s">
        <v>80</v>
      </c>
      <c r="L391" s="77" t="s">
        <v>1174</v>
      </c>
      <c r="M391" s="77" t="s">
        <v>82</v>
      </c>
      <c r="N391" s="77" t="s">
        <v>83</v>
      </c>
      <c r="Q391" s="77" t="s">
        <v>111</v>
      </c>
      <c r="T391" s="77" t="s">
        <v>112</v>
      </c>
      <c r="U391" s="77" t="s">
        <v>85</v>
      </c>
      <c r="V391" s="80" t="s">
        <v>86</v>
      </c>
      <c r="X391" s="77" t="s">
        <v>87</v>
      </c>
      <c r="Y391" s="78" t="s">
        <v>88</v>
      </c>
      <c r="AA391" s="77" t="s">
        <v>1138</v>
      </c>
      <c r="AB391" s="77" t="s">
        <v>78</v>
      </c>
      <c r="AC391" s="77" t="s">
        <v>90</v>
      </c>
      <c r="AD391" s="77" t="s">
        <v>91</v>
      </c>
      <c r="AE391" s="77" t="s">
        <v>1139</v>
      </c>
      <c r="AG391" s="77" t="s">
        <v>112</v>
      </c>
    </row>
    <row r="392" spans="1:33" x14ac:dyDescent="0.3">
      <c r="A392" s="77" t="s">
        <v>1175</v>
      </c>
      <c r="B392" s="77" t="s">
        <v>1176</v>
      </c>
      <c r="G392" s="77" t="s">
        <v>1137</v>
      </c>
      <c r="H392" s="77" t="s">
        <v>77</v>
      </c>
      <c r="I392" s="77" t="s">
        <v>78</v>
      </c>
      <c r="J392" s="77" t="s">
        <v>79</v>
      </c>
      <c r="K392" s="77" t="s">
        <v>80</v>
      </c>
      <c r="L392" s="77" t="s">
        <v>1177</v>
      </c>
      <c r="M392" s="77" t="s">
        <v>82</v>
      </c>
      <c r="N392" s="77" t="s">
        <v>83</v>
      </c>
      <c r="Q392" s="77" t="s">
        <v>111</v>
      </c>
      <c r="T392" s="77" t="s">
        <v>112</v>
      </c>
      <c r="U392" s="77" t="s">
        <v>85</v>
      </c>
      <c r="V392" s="80" t="s">
        <v>86</v>
      </c>
      <c r="X392" s="77" t="s">
        <v>87</v>
      </c>
      <c r="Y392" s="78" t="s">
        <v>88</v>
      </c>
      <c r="AA392" s="77" t="s">
        <v>1138</v>
      </c>
      <c r="AB392" s="77" t="s">
        <v>78</v>
      </c>
      <c r="AC392" s="77" t="s">
        <v>90</v>
      </c>
      <c r="AD392" s="77" t="s">
        <v>91</v>
      </c>
      <c r="AE392" s="77" t="s">
        <v>1139</v>
      </c>
      <c r="AG392" s="77" t="s">
        <v>112</v>
      </c>
    </row>
    <row r="393" spans="1:33" x14ac:dyDescent="0.3">
      <c r="A393" s="77" t="s">
        <v>1178</v>
      </c>
      <c r="B393" s="77" t="s">
        <v>1179</v>
      </c>
      <c r="G393" s="77" t="s">
        <v>1137</v>
      </c>
      <c r="H393" s="77" t="s">
        <v>77</v>
      </c>
      <c r="I393" s="77" t="s">
        <v>78</v>
      </c>
      <c r="J393" s="77" t="s">
        <v>79</v>
      </c>
      <c r="K393" s="77" t="s">
        <v>80</v>
      </c>
      <c r="L393" s="77" t="s">
        <v>1180</v>
      </c>
      <c r="M393" s="77" t="s">
        <v>82</v>
      </c>
      <c r="N393" s="77" t="s">
        <v>83</v>
      </c>
      <c r="Q393" s="77" t="s">
        <v>111</v>
      </c>
      <c r="T393" s="77" t="s">
        <v>112</v>
      </c>
      <c r="U393" s="77" t="s">
        <v>85</v>
      </c>
      <c r="V393" s="80" t="s">
        <v>95</v>
      </c>
      <c r="X393" s="77" t="s">
        <v>96</v>
      </c>
      <c r="Y393" s="78" t="s">
        <v>88</v>
      </c>
      <c r="AA393" s="77" t="s">
        <v>1138</v>
      </c>
      <c r="AB393" s="77" t="s">
        <v>78</v>
      </c>
      <c r="AC393" s="77" t="s">
        <v>90</v>
      </c>
      <c r="AD393" s="77" t="s">
        <v>91</v>
      </c>
      <c r="AE393" s="77" t="s">
        <v>1139</v>
      </c>
      <c r="AG393" s="77" t="s">
        <v>112</v>
      </c>
    </row>
    <row r="394" spans="1:33" x14ac:dyDescent="0.3">
      <c r="A394" s="77" t="s">
        <v>1181</v>
      </c>
      <c r="B394" s="77" t="s">
        <v>1182</v>
      </c>
      <c r="G394" s="77" t="s">
        <v>1137</v>
      </c>
      <c r="H394" s="77" t="s">
        <v>77</v>
      </c>
      <c r="I394" s="77" t="s">
        <v>78</v>
      </c>
      <c r="J394" s="77" t="s">
        <v>79</v>
      </c>
      <c r="K394" s="77" t="s">
        <v>80</v>
      </c>
      <c r="L394" s="77" t="s">
        <v>1180</v>
      </c>
      <c r="M394" s="77" t="s">
        <v>82</v>
      </c>
      <c r="N394" s="77" t="s">
        <v>83</v>
      </c>
      <c r="Q394" s="77" t="s">
        <v>111</v>
      </c>
      <c r="T394" s="77" t="s">
        <v>112</v>
      </c>
      <c r="U394" s="77" t="s">
        <v>85</v>
      </c>
      <c r="V394" s="80" t="s">
        <v>95</v>
      </c>
      <c r="X394" s="77" t="s">
        <v>96</v>
      </c>
      <c r="Y394" s="78" t="s">
        <v>88</v>
      </c>
      <c r="AA394" s="77" t="s">
        <v>1138</v>
      </c>
      <c r="AB394" s="77" t="s">
        <v>78</v>
      </c>
      <c r="AC394" s="77" t="s">
        <v>90</v>
      </c>
      <c r="AD394" s="77" t="s">
        <v>91</v>
      </c>
      <c r="AE394" s="77" t="s">
        <v>1139</v>
      </c>
      <c r="AG394" s="77" t="s">
        <v>112</v>
      </c>
    </row>
    <row r="395" spans="1:33" x14ac:dyDescent="0.3">
      <c r="A395" s="77" t="s">
        <v>1183</v>
      </c>
      <c r="B395" s="77" t="s">
        <v>1184</v>
      </c>
      <c r="G395" s="77" t="s">
        <v>1137</v>
      </c>
      <c r="H395" s="77" t="s">
        <v>77</v>
      </c>
      <c r="I395" s="77" t="s">
        <v>78</v>
      </c>
      <c r="J395" s="77" t="s">
        <v>79</v>
      </c>
      <c r="K395" s="77" t="s">
        <v>80</v>
      </c>
      <c r="L395" s="77" t="s">
        <v>1185</v>
      </c>
      <c r="M395" s="77" t="s">
        <v>82</v>
      </c>
      <c r="N395" s="77" t="s">
        <v>83</v>
      </c>
      <c r="Q395" s="77" t="s">
        <v>111</v>
      </c>
      <c r="T395" s="77" t="s">
        <v>112</v>
      </c>
      <c r="U395" s="77" t="s">
        <v>85</v>
      </c>
      <c r="V395" s="80" t="s">
        <v>95</v>
      </c>
      <c r="X395" s="77" t="s">
        <v>96</v>
      </c>
      <c r="Y395" s="78" t="s">
        <v>88</v>
      </c>
      <c r="AA395" s="77" t="s">
        <v>1138</v>
      </c>
      <c r="AB395" s="77" t="s">
        <v>78</v>
      </c>
      <c r="AC395" s="77" t="s">
        <v>90</v>
      </c>
      <c r="AD395" s="77" t="s">
        <v>91</v>
      </c>
      <c r="AE395" s="77" t="s">
        <v>1139</v>
      </c>
      <c r="AG395" s="77" t="s">
        <v>112</v>
      </c>
    </row>
    <row r="396" spans="1:33" x14ac:dyDescent="0.3">
      <c r="A396" s="77" t="s">
        <v>1186</v>
      </c>
      <c r="B396" s="77" t="s">
        <v>1187</v>
      </c>
      <c r="G396" s="77" t="s">
        <v>1137</v>
      </c>
      <c r="H396" s="77" t="s">
        <v>77</v>
      </c>
      <c r="I396" s="77" t="s">
        <v>78</v>
      </c>
      <c r="J396" s="77" t="s">
        <v>79</v>
      </c>
      <c r="K396" s="77" t="s">
        <v>80</v>
      </c>
      <c r="L396" s="77" t="s">
        <v>1180</v>
      </c>
      <c r="M396" s="77" t="s">
        <v>82</v>
      </c>
      <c r="N396" s="77" t="s">
        <v>83</v>
      </c>
      <c r="Q396" s="77" t="s">
        <v>111</v>
      </c>
      <c r="T396" s="77" t="s">
        <v>112</v>
      </c>
      <c r="U396" s="77" t="s">
        <v>85</v>
      </c>
      <c r="V396" s="80" t="s">
        <v>95</v>
      </c>
      <c r="X396" s="77" t="s">
        <v>96</v>
      </c>
      <c r="Y396" s="78" t="s">
        <v>88</v>
      </c>
      <c r="AA396" s="77" t="s">
        <v>1138</v>
      </c>
      <c r="AB396" s="77" t="s">
        <v>78</v>
      </c>
      <c r="AC396" s="77" t="s">
        <v>90</v>
      </c>
      <c r="AD396" s="77" t="s">
        <v>91</v>
      </c>
      <c r="AE396" s="77" t="s">
        <v>1139</v>
      </c>
      <c r="AG396" s="77" t="s">
        <v>112</v>
      </c>
    </row>
    <row r="397" spans="1:33" x14ac:dyDescent="0.3">
      <c r="A397" s="77" t="s">
        <v>1188</v>
      </c>
      <c r="B397" s="77" t="s">
        <v>1189</v>
      </c>
      <c r="G397" s="77" t="s">
        <v>1137</v>
      </c>
      <c r="H397" s="77" t="s">
        <v>77</v>
      </c>
      <c r="I397" s="77" t="s">
        <v>78</v>
      </c>
      <c r="J397" s="77" t="s">
        <v>79</v>
      </c>
      <c r="K397" s="77" t="s">
        <v>80</v>
      </c>
      <c r="L397" s="77" t="s">
        <v>1190</v>
      </c>
      <c r="M397" s="77" t="s">
        <v>82</v>
      </c>
      <c r="N397" s="77" t="s">
        <v>83</v>
      </c>
      <c r="Q397" s="77" t="s">
        <v>111</v>
      </c>
      <c r="T397" s="77" t="s">
        <v>112</v>
      </c>
      <c r="U397" s="77" t="s">
        <v>85</v>
      </c>
      <c r="V397" s="80" t="s">
        <v>95</v>
      </c>
      <c r="X397" s="77" t="s">
        <v>96</v>
      </c>
      <c r="Y397" s="78" t="s">
        <v>88</v>
      </c>
      <c r="AA397" s="77" t="s">
        <v>1138</v>
      </c>
      <c r="AB397" s="77" t="s">
        <v>78</v>
      </c>
      <c r="AC397" s="77" t="s">
        <v>90</v>
      </c>
      <c r="AD397" s="77" t="s">
        <v>91</v>
      </c>
      <c r="AE397" s="77" t="s">
        <v>1139</v>
      </c>
      <c r="AG397" s="77" t="s">
        <v>112</v>
      </c>
    </row>
    <row r="398" spans="1:33" x14ac:dyDescent="0.3">
      <c r="A398" s="77" t="s">
        <v>1191</v>
      </c>
      <c r="B398" s="77" t="s">
        <v>1192</v>
      </c>
      <c r="G398" s="77" t="s">
        <v>1137</v>
      </c>
      <c r="H398" s="77" t="s">
        <v>77</v>
      </c>
      <c r="I398" s="77" t="s">
        <v>78</v>
      </c>
      <c r="J398" s="77" t="s">
        <v>79</v>
      </c>
      <c r="K398" s="77" t="s">
        <v>80</v>
      </c>
      <c r="L398" s="77" t="s">
        <v>1193</v>
      </c>
      <c r="M398" s="77" t="s">
        <v>82</v>
      </c>
      <c r="N398" s="77" t="s">
        <v>83</v>
      </c>
      <c r="Q398" s="77" t="s">
        <v>111</v>
      </c>
      <c r="T398" s="77" t="s">
        <v>112</v>
      </c>
      <c r="U398" s="77" t="s">
        <v>85</v>
      </c>
      <c r="V398" s="80" t="s">
        <v>95</v>
      </c>
      <c r="X398" s="77" t="s">
        <v>96</v>
      </c>
      <c r="Y398" s="78" t="s">
        <v>88</v>
      </c>
      <c r="AA398" s="77" t="s">
        <v>1138</v>
      </c>
      <c r="AB398" s="77" t="s">
        <v>78</v>
      </c>
      <c r="AC398" s="77" t="s">
        <v>90</v>
      </c>
      <c r="AD398" s="77" t="s">
        <v>91</v>
      </c>
      <c r="AE398" s="77" t="s">
        <v>1139</v>
      </c>
      <c r="AG398" s="77" t="s">
        <v>112</v>
      </c>
    </row>
    <row r="399" spans="1:33" x14ac:dyDescent="0.3">
      <c r="A399" s="77" t="s">
        <v>1194</v>
      </c>
      <c r="B399" s="77" t="s">
        <v>1195</v>
      </c>
      <c r="G399" s="77" t="s">
        <v>1137</v>
      </c>
      <c r="H399" s="77" t="s">
        <v>77</v>
      </c>
      <c r="I399" s="77" t="s">
        <v>78</v>
      </c>
      <c r="J399" s="77" t="s">
        <v>79</v>
      </c>
      <c r="K399" s="77" t="s">
        <v>80</v>
      </c>
      <c r="L399" s="77" t="s">
        <v>1196</v>
      </c>
      <c r="M399" s="77" t="s">
        <v>82</v>
      </c>
      <c r="N399" s="77" t="s">
        <v>83</v>
      </c>
      <c r="Q399" s="77" t="s">
        <v>111</v>
      </c>
      <c r="T399" s="77" t="s">
        <v>112</v>
      </c>
      <c r="U399" s="77" t="s">
        <v>85</v>
      </c>
      <c r="V399" s="80" t="s">
        <v>99</v>
      </c>
      <c r="X399" s="77" t="s">
        <v>100</v>
      </c>
      <c r="Y399" s="78" t="s">
        <v>101</v>
      </c>
      <c r="AA399" s="77" t="s">
        <v>1138</v>
      </c>
      <c r="AB399" s="77" t="s">
        <v>78</v>
      </c>
      <c r="AC399" s="77" t="s">
        <v>90</v>
      </c>
      <c r="AD399" s="77" t="s">
        <v>102</v>
      </c>
      <c r="AE399" s="77" t="s">
        <v>1139</v>
      </c>
      <c r="AG399" s="77" t="s">
        <v>112</v>
      </c>
    </row>
    <row r="400" spans="1:33" x14ac:dyDescent="0.3">
      <c r="A400" s="77" t="s">
        <v>1197</v>
      </c>
      <c r="B400" s="77" t="s">
        <v>1198</v>
      </c>
      <c r="G400" s="77" t="s">
        <v>1137</v>
      </c>
      <c r="H400" s="77" t="s">
        <v>77</v>
      </c>
      <c r="I400" s="77" t="s">
        <v>78</v>
      </c>
      <c r="J400" s="77" t="s">
        <v>79</v>
      </c>
      <c r="K400" s="77" t="s">
        <v>80</v>
      </c>
      <c r="L400" s="77" t="s">
        <v>1196</v>
      </c>
      <c r="M400" s="77" t="s">
        <v>82</v>
      </c>
      <c r="N400" s="77" t="s">
        <v>83</v>
      </c>
      <c r="Q400" s="77" t="s">
        <v>111</v>
      </c>
      <c r="T400" s="77" t="s">
        <v>112</v>
      </c>
      <c r="U400" s="77" t="s">
        <v>85</v>
      </c>
      <c r="V400" s="80" t="s">
        <v>99</v>
      </c>
      <c r="X400" s="77" t="s">
        <v>100</v>
      </c>
      <c r="Y400" s="78" t="s">
        <v>101</v>
      </c>
      <c r="AA400" s="77" t="s">
        <v>1138</v>
      </c>
      <c r="AB400" s="77" t="s">
        <v>78</v>
      </c>
      <c r="AC400" s="77" t="s">
        <v>90</v>
      </c>
      <c r="AD400" s="77" t="s">
        <v>102</v>
      </c>
      <c r="AE400" s="77" t="s">
        <v>1139</v>
      </c>
      <c r="AG400" s="77" t="s">
        <v>112</v>
      </c>
    </row>
    <row r="401" spans="1:33" x14ac:dyDescent="0.3">
      <c r="A401" s="77" t="s">
        <v>1199</v>
      </c>
      <c r="B401" s="77" t="s">
        <v>1200</v>
      </c>
      <c r="G401" s="77" t="s">
        <v>1137</v>
      </c>
      <c r="H401" s="77" t="s">
        <v>77</v>
      </c>
      <c r="I401" s="77" t="s">
        <v>78</v>
      </c>
      <c r="J401" s="77" t="s">
        <v>79</v>
      </c>
      <c r="K401" s="77" t="s">
        <v>80</v>
      </c>
      <c r="L401" s="77" t="s">
        <v>1201</v>
      </c>
      <c r="M401" s="77" t="s">
        <v>82</v>
      </c>
      <c r="N401" s="77" t="s">
        <v>83</v>
      </c>
      <c r="Q401" s="77" t="s">
        <v>111</v>
      </c>
      <c r="T401" s="77" t="s">
        <v>112</v>
      </c>
      <c r="U401" s="77" t="s">
        <v>85</v>
      </c>
      <c r="V401" s="80" t="s">
        <v>99</v>
      </c>
      <c r="X401" s="77" t="s">
        <v>100</v>
      </c>
      <c r="Y401" s="78" t="s">
        <v>101</v>
      </c>
      <c r="AA401" s="77" t="s">
        <v>1138</v>
      </c>
      <c r="AB401" s="77" t="s">
        <v>78</v>
      </c>
      <c r="AC401" s="77" t="s">
        <v>90</v>
      </c>
      <c r="AD401" s="77" t="s">
        <v>102</v>
      </c>
      <c r="AE401" s="77" t="s">
        <v>1139</v>
      </c>
      <c r="AG401" s="77" t="s">
        <v>112</v>
      </c>
    </row>
    <row r="402" spans="1:33" x14ac:dyDescent="0.3">
      <c r="A402" s="77" t="s">
        <v>1202</v>
      </c>
      <c r="B402" s="77" t="s">
        <v>1203</v>
      </c>
      <c r="G402" s="77" t="s">
        <v>1137</v>
      </c>
      <c r="H402" s="77" t="s">
        <v>77</v>
      </c>
      <c r="I402" s="77" t="s">
        <v>78</v>
      </c>
      <c r="J402" s="77" t="s">
        <v>79</v>
      </c>
      <c r="K402" s="77" t="s">
        <v>80</v>
      </c>
      <c r="L402" s="77" t="s">
        <v>1196</v>
      </c>
      <c r="M402" s="77" t="s">
        <v>82</v>
      </c>
      <c r="N402" s="77" t="s">
        <v>83</v>
      </c>
      <c r="Q402" s="77" t="s">
        <v>111</v>
      </c>
      <c r="T402" s="77" t="s">
        <v>112</v>
      </c>
      <c r="U402" s="77" t="s">
        <v>85</v>
      </c>
      <c r="V402" s="80" t="s">
        <v>99</v>
      </c>
      <c r="X402" s="77" t="s">
        <v>100</v>
      </c>
      <c r="Y402" s="78" t="s">
        <v>101</v>
      </c>
      <c r="AA402" s="77" t="s">
        <v>1138</v>
      </c>
      <c r="AB402" s="77" t="s">
        <v>78</v>
      </c>
      <c r="AC402" s="77" t="s">
        <v>90</v>
      </c>
      <c r="AD402" s="77" t="s">
        <v>102</v>
      </c>
      <c r="AE402" s="77" t="s">
        <v>1139</v>
      </c>
      <c r="AG402" s="77" t="s">
        <v>112</v>
      </c>
    </row>
    <row r="403" spans="1:33" x14ac:dyDescent="0.3">
      <c r="A403" s="77" t="s">
        <v>1204</v>
      </c>
      <c r="B403" s="77" t="s">
        <v>1205</v>
      </c>
      <c r="G403" s="77" t="s">
        <v>1137</v>
      </c>
      <c r="H403" s="77" t="s">
        <v>77</v>
      </c>
      <c r="I403" s="77" t="s">
        <v>78</v>
      </c>
      <c r="J403" s="77" t="s">
        <v>79</v>
      </c>
      <c r="K403" s="77" t="s">
        <v>80</v>
      </c>
      <c r="L403" s="77" t="s">
        <v>1206</v>
      </c>
      <c r="M403" s="77" t="s">
        <v>82</v>
      </c>
      <c r="N403" s="77" t="s">
        <v>83</v>
      </c>
      <c r="Q403" s="77" t="s">
        <v>111</v>
      </c>
      <c r="T403" s="77" t="s">
        <v>112</v>
      </c>
      <c r="U403" s="77" t="s">
        <v>85</v>
      </c>
      <c r="V403" s="80" t="s">
        <v>99</v>
      </c>
      <c r="X403" s="77" t="s">
        <v>100</v>
      </c>
      <c r="Y403" s="78" t="s">
        <v>101</v>
      </c>
      <c r="AA403" s="77" t="s">
        <v>1138</v>
      </c>
      <c r="AB403" s="77" t="s">
        <v>78</v>
      </c>
      <c r="AC403" s="77" t="s">
        <v>90</v>
      </c>
      <c r="AD403" s="77" t="s">
        <v>102</v>
      </c>
      <c r="AE403" s="77" t="s">
        <v>1139</v>
      </c>
      <c r="AG403" s="77" t="s">
        <v>112</v>
      </c>
    </row>
    <row r="404" spans="1:33" x14ac:dyDescent="0.3">
      <c r="A404" s="77" t="s">
        <v>1207</v>
      </c>
      <c r="B404" s="77" t="s">
        <v>1208</v>
      </c>
      <c r="G404" s="77" t="s">
        <v>1137</v>
      </c>
      <c r="H404" s="77" t="s">
        <v>77</v>
      </c>
      <c r="I404" s="77" t="s">
        <v>78</v>
      </c>
      <c r="J404" s="77" t="s">
        <v>79</v>
      </c>
      <c r="K404" s="77" t="s">
        <v>80</v>
      </c>
      <c r="L404" s="77" t="s">
        <v>1209</v>
      </c>
      <c r="M404" s="77" t="s">
        <v>82</v>
      </c>
      <c r="N404" s="77" t="s">
        <v>83</v>
      </c>
      <c r="Q404" s="77" t="s">
        <v>111</v>
      </c>
      <c r="T404" s="77" t="s">
        <v>112</v>
      </c>
      <c r="U404" s="77" t="s">
        <v>85</v>
      </c>
      <c r="V404" s="80" t="s">
        <v>99</v>
      </c>
      <c r="X404" s="77" t="s">
        <v>100</v>
      </c>
      <c r="Y404" s="78" t="s">
        <v>101</v>
      </c>
      <c r="AA404" s="77" t="s">
        <v>1138</v>
      </c>
      <c r="AB404" s="77" t="s">
        <v>78</v>
      </c>
      <c r="AC404" s="77" t="s">
        <v>90</v>
      </c>
      <c r="AD404" s="77" t="s">
        <v>102</v>
      </c>
      <c r="AE404" s="77" t="s">
        <v>1139</v>
      </c>
      <c r="AG404" s="77" t="s">
        <v>112</v>
      </c>
    </row>
    <row r="405" spans="1:33" x14ac:dyDescent="0.3">
      <c r="A405" s="77" t="s">
        <v>1210</v>
      </c>
      <c r="B405" s="77" t="s">
        <v>1211</v>
      </c>
      <c r="G405" s="77" t="s">
        <v>1137</v>
      </c>
      <c r="H405" s="77" t="s">
        <v>77</v>
      </c>
      <c r="I405" s="77" t="s">
        <v>78</v>
      </c>
      <c r="J405" s="77" t="s">
        <v>79</v>
      </c>
      <c r="K405" s="77" t="s">
        <v>80</v>
      </c>
      <c r="L405" s="77" t="s">
        <v>1212</v>
      </c>
      <c r="M405" s="77" t="s">
        <v>82</v>
      </c>
      <c r="N405" s="77" t="s">
        <v>83</v>
      </c>
      <c r="Q405" s="77" t="s">
        <v>111</v>
      </c>
      <c r="T405" s="77" t="s">
        <v>112</v>
      </c>
      <c r="U405" s="77" t="s">
        <v>85</v>
      </c>
      <c r="V405" s="80" t="s">
        <v>105</v>
      </c>
      <c r="X405" s="77" t="s">
        <v>106</v>
      </c>
      <c r="Y405" s="78" t="s">
        <v>101</v>
      </c>
      <c r="AA405" s="77" t="s">
        <v>1138</v>
      </c>
      <c r="AB405" s="77" t="s">
        <v>78</v>
      </c>
      <c r="AC405" s="77" t="s">
        <v>90</v>
      </c>
      <c r="AD405" s="77" t="s">
        <v>102</v>
      </c>
      <c r="AE405" s="77" t="s">
        <v>1139</v>
      </c>
      <c r="AG405" s="77" t="s">
        <v>112</v>
      </c>
    </row>
    <row r="406" spans="1:33" x14ac:dyDescent="0.3">
      <c r="A406" s="77" t="s">
        <v>1213</v>
      </c>
      <c r="B406" s="77" t="s">
        <v>1214</v>
      </c>
      <c r="G406" s="77" t="s">
        <v>1137</v>
      </c>
      <c r="H406" s="77" t="s">
        <v>77</v>
      </c>
      <c r="I406" s="77" t="s">
        <v>78</v>
      </c>
      <c r="J406" s="77" t="s">
        <v>79</v>
      </c>
      <c r="K406" s="77" t="s">
        <v>80</v>
      </c>
      <c r="L406" s="77" t="s">
        <v>1212</v>
      </c>
      <c r="M406" s="77" t="s">
        <v>82</v>
      </c>
      <c r="N406" s="77" t="s">
        <v>83</v>
      </c>
      <c r="Q406" s="77" t="s">
        <v>111</v>
      </c>
      <c r="T406" s="77" t="s">
        <v>112</v>
      </c>
      <c r="U406" s="77" t="s">
        <v>85</v>
      </c>
      <c r="V406" s="80" t="s">
        <v>105</v>
      </c>
      <c r="X406" s="77" t="s">
        <v>106</v>
      </c>
      <c r="Y406" s="78" t="s">
        <v>101</v>
      </c>
      <c r="AA406" s="77" t="s">
        <v>1138</v>
      </c>
      <c r="AB406" s="77" t="s">
        <v>78</v>
      </c>
      <c r="AC406" s="77" t="s">
        <v>90</v>
      </c>
      <c r="AD406" s="77" t="s">
        <v>102</v>
      </c>
      <c r="AE406" s="77" t="s">
        <v>1139</v>
      </c>
      <c r="AG406" s="77" t="s">
        <v>112</v>
      </c>
    </row>
    <row r="407" spans="1:33" x14ac:dyDescent="0.3">
      <c r="A407" s="77" t="s">
        <v>1215</v>
      </c>
      <c r="B407" s="77" t="s">
        <v>1216</v>
      </c>
      <c r="G407" s="77" t="s">
        <v>1137</v>
      </c>
      <c r="H407" s="77" t="s">
        <v>77</v>
      </c>
      <c r="I407" s="77" t="s">
        <v>78</v>
      </c>
      <c r="J407" s="77" t="s">
        <v>79</v>
      </c>
      <c r="K407" s="77" t="s">
        <v>80</v>
      </c>
      <c r="L407" s="77" t="s">
        <v>1217</v>
      </c>
      <c r="M407" s="77" t="s">
        <v>82</v>
      </c>
      <c r="N407" s="77" t="s">
        <v>83</v>
      </c>
      <c r="Q407" s="77" t="s">
        <v>111</v>
      </c>
      <c r="T407" s="77" t="s">
        <v>112</v>
      </c>
      <c r="U407" s="77" t="s">
        <v>85</v>
      </c>
      <c r="V407" s="80" t="s">
        <v>105</v>
      </c>
      <c r="X407" s="77" t="s">
        <v>106</v>
      </c>
      <c r="Y407" s="78" t="s">
        <v>101</v>
      </c>
      <c r="AA407" s="77" t="s">
        <v>1138</v>
      </c>
      <c r="AB407" s="77" t="s">
        <v>78</v>
      </c>
      <c r="AC407" s="77" t="s">
        <v>90</v>
      </c>
      <c r="AD407" s="77" t="s">
        <v>102</v>
      </c>
      <c r="AE407" s="77" t="s">
        <v>1139</v>
      </c>
      <c r="AG407" s="77" t="s">
        <v>112</v>
      </c>
    </row>
    <row r="408" spans="1:33" x14ac:dyDescent="0.3">
      <c r="A408" s="77" t="s">
        <v>1218</v>
      </c>
      <c r="B408" s="77" t="s">
        <v>1219</v>
      </c>
      <c r="G408" s="77" t="s">
        <v>1137</v>
      </c>
      <c r="H408" s="77" t="s">
        <v>77</v>
      </c>
      <c r="I408" s="77" t="s">
        <v>78</v>
      </c>
      <c r="J408" s="77" t="s">
        <v>79</v>
      </c>
      <c r="K408" s="77" t="s">
        <v>80</v>
      </c>
      <c r="L408" s="77" t="s">
        <v>1212</v>
      </c>
      <c r="M408" s="77" t="s">
        <v>82</v>
      </c>
      <c r="N408" s="77" t="s">
        <v>83</v>
      </c>
      <c r="Q408" s="77" t="s">
        <v>111</v>
      </c>
      <c r="T408" s="77" t="s">
        <v>112</v>
      </c>
      <c r="U408" s="77" t="s">
        <v>85</v>
      </c>
      <c r="V408" s="80" t="s">
        <v>105</v>
      </c>
      <c r="X408" s="77" t="s">
        <v>106</v>
      </c>
      <c r="Y408" s="78" t="s">
        <v>101</v>
      </c>
      <c r="AA408" s="77" t="s">
        <v>1138</v>
      </c>
      <c r="AB408" s="77" t="s">
        <v>78</v>
      </c>
      <c r="AC408" s="77" t="s">
        <v>90</v>
      </c>
      <c r="AD408" s="77" t="s">
        <v>102</v>
      </c>
      <c r="AE408" s="77" t="s">
        <v>1139</v>
      </c>
      <c r="AG408" s="77" t="s">
        <v>112</v>
      </c>
    </row>
    <row r="409" spans="1:33" x14ac:dyDescent="0.3">
      <c r="A409" s="77" t="s">
        <v>1220</v>
      </c>
      <c r="B409" s="77" t="s">
        <v>1221</v>
      </c>
      <c r="G409" s="77" t="s">
        <v>1137</v>
      </c>
      <c r="H409" s="77" t="s">
        <v>77</v>
      </c>
      <c r="I409" s="77" t="s">
        <v>78</v>
      </c>
      <c r="J409" s="77" t="s">
        <v>79</v>
      </c>
      <c r="K409" s="77" t="s">
        <v>80</v>
      </c>
      <c r="L409" s="77" t="s">
        <v>1222</v>
      </c>
      <c r="M409" s="77" t="s">
        <v>82</v>
      </c>
      <c r="N409" s="77" t="s">
        <v>83</v>
      </c>
      <c r="Q409" s="77" t="s">
        <v>111</v>
      </c>
      <c r="T409" s="77" t="s">
        <v>112</v>
      </c>
      <c r="U409" s="77" t="s">
        <v>85</v>
      </c>
      <c r="V409" s="80" t="s">
        <v>105</v>
      </c>
      <c r="X409" s="77" t="s">
        <v>106</v>
      </c>
      <c r="Y409" s="78" t="s">
        <v>101</v>
      </c>
      <c r="AA409" s="77" t="s">
        <v>1138</v>
      </c>
      <c r="AB409" s="77" t="s">
        <v>78</v>
      </c>
      <c r="AC409" s="77" t="s">
        <v>90</v>
      </c>
      <c r="AD409" s="77" t="s">
        <v>102</v>
      </c>
      <c r="AE409" s="77" t="s">
        <v>1139</v>
      </c>
      <c r="AG409" s="77" t="s">
        <v>112</v>
      </c>
    </row>
    <row r="410" spans="1:33" x14ac:dyDescent="0.3">
      <c r="A410" s="77" t="s">
        <v>1223</v>
      </c>
      <c r="B410" s="77" t="s">
        <v>1224</v>
      </c>
      <c r="G410" s="77" t="s">
        <v>1137</v>
      </c>
      <c r="H410" s="77" t="s">
        <v>77</v>
      </c>
      <c r="I410" s="77" t="s">
        <v>78</v>
      </c>
      <c r="J410" s="77" t="s">
        <v>79</v>
      </c>
      <c r="K410" s="77" t="s">
        <v>80</v>
      </c>
      <c r="L410" s="77" t="s">
        <v>1225</v>
      </c>
      <c r="M410" s="77" t="s">
        <v>82</v>
      </c>
      <c r="N410" s="77" t="s">
        <v>83</v>
      </c>
      <c r="Q410" s="77" t="s">
        <v>111</v>
      </c>
      <c r="T410" s="77" t="s">
        <v>112</v>
      </c>
      <c r="U410" s="77" t="s">
        <v>85</v>
      </c>
      <c r="V410" s="80" t="s">
        <v>105</v>
      </c>
      <c r="X410" s="77" t="s">
        <v>106</v>
      </c>
      <c r="Y410" s="78" t="s">
        <v>101</v>
      </c>
      <c r="AA410" s="77" t="s">
        <v>1138</v>
      </c>
      <c r="AB410" s="77" t="s">
        <v>78</v>
      </c>
      <c r="AC410" s="77" t="s">
        <v>90</v>
      </c>
      <c r="AD410" s="77" t="s">
        <v>102</v>
      </c>
      <c r="AE410" s="77" t="s">
        <v>1139</v>
      </c>
      <c r="AG410" s="77" t="s">
        <v>112</v>
      </c>
    </row>
    <row r="411" spans="1:33" x14ac:dyDescent="0.3">
      <c r="A411" s="77" t="s">
        <v>1226</v>
      </c>
      <c r="B411" s="77" t="s">
        <v>1227</v>
      </c>
      <c r="G411" s="77" t="s">
        <v>1228</v>
      </c>
      <c r="H411" s="77" t="s">
        <v>77</v>
      </c>
      <c r="I411" s="77" t="s">
        <v>78</v>
      </c>
      <c r="J411" s="77" t="s">
        <v>79</v>
      </c>
      <c r="K411" s="77" t="s">
        <v>80</v>
      </c>
      <c r="L411" s="77" t="s">
        <v>1229</v>
      </c>
      <c r="M411" s="77" t="s">
        <v>82</v>
      </c>
      <c r="N411" s="77" t="s">
        <v>83</v>
      </c>
      <c r="Q411" s="77" t="s">
        <v>111</v>
      </c>
      <c r="U411" s="77" t="s">
        <v>85</v>
      </c>
      <c r="V411" s="80" t="s">
        <v>891</v>
      </c>
      <c r="X411" s="77" t="s">
        <v>892</v>
      </c>
      <c r="Y411" s="78" t="s">
        <v>88</v>
      </c>
      <c r="AA411" s="77" t="s">
        <v>1230</v>
      </c>
      <c r="AB411" s="77" t="s">
        <v>78</v>
      </c>
      <c r="AC411" s="77" t="s">
        <v>90</v>
      </c>
      <c r="AD411" s="77" t="s">
        <v>91</v>
      </c>
      <c r="AE411" s="77" t="s">
        <v>1231</v>
      </c>
    </row>
    <row r="412" spans="1:33" x14ac:dyDescent="0.3">
      <c r="A412" s="77" t="s">
        <v>1232</v>
      </c>
      <c r="B412" s="77" t="s">
        <v>1233</v>
      </c>
      <c r="G412" s="77" t="s">
        <v>1228</v>
      </c>
      <c r="H412" s="77" t="s">
        <v>77</v>
      </c>
      <c r="I412" s="77" t="s">
        <v>78</v>
      </c>
      <c r="J412" s="77" t="s">
        <v>79</v>
      </c>
      <c r="K412" s="77" t="s">
        <v>80</v>
      </c>
      <c r="L412" s="77" t="s">
        <v>1234</v>
      </c>
      <c r="M412" s="77" t="s">
        <v>82</v>
      </c>
      <c r="N412" s="77" t="s">
        <v>83</v>
      </c>
      <c r="Q412" s="77" t="s">
        <v>111</v>
      </c>
      <c r="U412" s="77" t="s">
        <v>85</v>
      </c>
      <c r="V412" s="80" t="s">
        <v>891</v>
      </c>
      <c r="X412" s="77" t="s">
        <v>892</v>
      </c>
      <c r="Y412" s="78" t="s">
        <v>88</v>
      </c>
      <c r="AA412" s="77" t="s">
        <v>1230</v>
      </c>
      <c r="AB412" s="77" t="s">
        <v>78</v>
      </c>
      <c r="AC412" s="77" t="s">
        <v>90</v>
      </c>
      <c r="AD412" s="77" t="s">
        <v>91</v>
      </c>
      <c r="AE412" s="77" t="s">
        <v>1231</v>
      </c>
    </row>
    <row r="413" spans="1:33" x14ac:dyDescent="0.3">
      <c r="A413" s="77" t="s">
        <v>1235</v>
      </c>
      <c r="B413" s="77" t="s">
        <v>1236</v>
      </c>
      <c r="G413" s="77" t="s">
        <v>1237</v>
      </c>
      <c r="H413" s="77" t="s">
        <v>77</v>
      </c>
      <c r="I413" s="77" t="s">
        <v>78</v>
      </c>
      <c r="J413" s="77" t="s">
        <v>79</v>
      </c>
      <c r="K413" s="77" t="s">
        <v>80</v>
      </c>
      <c r="L413" s="77" t="s">
        <v>1238</v>
      </c>
      <c r="M413" s="77" t="s">
        <v>82</v>
      </c>
      <c r="N413" s="77" t="s">
        <v>83</v>
      </c>
      <c r="Q413" s="77" t="s">
        <v>1239</v>
      </c>
      <c r="U413" s="77" t="s">
        <v>85</v>
      </c>
      <c r="V413" s="80" t="s">
        <v>86</v>
      </c>
      <c r="X413" s="77" t="s">
        <v>87</v>
      </c>
      <c r="Y413" s="78" t="s">
        <v>88</v>
      </c>
      <c r="AA413" s="77" t="s">
        <v>1240</v>
      </c>
      <c r="AB413" s="77" t="s">
        <v>78</v>
      </c>
      <c r="AC413" s="77" t="s">
        <v>90</v>
      </c>
      <c r="AD413" s="77" t="s">
        <v>91</v>
      </c>
      <c r="AE413" s="77" t="s">
        <v>1241</v>
      </c>
    </row>
    <row r="414" spans="1:33" x14ac:dyDescent="0.3">
      <c r="A414" s="77" t="s">
        <v>1242</v>
      </c>
      <c r="B414" s="77" t="s">
        <v>1243</v>
      </c>
      <c r="G414" s="77" t="s">
        <v>1237</v>
      </c>
      <c r="H414" s="77" t="s">
        <v>77</v>
      </c>
      <c r="I414" s="77" t="s">
        <v>78</v>
      </c>
      <c r="J414" s="77" t="s">
        <v>79</v>
      </c>
      <c r="K414" s="77" t="s">
        <v>80</v>
      </c>
      <c r="L414" s="77" t="s">
        <v>1244</v>
      </c>
      <c r="M414" s="77" t="s">
        <v>82</v>
      </c>
      <c r="N414" s="77" t="s">
        <v>83</v>
      </c>
      <c r="Q414" s="77" t="s">
        <v>1239</v>
      </c>
      <c r="U414" s="77" t="s">
        <v>85</v>
      </c>
      <c r="V414" s="80" t="s">
        <v>95</v>
      </c>
      <c r="X414" s="77" t="s">
        <v>96</v>
      </c>
      <c r="Y414" s="78" t="s">
        <v>88</v>
      </c>
      <c r="AA414" s="77" t="s">
        <v>1240</v>
      </c>
      <c r="AB414" s="77" t="s">
        <v>78</v>
      </c>
      <c r="AC414" s="77" t="s">
        <v>90</v>
      </c>
      <c r="AD414" s="77" t="s">
        <v>91</v>
      </c>
      <c r="AE414" s="77" t="s">
        <v>1241</v>
      </c>
    </row>
    <row r="415" spans="1:33" x14ac:dyDescent="0.3">
      <c r="A415" s="77" t="s">
        <v>1245</v>
      </c>
      <c r="B415" s="77" t="s">
        <v>1246</v>
      </c>
      <c r="G415" s="77" t="s">
        <v>1237</v>
      </c>
      <c r="H415" s="77" t="s">
        <v>77</v>
      </c>
      <c r="I415" s="77" t="s">
        <v>78</v>
      </c>
      <c r="J415" s="77" t="s">
        <v>79</v>
      </c>
      <c r="K415" s="77" t="s">
        <v>80</v>
      </c>
      <c r="L415" s="77" t="s">
        <v>1247</v>
      </c>
      <c r="M415" s="77" t="s">
        <v>82</v>
      </c>
      <c r="N415" s="77" t="s">
        <v>83</v>
      </c>
      <c r="Q415" s="77" t="s">
        <v>1239</v>
      </c>
      <c r="U415" s="77" t="s">
        <v>85</v>
      </c>
      <c r="V415" s="80" t="s">
        <v>99</v>
      </c>
      <c r="X415" s="77" t="s">
        <v>100</v>
      </c>
      <c r="Y415" s="78" t="s">
        <v>101</v>
      </c>
      <c r="AA415" s="77" t="s">
        <v>1240</v>
      </c>
      <c r="AB415" s="77" t="s">
        <v>78</v>
      </c>
      <c r="AC415" s="77" t="s">
        <v>90</v>
      </c>
      <c r="AD415" s="77" t="s">
        <v>102</v>
      </c>
      <c r="AE415" s="77" t="s">
        <v>1241</v>
      </c>
    </row>
    <row r="416" spans="1:33" x14ac:dyDescent="0.3">
      <c r="A416" s="77" t="s">
        <v>1248</v>
      </c>
      <c r="B416" s="77" t="s">
        <v>1249</v>
      </c>
      <c r="G416" s="77" t="s">
        <v>1237</v>
      </c>
      <c r="H416" s="77" t="s">
        <v>77</v>
      </c>
      <c r="I416" s="77" t="s">
        <v>78</v>
      </c>
      <c r="J416" s="77" t="s">
        <v>79</v>
      </c>
      <c r="K416" s="77" t="s">
        <v>80</v>
      </c>
      <c r="L416" s="77" t="s">
        <v>1250</v>
      </c>
      <c r="M416" s="77" t="s">
        <v>82</v>
      </c>
      <c r="N416" s="77" t="s">
        <v>83</v>
      </c>
      <c r="Q416" s="77" t="s">
        <v>1239</v>
      </c>
      <c r="U416" s="77" t="s">
        <v>85</v>
      </c>
      <c r="V416" s="80" t="s">
        <v>105</v>
      </c>
      <c r="X416" s="77" t="s">
        <v>106</v>
      </c>
      <c r="Y416" s="78" t="s">
        <v>101</v>
      </c>
      <c r="AA416" s="77" t="s">
        <v>1240</v>
      </c>
      <c r="AB416" s="77" t="s">
        <v>78</v>
      </c>
      <c r="AC416" s="77" t="s">
        <v>90</v>
      </c>
      <c r="AD416" s="77" t="s">
        <v>102</v>
      </c>
      <c r="AE416" s="77" t="s">
        <v>1241</v>
      </c>
    </row>
    <row r="417" spans="1:33" x14ac:dyDescent="0.3">
      <c r="A417" s="77" t="s">
        <v>1260</v>
      </c>
      <c r="B417" s="77" t="s">
        <v>1261</v>
      </c>
      <c r="G417" s="80" t="s">
        <v>1251</v>
      </c>
      <c r="H417" s="77" t="s">
        <v>77</v>
      </c>
      <c r="I417" s="77" t="s">
        <v>78</v>
      </c>
      <c r="J417" s="77" t="s">
        <v>79</v>
      </c>
      <c r="K417" s="77" t="s">
        <v>80</v>
      </c>
      <c r="L417" s="77" t="s">
        <v>1252</v>
      </c>
      <c r="M417" s="77" t="s">
        <v>82</v>
      </c>
      <c r="N417" s="77" t="s">
        <v>83</v>
      </c>
      <c r="Q417" s="77" t="s">
        <v>1253</v>
      </c>
      <c r="S417" s="77" t="s">
        <v>1253</v>
      </c>
      <c r="T417" s="77" t="s">
        <v>1262</v>
      </c>
      <c r="U417" s="77" t="s">
        <v>85</v>
      </c>
      <c r="V417" s="80" t="s">
        <v>1254</v>
      </c>
      <c r="X417" s="77" t="s">
        <v>1255</v>
      </c>
      <c r="Y417" s="78" t="s">
        <v>88</v>
      </c>
      <c r="AA417" s="77" t="s">
        <v>1256</v>
      </c>
      <c r="AB417" s="77" t="s">
        <v>78</v>
      </c>
      <c r="AC417" s="77" t="s">
        <v>1257</v>
      </c>
      <c r="AD417" s="77" t="s">
        <v>1258</v>
      </c>
      <c r="AE417" s="77" t="s">
        <v>1259</v>
      </c>
      <c r="AG417" s="77" t="s">
        <v>1262</v>
      </c>
    </row>
    <row r="418" spans="1:33" x14ac:dyDescent="0.3">
      <c r="A418" s="77" t="s">
        <v>1263</v>
      </c>
      <c r="B418" s="77" t="s">
        <v>1264</v>
      </c>
      <c r="G418" s="80" t="s">
        <v>1251</v>
      </c>
      <c r="H418" s="77" t="s">
        <v>77</v>
      </c>
      <c r="I418" s="77" t="s">
        <v>78</v>
      </c>
      <c r="J418" s="77" t="s">
        <v>79</v>
      </c>
      <c r="K418" s="77" t="s">
        <v>80</v>
      </c>
      <c r="L418" s="77" t="s">
        <v>1252</v>
      </c>
      <c r="M418" s="77" t="s">
        <v>82</v>
      </c>
      <c r="N418" s="77" t="s">
        <v>83</v>
      </c>
      <c r="Q418" s="77" t="s">
        <v>1253</v>
      </c>
      <c r="T418" s="77" t="s">
        <v>1265</v>
      </c>
      <c r="U418" s="77" t="s">
        <v>85</v>
      </c>
      <c r="V418" s="80" t="s">
        <v>1254</v>
      </c>
      <c r="X418" s="77" t="s">
        <v>1255</v>
      </c>
      <c r="Y418" s="78" t="s">
        <v>88</v>
      </c>
      <c r="AA418" s="77" t="s">
        <v>1256</v>
      </c>
      <c r="AB418" s="77" t="s">
        <v>78</v>
      </c>
      <c r="AC418" s="77" t="s">
        <v>1257</v>
      </c>
      <c r="AD418" s="77" t="s">
        <v>1258</v>
      </c>
      <c r="AE418" s="77" t="s">
        <v>1259</v>
      </c>
      <c r="AG418" s="77" t="s">
        <v>1265</v>
      </c>
    </row>
    <row r="419" spans="1:33" x14ac:dyDescent="0.3">
      <c r="A419" s="77" t="s">
        <v>1266</v>
      </c>
      <c r="B419" s="77" t="s">
        <v>1267</v>
      </c>
      <c r="G419" s="80" t="s">
        <v>1251</v>
      </c>
      <c r="H419" s="77" t="s">
        <v>77</v>
      </c>
      <c r="I419" s="77" t="s">
        <v>78</v>
      </c>
      <c r="J419" s="77" t="s">
        <v>79</v>
      </c>
      <c r="K419" s="77" t="s">
        <v>80</v>
      </c>
      <c r="L419" s="77" t="s">
        <v>1252</v>
      </c>
      <c r="M419" s="77" t="s">
        <v>82</v>
      </c>
      <c r="N419" s="77" t="s">
        <v>83</v>
      </c>
      <c r="Q419" s="77" t="s">
        <v>1253</v>
      </c>
      <c r="T419" s="77" t="s">
        <v>1268</v>
      </c>
      <c r="U419" s="77" t="s">
        <v>85</v>
      </c>
      <c r="V419" s="80" t="s">
        <v>1254</v>
      </c>
      <c r="X419" s="77" t="s">
        <v>1255</v>
      </c>
      <c r="Y419" s="78" t="s">
        <v>88</v>
      </c>
      <c r="AA419" s="77" t="s">
        <v>1256</v>
      </c>
      <c r="AB419" s="77" t="s">
        <v>78</v>
      </c>
      <c r="AC419" s="77" t="s">
        <v>1257</v>
      </c>
      <c r="AD419" s="77" t="s">
        <v>1258</v>
      </c>
      <c r="AE419" s="77" t="s">
        <v>1259</v>
      </c>
      <c r="AG419" s="77" t="s">
        <v>1268</v>
      </c>
    </row>
    <row r="420" spans="1:33" x14ac:dyDescent="0.3">
      <c r="A420" s="77" t="s">
        <v>1269</v>
      </c>
      <c r="B420" s="77" t="s">
        <v>1270</v>
      </c>
      <c r="G420" s="80" t="s">
        <v>1251</v>
      </c>
      <c r="H420" s="77" t="s">
        <v>77</v>
      </c>
      <c r="I420" s="77" t="s">
        <v>78</v>
      </c>
      <c r="J420" s="77" t="s">
        <v>79</v>
      </c>
      <c r="K420" s="77" t="s">
        <v>80</v>
      </c>
      <c r="L420" s="77" t="s">
        <v>1271</v>
      </c>
      <c r="M420" s="77" t="s">
        <v>82</v>
      </c>
      <c r="N420" s="77" t="s">
        <v>83</v>
      </c>
      <c r="Q420" s="77" t="s">
        <v>1253</v>
      </c>
      <c r="T420" s="77" t="s">
        <v>1272</v>
      </c>
      <c r="U420" s="77" t="s">
        <v>85</v>
      </c>
      <c r="V420" s="80" t="s">
        <v>1273</v>
      </c>
      <c r="X420" s="77" t="s">
        <v>1274</v>
      </c>
      <c r="Y420" s="78" t="s">
        <v>88</v>
      </c>
      <c r="AA420" s="77" t="s">
        <v>1256</v>
      </c>
      <c r="AB420" s="77" t="s">
        <v>78</v>
      </c>
      <c r="AC420" s="77" t="s">
        <v>90</v>
      </c>
      <c r="AD420" s="77" t="s">
        <v>91</v>
      </c>
      <c r="AE420" s="77" t="s">
        <v>1259</v>
      </c>
      <c r="AG420" s="77" t="s">
        <v>1272</v>
      </c>
    </row>
    <row r="421" spans="1:33" x14ac:dyDescent="0.3">
      <c r="A421" s="77" t="s">
        <v>1275</v>
      </c>
      <c r="B421" s="77" t="s">
        <v>1276</v>
      </c>
      <c r="G421" s="77" t="s">
        <v>1277</v>
      </c>
      <c r="H421" s="77" t="s">
        <v>77</v>
      </c>
      <c r="I421" s="77" t="s">
        <v>78</v>
      </c>
      <c r="J421" s="77" t="s">
        <v>79</v>
      </c>
      <c r="K421" s="77" t="s">
        <v>80</v>
      </c>
      <c r="L421" s="77" t="s">
        <v>1278</v>
      </c>
      <c r="M421" s="77" t="s">
        <v>82</v>
      </c>
      <c r="N421" s="77" t="s">
        <v>83</v>
      </c>
      <c r="Q421" s="77" t="s">
        <v>1279</v>
      </c>
      <c r="U421" s="77" t="s">
        <v>85</v>
      </c>
      <c r="V421" s="80" t="s">
        <v>657</v>
      </c>
      <c r="X421" s="77" t="s">
        <v>658</v>
      </c>
      <c r="Y421" s="78" t="s">
        <v>88</v>
      </c>
      <c r="AA421" s="77" t="s">
        <v>1280</v>
      </c>
      <c r="AB421" s="77" t="s">
        <v>78</v>
      </c>
      <c r="AC421" s="77" t="s">
        <v>90</v>
      </c>
      <c r="AD421" s="77" t="s">
        <v>91</v>
      </c>
      <c r="AE421" s="77" t="s">
        <v>1281</v>
      </c>
    </row>
    <row r="422" spans="1:33" x14ac:dyDescent="0.3">
      <c r="A422" s="77" t="s">
        <v>1282</v>
      </c>
      <c r="B422" s="77" t="s">
        <v>1283</v>
      </c>
      <c r="G422" s="77" t="s">
        <v>1277</v>
      </c>
      <c r="H422" s="77" t="s">
        <v>77</v>
      </c>
      <c r="I422" s="77" t="s">
        <v>78</v>
      </c>
      <c r="J422" s="77" t="s">
        <v>79</v>
      </c>
      <c r="K422" s="77" t="s">
        <v>80</v>
      </c>
      <c r="L422" s="77" t="s">
        <v>1284</v>
      </c>
      <c r="M422" s="77" t="s">
        <v>82</v>
      </c>
      <c r="N422" s="77" t="s">
        <v>83</v>
      </c>
      <c r="Q422" s="77" t="s">
        <v>1279</v>
      </c>
      <c r="U422" s="77" t="s">
        <v>85</v>
      </c>
      <c r="V422" s="80" t="s">
        <v>665</v>
      </c>
      <c r="X422" s="77" t="s">
        <v>666</v>
      </c>
      <c r="Y422" s="78" t="s">
        <v>88</v>
      </c>
      <c r="AA422" s="77" t="s">
        <v>1280</v>
      </c>
      <c r="AB422" s="77" t="s">
        <v>78</v>
      </c>
      <c r="AC422" s="77" t="s">
        <v>90</v>
      </c>
      <c r="AD422" s="77" t="s">
        <v>91</v>
      </c>
      <c r="AE422" s="77" t="s">
        <v>1281</v>
      </c>
    </row>
    <row r="423" spans="1:33" x14ac:dyDescent="0.3">
      <c r="A423" s="77" t="s">
        <v>1285</v>
      </c>
      <c r="B423" s="77" t="s">
        <v>1286</v>
      </c>
      <c r="G423" s="77" t="s">
        <v>1277</v>
      </c>
      <c r="H423" s="77" t="s">
        <v>77</v>
      </c>
      <c r="I423" s="77" t="s">
        <v>78</v>
      </c>
      <c r="J423" s="77" t="s">
        <v>79</v>
      </c>
      <c r="K423" s="77" t="s">
        <v>80</v>
      </c>
      <c r="L423" s="77" t="s">
        <v>1287</v>
      </c>
      <c r="M423" s="77" t="s">
        <v>82</v>
      </c>
      <c r="N423" s="77" t="s">
        <v>83</v>
      </c>
      <c r="Q423" s="77" t="s">
        <v>1279</v>
      </c>
      <c r="U423" s="77" t="s">
        <v>85</v>
      </c>
      <c r="V423" s="80" t="s">
        <v>673</v>
      </c>
      <c r="X423" s="77" t="s">
        <v>674</v>
      </c>
      <c r="Y423" s="78" t="s">
        <v>101</v>
      </c>
      <c r="AA423" s="77" t="s">
        <v>1280</v>
      </c>
      <c r="AB423" s="77" t="s">
        <v>78</v>
      </c>
      <c r="AC423" s="77" t="s">
        <v>90</v>
      </c>
      <c r="AD423" s="77" t="s">
        <v>102</v>
      </c>
      <c r="AE423" s="77" t="s">
        <v>1281</v>
      </c>
    </row>
    <row r="424" spans="1:33" x14ac:dyDescent="0.3">
      <c r="A424" s="77" t="s">
        <v>1288</v>
      </c>
      <c r="B424" s="77" t="s">
        <v>1289</v>
      </c>
      <c r="G424" s="77" t="s">
        <v>1277</v>
      </c>
      <c r="H424" s="77" t="s">
        <v>77</v>
      </c>
      <c r="I424" s="77" t="s">
        <v>78</v>
      </c>
      <c r="J424" s="77" t="s">
        <v>79</v>
      </c>
      <c r="K424" s="77" t="s">
        <v>80</v>
      </c>
      <c r="L424" s="77" t="s">
        <v>1290</v>
      </c>
      <c r="M424" s="77" t="s">
        <v>82</v>
      </c>
      <c r="N424" s="77" t="s">
        <v>83</v>
      </c>
      <c r="Q424" s="77" t="s">
        <v>1279</v>
      </c>
      <c r="U424" s="77" t="s">
        <v>85</v>
      </c>
      <c r="V424" s="80" t="s">
        <v>681</v>
      </c>
      <c r="X424" s="77" t="s">
        <v>682</v>
      </c>
      <c r="Y424" s="78" t="s">
        <v>101</v>
      </c>
      <c r="AA424" s="77" t="s">
        <v>1280</v>
      </c>
      <c r="AB424" s="77" t="s">
        <v>78</v>
      </c>
      <c r="AC424" s="77" t="s">
        <v>90</v>
      </c>
      <c r="AD424" s="77" t="s">
        <v>102</v>
      </c>
      <c r="AE424" s="77" t="s">
        <v>1281</v>
      </c>
    </row>
    <row r="425" spans="1:33" x14ac:dyDescent="0.3">
      <c r="A425" s="77" t="s">
        <v>1291</v>
      </c>
      <c r="B425" s="77" t="s">
        <v>1292</v>
      </c>
      <c r="G425" s="77" t="s">
        <v>1277</v>
      </c>
      <c r="H425" s="77" t="s">
        <v>77</v>
      </c>
      <c r="I425" s="77" t="s">
        <v>78</v>
      </c>
      <c r="J425" s="77" t="s">
        <v>79</v>
      </c>
      <c r="K425" s="77" t="s">
        <v>80</v>
      </c>
      <c r="L425" s="77" t="s">
        <v>1293</v>
      </c>
      <c r="M425" s="77" t="s">
        <v>82</v>
      </c>
      <c r="N425" s="77" t="s">
        <v>83</v>
      </c>
      <c r="Q425" s="77" t="s">
        <v>1279</v>
      </c>
      <c r="U425" s="77" t="s">
        <v>85</v>
      </c>
      <c r="V425" s="80" t="s">
        <v>231</v>
      </c>
      <c r="X425" s="77" t="s">
        <v>232</v>
      </c>
      <c r="Y425" s="78" t="s">
        <v>88</v>
      </c>
      <c r="AA425" s="77" t="s">
        <v>1280</v>
      </c>
      <c r="AB425" s="77" t="s">
        <v>78</v>
      </c>
      <c r="AC425" s="77" t="s">
        <v>90</v>
      </c>
      <c r="AD425" s="77" t="s">
        <v>91</v>
      </c>
      <c r="AE425" s="77" t="s">
        <v>1281</v>
      </c>
    </row>
    <row r="426" spans="1:33" x14ac:dyDescent="0.3">
      <c r="A426" s="77" t="s">
        <v>1294</v>
      </c>
      <c r="B426" s="77" t="s">
        <v>1295</v>
      </c>
      <c r="G426" s="77" t="s">
        <v>1277</v>
      </c>
      <c r="H426" s="77" t="s">
        <v>77</v>
      </c>
      <c r="I426" s="77" t="s">
        <v>78</v>
      </c>
      <c r="J426" s="77" t="s">
        <v>79</v>
      </c>
      <c r="K426" s="77" t="s">
        <v>80</v>
      </c>
      <c r="L426" s="77" t="s">
        <v>1296</v>
      </c>
      <c r="M426" s="77" t="s">
        <v>82</v>
      </c>
      <c r="N426" s="77" t="s">
        <v>83</v>
      </c>
      <c r="Q426" s="77" t="s">
        <v>1279</v>
      </c>
      <c r="U426" s="77" t="s">
        <v>85</v>
      </c>
      <c r="V426" s="80" t="s">
        <v>211</v>
      </c>
      <c r="X426" s="77" t="s">
        <v>212</v>
      </c>
      <c r="Y426" s="78" t="s">
        <v>88</v>
      </c>
      <c r="AA426" s="77" t="s">
        <v>1280</v>
      </c>
      <c r="AB426" s="77" t="s">
        <v>78</v>
      </c>
      <c r="AC426" s="77" t="s">
        <v>90</v>
      </c>
      <c r="AD426" s="77" t="s">
        <v>91</v>
      </c>
      <c r="AE426" s="77" t="s">
        <v>1281</v>
      </c>
    </row>
    <row r="427" spans="1:33" x14ac:dyDescent="0.3">
      <c r="A427" s="77" t="s">
        <v>1297</v>
      </c>
      <c r="B427" s="77" t="s">
        <v>1298</v>
      </c>
      <c r="G427" s="77" t="s">
        <v>1277</v>
      </c>
      <c r="H427" s="77" t="s">
        <v>77</v>
      </c>
      <c r="I427" s="77" t="s">
        <v>78</v>
      </c>
      <c r="J427" s="77" t="s">
        <v>79</v>
      </c>
      <c r="K427" s="77" t="s">
        <v>80</v>
      </c>
      <c r="L427" s="77" t="s">
        <v>1299</v>
      </c>
      <c r="M427" s="77" t="s">
        <v>82</v>
      </c>
      <c r="N427" s="77" t="s">
        <v>83</v>
      </c>
      <c r="Q427" s="77" t="s">
        <v>1279</v>
      </c>
      <c r="U427" s="77" t="s">
        <v>85</v>
      </c>
      <c r="V427" s="80" t="s">
        <v>216</v>
      </c>
      <c r="X427" s="77" t="s">
        <v>217</v>
      </c>
      <c r="Y427" s="78" t="s">
        <v>88</v>
      </c>
      <c r="AA427" s="77" t="s">
        <v>1280</v>
      </c>
      <c r="AB427" s="77" t="s">
        <v>78</v>
      </c>
      <c r="AC427" s="77" t="s">
        <v>90</v>
      </c>
      <c r="AD427" s="77" t="s">
        <v>91</v>
      </c>
      <c r="AE427" s="77" t="s">
        <v>1281</v>
      </c>
    </row>
    <row r="428" spans="1:33" x14ac:dyDescent="0.3">
      <c r="A428" s="77" t="s">
        <v>1300</v>
      </c>
      <c r="B428" s="77" t="s">
        <v>1301</v>
      </c>
      <c r="G428" s="77" t="s">
        <v>1277</v>
      </c>
      <c r="H428" s="77" t="s">
        <v>77</v>
      </c>
      <c r="I428" s="77" t="s">
        <v>78</v>
      </c>
      <c r="J428" s="77" t="s">
        <v>79</v>
      </c>
      <c r="K428" s="77" t="s">
        <v>80</v>
      </c>
      <c r="L428" s="77" t="s">
        <v>1302</v>
      </c>
      <c r="M428" s="77" t="s">
        <v>82</v>
      </c>
      <c r="N428" s="77" t="s">
        <v>83</v>
      </c>
      <c r="Q428" s="77" t="s">
        <v>1279</v>
      </c>
      <c r="U428" s="77" t="s">
        <v>85</v>
      </c>
      <c r="V428" s="80" t="s">
        <v>221</v>
      </c>
      <c r="X428" s="77" t="s">
        <v>222</v>
      </c>
      <c r="Y428" s="78" t="s">
        <v>101</v>
      </c>
      <c r="AA428" s="77" t="s">
        <v>1280</v>
      </c>
      <c r="AB428" s="77" t="s">
        <v>78</v>
      </c>
      <c r="AC428" s="77" t="s">
        <v>90</v>
      </c>
      <c r="AD428" s="77" t="s">
        <v>102</v>
      </c>
      <c r="AE428" s="77" t="s">
        <v>1281</v>
      </c>
    </row>
    <row r="429" spans="1:33" x14ac:dyDescent="0.3">
      <c r="A429" s="77" t="s">
        <v>1303</v>
      </c>
      <c r="B429" s="77" t="s">
        <v>1304</v>
      </c>
      <c r="G429" s="77" t="s">
        <v>1277</v>
      </c>
      <c r="H429" s="77" t="s">
        <v>77</v>
      </c>
      <c r="I429" s="77" t="s">
        <v>78</v>
      </c>
      <c r="J429" s="77" t="s">
        <v>79</v>
      </c>
      <c r="K429" s="77" t="s">
        <v>80</v>
      </c>
      <c r="L429" s="77" t="s">
        <v>1305</v>
      </c>
      <c r="M429" s="77" t="s">
        <v>82</v>
      </c>
      <c r="N429" s="77" t="s">
        <v>83</v>
      </c>
      <c r="Q429" s="77" t="s">
        <v>1279</v>
      </c>
      <c r="U429" s="77" t="s">
        <v>85</v>
      </c>
      <c r="V429" s="80" t="s">
        <v>226</v>
      </c>
      <c r="X429" s="77" t="s">
        <v>227</v>
      </c>
      <c r="Y429" s="78" t="s">
        <v>101</v>
      </c>
      <c r="AA429" s="77" t="s">
        <v>1280</v>
      </c>
      <c r="AB429" s="77" t="s">
        <v>78</v>
      </c>
      <c r="AC429" s="77" t="s">
        <v>90</v>
      </c>
      <c r="AD429" s="77" t="s">
        <v>102</v>
      </c>
      <c r="AE429" s="77" t="s">
        <v>1281</v>
      </c>
    </row>
    <row r="430" spans="1:33" x14ac:dyDescent="0.3">
      <c r="A430" s="77" t="s">
        <v>1306</v>
      </c>
      <c r="B430" s="77" t="s">
        <v>1307</v>
      </c>
      <c r="G430" s="77" t="s">
        <v>1277</v>
      </c>
      <c r="H430" s="77" t="s">
        <v>77</v>
      </c>
      <c r="I430" s="77" t="s">
        <v>78</v>
      </c>
      <c r="J430" s="77" t="s">
        <v>79</v>
      </c>
      <c r="K430" s="77" t="s">
        <v>80</v>
      </c>
      <c r="L430" s="77" t="s">
        <v>1308</v>
      </c>
      <c r="M430" s="77" t="s">
        <v>82</v>
      </c>
      <c r="N430" s="77" t="s">
        <v>83</v>
      </c>
      <c r="Q430" s="77" t="s">
        <v>1279</v>
      </c>
      <c r="U430" s="77" t="s">
        <v>85</v>
      </c>
      <c r="V430" s="80" t="s">
        <v>231</v>
      </c>
      <c r="X430" s="77" t="s">
        <v>232</v>
      </c>
      <c r="Y430" s="78" t="s">
        <v>88</v>
      </c>
      <c r="AA430" s="77" t="s">
        <v>1280</v>
      </c>
      <c r="AB430" s="77" t="s">
        <v>78</v>
      </c>
      <c r="AC430" s="77" t="s">
        <v>90</v>
      </c>
      <c r="AD430" s="77" t="s">
        <v>91</v>
      </c>
      <c r="AE430" s="77" t="s">
        <v>1281</v>
      </c>
    </row>
    <row r="431" spans="1:33" x14ac:dyDescent="0.3">
      <c r="A431" s="77" t="s">
        <v>1309</v>
      </c>
      <c r="B431" s="77" t="s">
        <v>1310</v>
      </c>
      <c r="G431" s="77" t="s">
        <v>1277</v>
      </c>
      <c r="H431" s="77" t="s">
        <v>77</v>
      </c>
      <c r="I431" s="77" t="s">
        <v>78</v>
      </c>
      <c r="J431" s="77" t="s">
        <v>79</v>
      </c>
      <c r="K431" s="77" t="s">
        <v>80</v>
      </c>
      <c r="L431" s="77" t="s">
        <v>1311</v>
      </c>
      <c r="M431" s="77" t="s">
        <v>82</v>
      </c>
      <c r="N431" s="77" t="s">
        <v>83</v>
      </c>
      <c r="Q431" s="77" t="s">
        <v>1279</v>
      </c>
      <c r="U431" s="77" t="s">
        <v>85</v>
      </c>
      <c r="V431" s="80" t="s">
        <v>86</v>
      </c>
      <c r="X431" s="77" t="s">
        <v>87</v>
      </c>
      <c r="Y431" s="78" t="s">
        <v>88</v>
      </c>
      <c r="AA431" s="77" t="s">
        <v>1280</v>
      </c>
      <c r="AB431" s="77" t="s">
        <v>78</v>
      </c>
      <c r="AC431" s="77" t="s">
        <v>90</v>
      </c>
      <c r="AD431" s="77" t="s">
        <v>91</v>
      </c>
      <c r="AE431" s="77" t="s">
        <v>1281</v>
      </c>
    </row>
    <row r="432" spans="1:33" x14ac:dyDescent="0.3">
      <c r="A432" s="77" t="s">
        <v>1312</v>
      </c>
      <c r="B432" s="77" t="s">
        <v>1313</v>
      </c>
      <c r="G432" s="77" t="s">
        <v>1277</v>
      </c>
      <c r="H432" s="77" t="s">
        <v>77</v>
      </c>
      <c r="I432" s="77" t="s">
        <v>78</v>
      </c>
      <c r="J432" s="77" t="s">
        <v>79</v>
      </c>
      <c r="K432" s="77" t="s">
        <v>80</v>
      </c>
      <c r="L432" s="77" t="s">
        <v>1311</v>
      </c>
      <c r="M432" s="77" t="s">
        <v>82</v>
      </c>
      <c r="N432" s="77" t="s">
        <v>83</v>
      </c>
      <c r="Q432" s="77" t="s">
        <v>1279</v>
      </c>
      <c r="U432" s="77" t="s">
        <v>85</v>
      </c>
      <c r="V432" s="80" t="s">
        <v>95</v>
      </c>
      <c r="X432" s="77" t="s">
        <v>96</v>
      </c>
      <c r="Y432" s="78" t="s">
        <v>88</v>
      </c>
      <c r="AA432" s="77" t="s">
        <v>1280</v>
      </c>
      <c r="AB432" s="77" t="s">
        <v>78</v>
      </c>
      <c r="AC432" s="77" t="s">
        <v>90</v>
      </c>
      <c r="AD432" s="77" t="s">
        <v>91</v>
      </c>
      <c r="AE432" s="77" t="s">
        <v>1281</v>
      </c>
    </row>
    <row r="433" spans="1:33" x14ac:dyDescent="0.3">
      <c r="A433" s="77" t="s">
        <v>1314</v>
      </c>
      <c r="B433" s="77" t="s">
        <v>1315</v>
      </c>
      <c r="G433" s="77" t="s">
        <v>1277</v>
      </c>
      <c r="H433" s="77" t="s">
        <v>77</v>
      </c>
      <c r="I433" s="77" t="s">
        <v>78</v>
      </c>
      <c r="J433" s="77" t="s">
        <v>79</v>
      </c>
      <c r="K433" s="77" t="s">
        <v>80</v>
      </c>
      <c r="L433" s="77" t="s">
        <v>1311</v>
      </c>
      <c r="M433" s="77" t="s">
        <v>82</v>
      </c>
      <c r="N433" s="77" t="s">
        <v>83</v>
      </c>
      <c r="Q433" s="77" t="s">
        <v>1279</v>
      </c>
      <c r="U433" s="77" t="s">
        <v>85</v>
      </c>
      <c r="V433" s="80" t="s">
        <v>99</v>
      </c>
      <c r="X433" s="77" t="s">
        <v>100</v>
      </c>
      <c r="Y433" s="78" t="s">
        <v>101</v>
      </c>
      <c r="AA433" s="77" t="s">
        <v>1280</v>
      </c>
      <c r="AB433" s="77" t="s">
        <v>78</v>
      </c>
      <c r="AC433" s="77" t="s">
        <v>90</v>
      </c>
      <c r="AD433" s="77" t="s">
        <v>102</v>
      </c>
      <c r="AE433" s="77" t="s">
        <v>1281</v>
      </c>
    </row>
    <row r="434" spans="1:33" x14ac:dyDescent="0.3">
      <c r="A434" s="77" t="s">
        <v>1316</v>
      </c>
      <c r="B434" s="77" t="s">
        <v>1317</v>
      </c>
      <c r="G434" s="77" t="s">
        <v>1277</v>
      </c>
      <c r="H434" s="77" t="s">
        <v>77</v>
      </c>
      <c r="I434" s="77" t="s">
        <v>78</v>
      </c>
      <c r="J434" s="77" t="s">
        <v>79</v>
      </c>
      <c r="K434" s="77" t="s">
        <v>80</v>
      </c>
      <c r="L434" s="77" t="s">
        <v>1311</v>
      </c>
      <c r="M434" s="77" t="s">
        <v>82</v>
      </c>
      <c r="N434" s="77" t="s">
        <v>83</v>
      </c>
      <c r="Q434" s="77" t="s">
        <v>1279</v>
      </c>
      <c r="U434" s="77" t="s">
        <v>85</v>
      </c>
      <c r="V434" s="80" t="s">
        <v>105</v>
      </c>
      <c r="X434" s="77" t="s">
        <v>106</v>
      </c>
      <c r="Y434" s="78" t="s">
        <v>101</v>
      </c>
      <c r="AA434" s="77" t="s">
        <v>1280</v>
      </c>
      <c r="AB434" s="77" t="s">
        <v>78</v>
      </c>
      <c r="AC434" s="77" t="s">
        <v>90</v>
      </c>
      <c r="AD434" s="77" t="s">
        <v>102</v>
      </c>
      <c r="AE434" s="77" t="s">
        <v>1281</v>
      </c>
    </row>
    <row r="435" spans="1:33" x14ac:dyDescent="0.3">
      <c r="A435" s="77" t="s">
        <v>1318</v>
      </c>
      <c r="B435" s="77" t="s">
        <v>1319</v>
      </c>
      <c r="G435" s="77" t="s">
        <v>1277</v>
      </c>
      <c r="H435" s="77" t="s">
        <v>77</v>
      </c>
      <c r="I435" s="77" t="s">
        <v>78</v>
      </c>
      <c r="J435" s="77" t="s">
        <v>79</v>
      </c>
      <c r="K435" s="77" t="s">
        <v>80</v>
      </c>
      <c r="L435" s="77" t="s">
        <v>1320</v>
      </c>
      <c r="M435" s="77" t="s">
        <v>82</v>
      </c>
      <c r="N435" s="77" t="s">
        <v>83</v>
      </c>
      <c r="Q435" s="77" t="s">
        <v>1279</v>
      </c>
      <c r="U435" s="77" t="s">
        <v>85</v>
      </c>
      <c r="V435" s="80" t="s">
        <v>189</v>
      </c>
      <c r="X435" s="77" t="s">
        <v>190</v>
      </c>
      <c r="Y435" s="78" t="s">
        <v>88</v>
      </c>
      <c r="AA435" s="77" t="s">
        <v>1280</v>
      </c>
      <c r="AB435" s="77" t="s">
        <v>78</v>
      </c>
      <c r="AC435" s="77" t="s">
        <v>90</v>
      </c>
      <c r="AD435" s="77" t="s">
        <v>91</v>
      </c>
      <c r="AE435" s="77" t="s">
        <v>1281</v>
      </c>
    </row>
    <row r="436" spans="1:33" x14ac:dyDescent="0.3">
      <c r="A436" s="77" t="s">
        <v>1321</v>
      </c>
      <c r="B436" s="77" t="s">
        <v>1322</v>
      </c>
      <c r="G436" s="77" t="s">
        <v>1277</v>
      </c>
      <c r="H436" s="77" t="s">
        <v>77</v>
      </c>
      <c r="I436" s="77" t="s">
        <v>78</v>
      </c>
      <c r="J436" s="77" t="s">
        <v>79</v>
      </c>
      <c r="K436" s="77" t="s">
        <v>80</v>
      </c>
      <c r="L436" s="77" t="s">
        <v>1323</v>
      </c>
      <c r="M436" s="77" t="s">
        <v>82</v>
      </c>
      <c r="N436" s="77" t="s">
        <v>83</v>
      </c>
      <c r="Q436" s="77" t="s">
        <v>1279</v>
      </c>
      <c r="U436" s="77" t="s">
        <v>85</v>
      </c>
      <c r="V436" s="80" t="s">
        <v>196</v>
      </c>
      <c r="X436" s="77" t="s">
        <v>197</v>
      </c>
      <c r="Y436" s="78" t="s">
        <v>88</v>
      </c>
      <c r="AA436" s="77" t="s">
        <v>1280</v>
      </c>
      <c r="AB436" s="77" t="s">
        <v>78</v>
      </c>
      <c r="AC436" s="77" t="s">
        <v>90</v>
      </c>
      <c r="AD436" s="77" t="s">
        <v>91</v>
      </c>
      <c r="AE436" s="77" t="s">
        <v>1281</v>
      </c>
    </row>
    <row r="437" spans="1:33" x14ac:dyDescent="0.3">
      <c r="A437" s="77" t="s">
        <v>1324</v>
      </c>
      <c r="B437" s="77" t="s">
        <v>1325</v>
      </c>
      <c r="G437" s="77" t="s">
        <v>1277</v>
      </c>
      <c r="H437" s="77" t="s">
        <v>77</v>
      </c>
      <c r="I437" s="77" t="s">
        <v>78</v>
      </c>
      <c r="J437" s="77" t="s">
        <v>79</v>
      </c>
      <c r="K437" s="77" t="s">
        <v>80</v>
      </c>
      <c r="L437" s="77" t="s">
        <v>1326</v>
      </c>
      <c r="M437" s="77" t="s">
        <v>82</v>
      </c>
      <c r="N437" s="77" t="s">
        <v>83</v>
      </c>
      <c r="Q437" s="77" t="s">
        <v>1279</v>
      </c>
      <c r="U437" s="77" t="s">
        <v>85</v>
      </c>
      <c r="V437" s="80" t="s">
        <v>201</v>
      </c>
      <c r="X437" s="77" t="s">
        <v>202</v>
      </c>
      <c r="Y437" s="78" t="s">
        <v>101</v>
      </c>
      <c r="AA437" s="77" t="s">
        <v>1280</v>
      </c>
      <c r="AB437" s="77" t="s">
        <v>78</v>
      </c>
      <c r="AC437" s="77" t="s">
        <v>90</v>
      </c>
      <c r="AD437" s="77" t="s">
        <v>102</v>
      </c>
      <c r="AE437" s="77" t="s">
        <v>1281</v>
      </c>
    </row>
    <row r="438" spans="1:33" x14ac:dyDescent="0.3">
      <c r="A438" s="77" t="s">
        <v>1327</v>
      </c>
      <c r="B438" s="77" t="s">
        <v>1328</v>
      </c>
      <c r="G438" s="77" t="s">
        <v>1277</v>
      </c>
      <c r="H438" s="77" t="s">
        <v>77</v>
      </c>
      <c r="I438" s="77" t="s">
        <v>78</v>
      </c>
      <c r="J438" s="77" t="s">
        <v>79</v>
      </c>
      <c r="K438" s="77" t="s">
        <v>80</v>
      </c>
      <c r="L438" s="77" t="s">
        <v>1329</v>
      </c>
      <c r="M438" s="77" t="s">
        <v>82</v>
      </c>
      <c r="N438" s="77" t="s">
        <v>83</v>
      </c>
      <c r="Q438" s="77" t="s">
        <v>1279</v>
      </c>
      <c r="U438" s="77" t="s">
        <v>85</v>
      </c>
      <c r="V438" s="80" t="s">
        <v>206</v>
      </c>
      <c r="X438" s="77" t="s">
        <v>207</v>
      </c>
      <c r="Y438" s="78" t="s">
        <v>101</v>
      </c>
      <c r="AA438" s="77" t="s">
        <v>1280</v>
      </c>
      <c r="AB438" s="77" t="s">
        <v>78</v>
      </c>
      <c r="AC438" s="77" t="s">
        <v>90</v>
      </c>
      <c r="AD438" s="77" t="s">
        <v>102</v>
      </c>
      <c r="AE438" s="77" t="s">
        <v>1281</v>
      </c>
    </row>
    <row r="439" spans="1:33" x14ac:dyDescent="0.3">
      <c r="A439" s="77" t="s">
        <v>1330</v>
      </c>
      <c r="B439" s="77" t="s">
        <v>1331</v>
      </c>
      <c r="G439" s="77" t="s">
        <v>1277</v>
      </c>
      <c r="H439" s="77" t="s">
        <v>77</v>
      </c>
      <c r="I439" s="77" t="s">
        <v>78</v>
      </c>
      <c r="J439" s="77" t="s">
        <v>79</v>
      </c>
      <c r="K439" s="77" t="s">
        <v>80</v>
      </c>
      <c r="L439" s="77" t="s">
        <v>1332</v>
      </c>
      <c r="M439" s="77" t="s">
        <v>82</v>
      </c>
      <c r="N439" s="77" t="s">
        <v>83</v>
      </c>
      <c r="Q439" s="77" t="s">
        <v>1279</v>
      </c>
      <c r="U439" s="77" t="s">
        <v>85</v>
      </c>
      <c r="V439" s="80" t="s">
        <v>896</v>
      </c>
      <c r="X439" s="77" t="s">
        <v>897</v>
      </c>
      <c r="Y439" s="78" t="s">
        <v>88</v>
      </c>
      <c r="AA439" s="77" t="s">
        <v>1280</v>
      </c>
      <c r="AB439" s="77" t="s">
        <v>78</v>
      </c>
      <c r="AC439" s="77" t="s">
        <v>90</v>
      </c>
      <c r="AD439" s="77" t="s">
        <v>91</v>
      </c>
      <c r="AE439" s="77" t="s">
        <v>1281</v>
      </c>
    </row>
    <row r="440" spans="1:33" x14ac:dyDescent="0.3">
      <c r="A440" s="77" t="s">
        <v>1333</v>
      </c>
      <c r="B440" s="77" t="s">
        <v>1334</v>
      </c>
      <c r="G440" s="77" t="s">
        <v>1277</v>
      </c>
      <c r="H440" s="77" t="s">
        <v>77</v>
      </c>
      <c r="I440" s="77" t="s">
        <v>78</v>
      </c>
      <c r="J440" s="77" t="s">
        <v>79</v>
      </c>
      <c r="K440" s="77" t="s">
        <v>80</v>
      </c>
      <c r="L440" s="77" t="s">
        <v>1335</v>
      </c>
      <c r="M440" s="77" t="s">
        <v>82</v>
      </c>
      <c r="N440" s="77" t="s">
        <v>83</v>
      </c>
      <c r="Q440" s="77" t="s">
        <v>1279</v>
      </c>
      <c r="U440" s="77" t="s">
        <v>85</v>
      </c>
      <c r="V440" s="80" t="s">
        <v>272</v>
      </c>
      <c r="X440" s="77" t="s">
        <v>273</v>
      </c>
      <c r="Y440" s="78" t="s">
        <v>101</v>
      </c>
      <c r="AA440" s="77" t="s">
        <v>1280</v>
      </c>
      <c r="AB440" s="77" t="s">
        <v>78</v>
      </c>
      <c r="AC440" s="77" t="s">
        <v>90</v>
      </c>
      <c r="AD440" s="77" t="s">
        <v>274</v>
      </c>
      <c r="AE440" s="77" t="s">
        <v>1281</v>
      </c>
    </row>
    <row r="441" spans="1:33" x14ac:dyDescent="0.3">
      <c r="A441" s="77" t="s">
        <v>1336</v>
      </c>
      <c r="B441" s="77" t="s">
        <v>1337</v>
      </c>
      <c r="G441" s="77" t="s">
        <v>1277</v>
      </c>
      <c r="H441" s="77" t="s">
        <v>77</v>
      </c>
      <c r="I441" s="77" t="s">
        <v>78</v>
      </c>
      <c r="J441" s="77" t="s">
        <v>79</v>
      </c>
      <c r="K441" s="77" t="s">
        <v>80</v>
      </c>
      <c r="L441" s="77" t="s">
        <v>1338</v>
      </c>
      <c r="M441" s="77" t="s">
        <v>82</v>
      </c>
      <c r="N441" s="77" t="s">
        <v>83</v>
      </c>
      <c r="Q441" s="77" t="s">
        <v>1279</v>
      </c>
      <c r="U441" s="77" t="s">
        <v>85</v>
      </c>
      <c r="V441" s="80" t="s">
        <v>272</v>
      </c>
      <c r="X441" s="77" t="s">
        <v>273</v>
      </c>
      <c r="Y441" s="78" t="s">
        <v>101</v>
      </c>
      <c r="AA441" s="77" t="s">
        <v>1280</v>
      </c>
      <c r="AB441" s="77" t="s">
        <v>78</v>
      </c>
      <c r="AC441" s="77" t="s">
        <v>90</v>
      </c>
      <c r="AD441" s="77" t="s">
        <v>274</v>
      </c>
      <c r="AE441" s="77" t="s">
        <v>1281</v>
      </c>
    </row>
    <row r="442" spans="1:33" x14ac:dyDescent="0.3">
      <c r="A442" s="77" t="s">
        <v>1339</v>
      </c>
      <c r="B442" s="77" t="s">
        <v>1340</v>
      </c>
      <c r="G442" s="77" t="s">
        <v>1341</v>
      </c>
      <c r="H442" s="77" t="s">
        <v>77</v>
      </c>
      <c r="I442" s="77" t="s">
        <v>78</v>
      </c>
      <c r="J442" s="77" t="s">
        <v>79</v>
      </c>
      <c r="K442" s="77" t="s">
        <v>80</v>
      </c>
      <c r="L442" s="77" t="s">
        <v>1342</v>
      </c>
      <c r="M442" s="77" t="s">
        <v>82</v>
      </c>
      <c r="N442" s="77" t="s">
        <v>83</v>
      </c>
      <c r="Q442" s="77" t="s">
        <v>1343</v>
      </c>
      <c r="T442" s="77" t="s">
        <v>1344</v>
      </c>
      <c r="U442" s="77" t="s">
        <v>85</v>
      </c>
      <c r="V442" s="80" t="s">
        <v>86</v>
      </c>
      <c r="X442" s="77" t="s">
        <v>87</v>
      </c>
      <c r="Y442" s="78" t="s">
        <v>88</v>
      </c>
      <c r="AA442" s="77" t="s">
        <v>1345</v>
      </c>
      <c r="AB442" s="77" t="s">
        <v>1346</v>
      </c>
      <c r="AC442" s="77" t="s">
        <v>90</v>
      </c>
      <c r="AD442" s="77" t="s">
        <v>91</v>
      </c>
      <c r="AE442" s="77" t="s">
        <v>1347</v>
      </c>
      <c r="AG442" s="77" t="s">
        <v>1344</v>
      </c>
    </row>
    <row r="443" spans="1:33" x14ac:dyDescent="0.3">
      <c r="A443" s="77" t="s">
        <v>1348</v>
      </c>
      <c r="B443" s="77" t="s">
        <v>1349</v>
      </c>
      <c r="G443" s="77" t="s">
        <v>1341</v>
      </c>
      <c r="H443" s="77" t="s">
        <v>77</v>
      </c>
      <c r="I443" s="77" t="s">
        <v>78</v>
      </c>
      <c r="J443" s="77" t="s">
        <v>79</v>
      </c>
      <c r="K443" s="77" t="s">
        <v>80</v>
      </c>
      <c r="L443" s="77" t="s">
        <v>1350</v>
      </c>
      <c r="M443" s="77" t="s">
        <v>82</v>
      </c>
      <c r="N443" s="77" t="s">
        <v>83</v>
      </c>
      <c r="Q443" s="77" t="s">
        <v>1343</v>
      </c>
      <c r="T443" s="77" t="s">
        <v>1351</v>
      </c>
      <c r="U443" s="77" t="s">
        <v>85</v>
      </c>
      <c r="V443" s="80" t="s">
        <v>95</v>
      </c>
      <c r="X443" s="77" t="s">
        <v>96</v>
      </c>
      <c r="Y443" s="78" t="s">
        <v>88</v>
      </c>
      <c r="AA443" s="77" t="s">
        <v>1345</v>
      </c>
      <c r="AB443" s="77" t="s">
        <v>1346</v>
      </c>
      <c r="AC443" s="77" t="s">
        <v>90</v>
      </c>
      <c r="AD443" s="77" t="s">
        <v>91</v>
      </c>
      <c r="AE443" s="77" t="s">
        <v>1347</v>
      </c>
      <c r="AG443" s="77" t="s">
        <v>1351</v>
      </c>
    </row>
    <row r="444" spans="1:33" x14ac:dyDescent="0.3">
      <c r="A444" s="77" t="s">
        <v>1352</v>
      </c>
      <c r="B444" s="77" t="s">
        <v>1353</v>
      </c>
      <c r="G444" s="77" t="s">
        <v>1341</v>
      </c>
      <c r="H444" s="77" t="s">
        <v>77</v>
      </c>
      <c r="I444" s="77" t="s">
        <v>78</v>
      </c>
      <c r="J444" s="77" t="s">
        <v>79</v>
      </c>
      <c r="K444" s="77" t="s">
        <v>80</v>
      </c>
      <c r="L444" s="77" t="s">
        <v>1354</v>
      </c>
      <c r="M444" s="77" t="s">
        <v>82</v>
      </c>
      <c r="N444" s="77" t="s">
        <v>83</v>
      </c>
      <c r="Q444" s="77" t="s">
        <v>1343</v>
      </c>
      <c r="T444" s="77" t="s">
        <v>1355</v>
      </c>
      <c r="U444" s="77" t="s">
        <v>85</v>
      </c>
      <c r="V444" s="80" t="s">
        <v>99</v>
      </c>
      <c r="X444" s="77" t="s">
        <v>100</v>
      </c>
      <c r="Y444" s="78" t="s">
        <v>101</v>
      </c>
      <c r="AA444" s="77" t="s">
        <v>1345</v>
      </c>
      <c r="AB444" s="77" t="s">
        <v>1346</v>
      </c>
      <c r="AC444" s="77" t="s">
        <v>90</v>
      </c>
      <c r="AD444" s="77" t="s">
        <v>102</v>
      </c>
      <c r="AE444" s="77" t="s">
        <v>1347</v>
      </c>
      <c r="AG444" s="77" t="s">
        <v>1355</v>
      </c>
    </row>
    <row r="445" spans="1:33" x14ac:dyDescent="0.3">
      <c r="A445" s="77" t="s">
        <v>1356</v>
      </c>
      <c r="B445" s="77" t="s">
        <v>1357</v>
      </c>
      <c r="G445" s="77" t="s">
        <v>1341</v>
      </c>
      <c r="H445" s="77" t="s">
        <v>77</v>
      </c>
      <c r="I445" s="77" t="s">
        <v>78</v>
      </c>
      <c r="J445" s="77" t="s">
        <v>79</v>
      </c>
      <c r="K445" s="77" t="s">
        <v>80</v>
      </c>
      <c r="L445" s="77" t="s">
        <v>1358</v>
      </c>
      <c r="M445" s="77" t="s">
        <v>82</v>
      </c>
      <c r="N445" s="77" t="s">
        <v>83</v>
      </c>
      <c r="Q445" s="77" t="s">
        <v>1343</v>
      </c>
      <c r="T445" s="77" t="s">
        <v>1359</v>
      </c>
      <c r="U445" s="77" t="s">
        <v>85</v>
      </c>
      <c r="V445" s="80" t="s">
        <v>105</v>
      </c>
      <c r="X445" s="77" t="s">
        <v>106</v>
      </c>
      <c r="Y445" s="78" t="s">
        <v>101</v>
      </c>
      <c r="AA445" s="77" t="s">
        <v>1345</v>
      </c>
      <c r="AB445" s="77" t="s">
        <v>1346</v>
      </c>
      <c r="AC445" s="77" t="s">
        <v>90</v>
      </c>
      <c r="AD445" s="77" t="s">
        <v>102</v>
      </c>
      <c r="AE445" s="77" t="s">
        <v>1347</v>
      </c>
      <c r="AG445" s="77" t="s">
        <v>1359</v>
      </c>
    </row>
    <row r="446" spans="1:33" x14ac:dyDescent="0.3">
      <c r="A446" s="77" t="s">
        <v>1360</v>
      </c>
      <c r="B446" s="77" t="s">
        <v>1361</v>
      </c>
      <c r="G446" s="77" t="s">
        <v>1341</v>
      </c>
      <c r="H446" s="77" t="s">
        <v>77</v>
      </c>
      <c r="I446" s="77" t="s">
        <v>78</v>
      </c>
      <c r="J446" s="77" t="s">
        <v>79</v>
      </c>
      <c r="K446" s="77" t="s">
        <v>80</v>
      </c>
      <c r="L446" s="77" t="s">
        <v>1362</v>
      </c>
      <c r="M446" s="77" t="s">
        <v>82</v>
      </c>
      <c r="N446" s="77" t="s">
        <v>83</v>
      </c>
      <c r="Q446" s="77" t="s">
        <v>1343</v>
      </c>
      <c r="T446" s="77" t="s">
        <v>1363</v>
      </c>
      <c r="U446" s="77" t="s">
        <v>85</v>
      </c>
      <c r="V446" s="80" t="s">
        <v>331</v>
      </c>
      <c r="X446" s="77" t="s">
        <v>332</v>
      </c>
      <c r="Y446" s="78" t="s">
        <v>88</v>
      </c>
      <c r="AA446" s="77" t="s">
        <v>1345</v>
      </c>
      <c r="AB446" s="77" t="s">
        <v>1346</v>
      </c>
      <c r="AC446" s="77" t="s">
        <v>90</v>
      </c>
      <c r="AD446" s="77" t="s">
        <v>91</v>
      </c>
      <c r="AE446" s="77" t="s">
        <v>1347</v>
      </c>
      <c r="AG446" s="77" t="s">
        <v>1363</v>
      </c>
    </row>
    <row r="447" spans="1:33" x14ac:dyDescent="0.3">
      <c r="A447" s="77" t="s">
        <v>1364</v>
      </c>
      <c r="B447" s="77" t="s">
        <v>1365</v>
      </c>
      <c r="G447" s="77" t="s">
        <v>1341</v>
      </c>
      <c r="H447" s="77" t="s">
        <v>77</v>
      </c>
      <c r="I447" s="77" t="s">
        <v>78</v>
      </c>
      <c r="J447" s="77" t="s">
        <v>79</v>
      </c>
      <c r="K447" s="77" t="s">
        <v>80</v>
      </c>
      <c r="L447" s="77" t="s">
        <v>1366</v>
      </c>
      <c r="M447" s="77" t="s">
        <v>82</v>
      </c>
      <c r="N447" s="77" t="s">
        <v>83</v>
      </c>
      <c r="Q447" s="77" t="s">
        <v>1343</v>
      </c>
      <c r="T447" s="77" t="s">
        <v>1367</v>
      </c>
      <c r="U447" s="77" t="s">
        <v>85</v>
      </c>
      <c r="V447" s="80" t="s">
        <v>365</v>
      </c>
      <c r="X447" s="77" t="s">
        <v>366</v>
      </c>
      <c r="Y447" s="78" t="s">
        <v>88</v>
      </c>
      <c r="AA447" s="77" t="s">
        <v>1345</v>
      </c>
      <c r="AB447" s="77" t="s">
        <v>1346</v>
      </c>
      <c r="AC447" s="77" t="s">
        <v>90</v>
      </c>
      <c r="AD447" s="77" t="s">
        <v>91</v>
      </c>
      <c r="AE447" s="77" t="s">
        <v>1347</v>
      </c>
      <c r="AG447" s="77" t="s">
        <v>1367</v>
      </c>
    </row>
    <row r="448" spans="1:33" x14ac:dyDescent="0.3">
      <c r="A448" s="77" t="s">
        <v>1368</v>
      </c>
      <c r="B448" s="77" t="s">
        <v>1369</v>
      </c>
      <c r="G448" s="77" t="s">
        <v>1341</v>
      </c>
      <c r="H448" s="77" t="s">
        <v>77</v>
      </c>
      <c r="I448" s="77" t="s">
        <v>78</v>
      </c>
      <c r="J448" s="77" t="s">
        <v>79</v>
      </c>
      <c r="K448" s="77" t="s">
        <v>80</v>
      </c>
      <c r="L448" s="77" t="s">
        <v>1366</v>
      </c>
      <c r="M448" s="77" t="s">
        <v>82</v>
      </c>
      <c r="N448" s="77" t="s">
        <v>83</v>
      </c>
      <c r="Q448" s="77" t="s">
        <v>1343</v>
      </c>
      <c r="T448" s="77" t="s">
        <v>1367</v>
      </c>
      <c r="U448" s="77" t="s">
        <v>85</v>
      </c>
      <c r="V448" s="80" t="s">
        <v>370</v>
      </c>
      <c r="X448" s="77" t="s">
        <v>371</v>
      </c>
      <c r="Y448" s="78" t="s">
        <v>88</v>
      </c>
      <c r="AA448" s="77" t="s">
        <v>1345</v>
      </c>
      <c r="AB448" s="77" t="s">
        <v>1346</v>
      </c>
      <c r="AC448" s="77" t="s">
        <v>90</v>
      </c>
      <c r="AD448" s="77" t="s">
        <v>91</v>
      </c>
      <c r="AE448" s="77" t="s">
        <v>1347</v>
      </c>
      <c r="AG448" s="77" t="s">
        <v>1367</v>
      </c>
    </row>
    <row r="449" spans="1:33" x14ac:dyDescent="0.3">
      <c r="A449" s="77" t="s">
        <v>1370</v>
      </c>
      <c r="B449" s="77" t="s">
        <v>1371</v>
      </c>
      <c r="G449" s="77" t="s">
        <v>1341</v>
      </c>
      <c r="H449" s="77" t="s">
        <v>77</v>
      </c>
      <c r="I449" s="77" t="s">
        <v>78</v>
      </c>
      <c r="J449" s="77" t="s">
        <v>79</v>
      </c>
      <c r="K449" s="77" t="s">
        <v>80</v>
      </c>
      <c r="L449" s="77" t="s">
        <v>1366</v>
      </c>
      <c r="M449" s="77" t="s">
        <v>82</v>
      </c>
      <c r="N449" s="77" t="s">
        <v>83</v>
      </c>
      <c r="Q449" s="77" t="s">
        <v>1343</v>
      </c>
      <c r="T449" s="77" t="s">
        <v>1367</v>
      </c>
      <c r="U449" s="77" t="s">
        <v>85</v>
      </c>
      <c r="V449" s="80" t="s">
        <v>375</v>
      </c>
      <c r="X449" s="77" t="s">
        <v>376</v>
      </c>
      <c r="Y449" s="78" t="s">
        <v>101</v>
      </c>
      <c r="AA449" s="77" t="s">
        <v>1345</v>
      </c>
      <c r="AB449" s="77" t="s">
        <v>1346</v>
      </c>
      <c r="AC449" s="77" t="s">
        <v>90</v>
      </c>
      <c r="AD449" s="77" t="s">
        <v>102</v>
      </c>
      <c r="AE449" s="77" t="s">
        <v>1347</v>
      </c>
      <c r="AG449" s="77" t="s">
        <v>1367</v>
      </c>
    </row>
    <row r="450" spans="1:33" x14ac:dyDescent="0.3">
      <c r="A450" s="77" t="s">
        <v>1372</v>
      </c>
      <c r="B450" s="77" t="s">
        <v>1373</v>
      </c>
      <c r="G450" s="77" t="s">
        <v>1341</v>
      </c>
      <c r="H450" s="77" t="s">
        <v>77</v>
      </c>
      <c r="I450" s="77" t="s">
        <v>78</v>
      </c>
      <c r="J450" s="77" t="s">
        <v>79</v>
      </c>
      <c r="K450" s="77" t="s">
        <v>80</v>
      </c>
      <c r="L450" s="77" t="s">
        <v>1366</v>
      </c>
      <c r="M450" s="77" t="s">
        <v>82</v>
      </c>
      <c r="N450" s="77" t="s">
        <v>83</v>
      </c>
      <c r="Q450" s="77" t="s">
        <v>1343</v>
      </c>
      <c r="T450" s="77" t="s">
        <v>1367</v>
      </c>
      <c r="U450" s="77" t="s">
        <v>85</v>
      </c>
      <c r="V450" s="80" t="s">
        <v>380</v>
      </c>
      <c r="X450" s="77" t="s">
        <v>381</v>
      </c>
      <c r="Y450" s="78" t="s">
        <v>101</v>
      </c>
      <c r="AA450" s="77" t="s">
        <v>1345</v>
      </c>
      <c r="AB450" s="77" t="s">
        <v>1346</v>
      </c>
      <c r="AC450" s="77" t="s">
        <v>90</v>
      </c>
      <c r="AD450" s="77" t="s">
        <v>102</v>
      </c>
      <c r="AE450" s="77" t="s">
        <v>1347</v>
      </c>
      <c r="AG450" s="77" t="s">
        <v>1367</v>
      </c>
    </row>
    <row r="451" spans="1:33" x14ac:dyDescent="0.3">
      <c r="A451" s="77" t="s">
        <v>1374</v>
      </c>
      <c r="B451" s="77" t="s">
        <v>1375</v>
      </c>
      <c r="G451" s="77" t="s">
        <v>1341</v>
      </c>
      <c r="H451" s="77" t="s">
        <v>77</v>
      </c>
      <c r="I451" s="77" t="s">
        <v>78</v>
      </c>
      <c r="J451" s="77" t="s">
        <v>79</v>
      </c>
      <c r="K451" s="77" t="s">
        <v>80</v>
      </c>
      <c r="L451" s="77" t="s">
        <v>1376</v>
      </c>
      <c r="M451" s="77" t="s">
        <v>82</v>
      </c>
      <c r="N451" s="77" t="s">
        <v>83</v>
      </c>
      <c r="Q451" s="77" t="s">
        <v>1343</v>
      </c>
      <c r="T451" s="77" t="s">
        <v>1377</v>
      </c>
      <c r="U451" s="77" t="s">
        <v>85</v>
      </c>
      <c r="V451" s="80" t="s">
        <v>507</v>
      </c>
      <c r="X451" s="77" t="s">
        <v>508</v>
      </c>
      <c r="Y451" s="78" t="s">
        <v>88</v>
      </c>
      <c r="AA451" s="77" t="s">
        <v>1345</v>
      </c>
      <c r="AB451" s="77" t="s">
        <v>1346</v>
      </c>
      <c r="AC451" s="77" t="s">
        <v>90</v>
      </c>
      <c r="AD451" s="77" t="s">
        <v>91</v>
      </c>
      <c r="AE451" s="77" t="s">
        <v>1347</v>
      </c>
      <c r="AG451" s="77" t="s">
        <v>1377</v>
      </c>
    </row>
    <row r="452" spans="1:33" x14ac:dyDescent="0.3">
      <c r="A452" s="77" t="s">
        <v>1378</v>
      </c>
      <c r="B452" s="77" t="s">
        <v>1379</v>
      </c>
      <c r="G452" s="77" t="s">
        <v>1341</v>
      </c>
      <c r="H452" s="77" t="s">
        <v>77</v>
      </c>
      <c r="I452" s="77" t="s">
        <v>78</v>
      </c>
      <c r="J452" s="77" t="s">
        <v>79</v>
      </c>
      <c r="K452" s="77" t="s">
        <v>80</v>
      </c>
      <c r="L452" s="77" t="s">
        <v>1376</v>
      </c>
      <c r="M452" s="77" t="s">
        <v>82</v>
      </c>
      <c r="N452" s="77" t="s">
        <v>83</v>
      </c>
      <c r="Q452" s="77" t="s">
        <v>1343</v>
      </c>
      <c r="T452" s="77" t="s">
        <v>1377</v>
      </c>
      <c r="U452" s="77" t="s">
        <v>85</v>
      </c>
      <c r="V452" s="80" t="s">
        <v>514</v>
      </c>
      <c r="X452" s="77" t="s">
        <v>515</v>
      </c>
      <c r="Y452" s="78" t="s">
        <v>88</v>
      </c>
      <c r="AA452" s="77" t="s">
        <v>1345</v>
      </c>
      <c r="AB452" s="77" t="s">
        <v>1346</v>
      </c>
      <c r="AC452" s="77" t="s">
        <v>90</v>
      </c>
      <c r="AD452" s="77" t="s">
        <v>91</v>
      </c>
      <c r="AE452" s="77" t="s">
        <v>1347</v>
      </c>
      <c r="AG452" s="77" t="s">
        <v>1377</v>
      </c>
    </row>
    <row r="453" spans="1:33" x14ac:dyDescent="0.3">
      <c r="A453" s="77" t="s">
        <v>1380</v>
      </c>
      <c r="B453" s="77" t="s">
        <v>1381</v>
      </c>
      <c r="G453" s="77" t="s">
        <v>1341</v>
      </c>
      <c r="H453" s="77" t="s">
        <v>77</v>
      </c>
      <c r="I453" s="77" t="s">
        <v>78</v>
      </c>
      <c r="J453" s="77" t="s">
        <v>79</v>
      </c>
      <c r="K453" s="77" t="s">
        <v>80</v>
      </c>
      <c r="L453" s="77" t="s">
        <v>1376</v>
      </c>
      <c r="M453" s="77" t="s">
        <v>82</v>
      </c>
      <c r="N453" s="77" t="s">
        <v>83</v>
      </c>
      <c r="Q453" s="77" t="s">
        <v>1343</v>
      </c>
      <c r="T453" s="77" t="s">
        <v>1377</v>
      </c>
      <c r="U453" s="77" t="s">
        <v>85</v>
      </c>
      <c r="V453" s="80" t="s">
        <v>521</v>
      </c>
      <c r="X453" s="77" t="s">
        <v>522</v>
      </c>
      <c r="Y453" s="78" t="s">
        <v>101</v>
      </c>
      <c r="AA453" s="77" t="s">
        <v>1345</v>
      </c>
      <c r="AB453" s="77" t="s">
        <v>1346</v>
      </c>
      <c r="AC453" s="77" t="s">
        <v>90</v>
      </c>
      <c r="AD453" s="77" t="s">
        <v>102</v>
      </c>
      <c r="AE453" s="77" t="s">
        <v>1347</v>
      </c>
      <c r="AG453" s="77" t="s">
        <v>1377</v>
      </c>
    </row>
    <row r="454" spans="1:33" x14ac:dyDescent="0.3">
      <c r="A454" s="77" t="s">
        <v>1382</v>
      </c>
      <c r="B454" s="77" t="s">
        <v>1383</v>
      </c>
      <c r="G454" s="77" t="s">
        <v>1341</v>
      </c>
      <c r="H454" s="77" t="s">
        <v>77</v>
      </c>
      <c r="I454" s="77" t="s">
        <v>78</v>
      </c>
      <c r="J454" s="77" t="s">
        <v>79</v>
      </c>
      <c r="K454" s="77" t="s">
        <v>80</v>
      </c>
      <c r="L454" s="77" t="s">
        <v>1376</v>
      </c>
      <c r="M454" s="77" t="s">
        <v>82</v>
      </c>
      <c r="N454" s="77" t="s">
        <v>83</v>
      </c>
      <c r="Q454" s="77" t="s">
        <v>1343</v>
      </c>
      <c r="T454" s="77" t="s">
        <v>1377</v>
      </c>
      <c r="U454" s="77" t="s">
        <v>85</v>
      </c>
      <c r="V454" s="80" t="s">
        <v>528</v>
      </c>
      <c r="X454" s="77" t="s">
        <v>529</v>
      </c>
      <c r="Y454" s="78" t="s">
        <v>101</v>
      </c>
      <c r="AA454" s="77" t="s">
        <v>1345</v>
      </c>
      <c r="AB454" s="77" t="s">
        <v>1346</v>
      </c>
      <c r="AC454" s="77" t="s">
        <v>90</v>
      </c>
      <c r="AD454" s="77" t="s">
        <v>102</v>
      </c>
      <c r="AE454" s="77" t="s">
        <v>1347</v>
      </c>
      <c r="AG454" s="77" t="s">
        <v>1377</v>
      </c>
    </row>
    <row r="455" spans="1:33" x14ac:dyDescent="0.3">
      <c r="A455" s="77" t="s">
        <v>1384</v>
      </c>
      <c r="B455" s="77" t="s">
        <v>1385</v>
      </c>
      <c r="G455" s="77" t="s">
        <v>1341</v>
      </c>
      <c r="H455" s="77" t="s">
        <v>77</v>
      </c>
      <c r="I455" s="77" t="s">
        <v>78</v>
      </c>
      <c r="J455" s="77" t="s">
        <v>79</v>
      </c>
      <c r="K455" s="77" t="s">
        <v>80</v>
      </c>
      <c r="L455" s="77" t="s">
        <v>1386</v>
      </c>
      <c r="M455" s="77" t="s">
        <v>82</v>
      </c>
      <c r="N455" s="77" t="s">
        <v>83</v>
      </c>
      <c r="Q455" s="77" t="s">
        <v>1343</v>
      </c>
      <c r="T455" s="77" t="s">
        <v>1387</v>
      </c>
      <c r="U455" s="77" t="s">
        <v>85</v>
      </c>
      <c r="V455" s="80" t="s">
        <v>859</v>
      </c>
      <c r="X455" s="77" t="s">
        <v>860</v>
      </c>
      <c r="Y455" s="78" t="s">
        <v>88</v>
      </c>
      <c r="AA455" s="77" t="s">
        <v>1345</v>
      </c>
      <c r="AB455" s="77" t="s">
        <v>1346</v>
      </c>
      <c r="AC455" s="77" t="s">
        <v>90</v>
      </c>
      <c r="AD455" s="77" t="s">
        <v>91</v>
      </c>
      <c r="AE455" s="77" t="s">
        <v>1347</v>
      </c>
      <c r="AG455" s="77" t="s">
        <v>1387</v>
      </c>
    </row>
    <row r="456" spans="1:33" x14ac:dyDescent="0.3">
      <c r="A456" s="77" t="s">
        <v>1388</v>
      </c>
      <c r="B456" s="77" t="s">
        <v>1389</v>
      </c>
      <c r="G456" s="77" t="s">
        <v>1341</v>
      </c>
      <c r="H456" s="77" t="s">
        <v>77</v>
      </c>
      <c r="I456" s="77" t="s">
        <v>78</v>
      </c>
      <c r="J456" s="77" t="s">
        <v>79</v>
      </c>
      <c r="K456" s="77" t="s">
        <v>80</v>
      </c>
      <c r="L456" s="77" t="s">
        <v>1386</v>
      </c>
      <c r="M456" s="77" t="s">
        <v>82</v>
      </c>
      <c r="N456" s="77" t="s">
        <v>83</v>
      </c>
      <c r="Q456" s="77" t="s">
        <v>1343</v>
      </c>
      <c r="T456" s="77" t="s">
        <v>1387</v>
      </c>
      <c r="U456" s="77" t="s">
        <v>85</v>
      </c>
      <c r="V456" s="80" t="s">
        <v>864</v>
      </c>
      <c r="X456" s="77" t="s">
        <v>865</v>
      </c>
      <c r="Y456" s="78" t="s">
        <v>88</v>
      </c>
      <c r="AA456" s="77" t="s">
        <v>1345</v>
      </c>
      <c r="AB456" s="77" t="s">
        <v>1346</v>
      </c>
      <c r="AC456" s="77" t="s">
        <v>90</v>
      </c>
      <c r="AD456" s="77" t="s">
        <v>91</v>
      </c>
      <c r="AE456" s="77" t="s">
        <v>1347</v>
      </c>
      <c r="AG456" s="77" t="s">
        <v>1387</v>
      </c>
    </row>
    <row r="457" spans="1:33" x14ac:dyDescent="0.3">
      <c r="A457" s="77" t="s">
        <v>1390</v>
      </c>
      <c r="B457" s="77" t="s">
        <v>1391</v>
      </c>
      <c r="G457" s="77" t="s">
        <v>1341</v>
      </c>
      <c r="H457" s="77" t="s">
        <v>77</v>
      </c>
      <c r="I457" s="77" t="s">
        <v>78</v>
      </c>
      <c r="J457" s="77" t="s">
        <v>79</v>
      </c>
      <c r="K457" s="77" t="s">
        <v>80</v>
      </c>
      <c r="L457" s="77" t="s">
        <v>1386</v>
      </c>
      <c r="M457" s="77" t="s">
        <v>82</v>
      </c>
      <c r="N457" s="77" t="s">
        <v>83</v>
      </c>
      <c r="Q457" s="77" t="s">
        <v>1343</v>
      </c>
      <c r="T457" s="77" t="s">
        <v>1387</v>
      </c>
      <c r="U457" s="77" t="s">
        <v>85</v>
      </c>
      <c r="V457" s="80" t="s">
        <v>869</v>
      </c>
      <c r="X457" s="77" t="s">
        <v>870</v>
      </c>
      <c r="Y457" s="78" t="s">
        <v>101</v>
      </c>
      <c r="AA457" s="77" t="s">
        <v>1345</v>
      </c>
      <c r="AB457" s="77" t="s">
        <v>1346</v>
      </c>
      <c r="AC457" s="77" t="s">
        <v>90</v>
      </c>
      <c r="AD457" s="77" t="s">
        <v>102</v>
      </c>
      <c r="AE457" s="77" t="s">
        <v>1347</v>
      </c>
      <c r="AG457" s="77" t="s">
        <v>1387</v>
      </c>
    </row>
    <row r="458" spans="1:33" x14ac:dyDescent="0.3">
      <c r="A458" s="77" t="s">
        <v>1392</v>
      </c>
      <c r="B458" s="77" t="s">
        <v>1393</v>
      </c>
      <c r="G458" s="77" t="s">
        <v>1341</v>
      </c>
      <c r="H458" s="77" t="s">
        <v>77</v>
      </c>
      <c r="I458" s="77" t="s">
        <v>78</v>
      </c>
      <c r="J458" s="77" t="s">
        <v>79</v>
      </c>
      <c r="K458" s="77" t="s">
        <v>80</v>
      </c>
      <c r="L458" s="77" t="s">
        <v>1386</v>
      </c>
      <c r="M458" s="77" t="s">
        <v>82</v>
      </c>
      <c r="N458" s="77" t="s">
        <v>83</v>
      </c>
      <c r="Q458" s="77" t="s">
        <v>1343</v>
      </c>
      <c r="T458" s="77" t="s">
        <v>1387</v>
      </c>
      <c r="U458" s="77" t="s">
        <v>85</v>
      </c>
      <c r="V458" s="80" t="s">
        <v>874</v>
      </c>
      <c r="X458" s="77" t="s">
        <v>875</v>
      </c>
      <c r="Y458" s="78" t="s">
        <v>101</v>
      </c>
      <c r="AA458" s="77" t="s">
        <v>1345</v>
      </c>
      <c r="AB458" s="77" t="s">
        <v>1346</v>
      </c>
      <c r="AC458" s="77" t="s">
        <v>90</v>
      </c>
      <c r="AD458" s="77" t="s">
        <v>102</v>
      </c>
      <c r="AE458" s="77" t="s">
        <v>1347</v>
      </c>
      <c r="AG458" s="77" t="s">
        <v>1387</v>
      </c>
    </row>
    <row r="459" spans="1:33" x14ac:dyDescent="0.3">
      <c r="A459" s="77" t="s">
        <v>1394</v>
      </c>
      <c r="B459" s="77" t="s">
        <v>1395</v>
      </c>
      <c r="G459" s="77" t="s">
        <v>1341</v>
      </c>
      <c r="H459" s="77" t="s">
        <v>77</v>
      </c>
      <c r="I459" s="77" t="s">
        <v>78</v>
      </c>
      <c r="J459" s="77" t="s">
        <v>79</v>
      </c>
      <c r="K459" s="77" t="s">
        <v>80</v>
      </c>
      <c r="L459" s="77" t="s">
        <v>1396</v>
      </c>
      <c r="M459" s="77" t="s">
        <v>82</v>
      </c>
      <c r="N459" s="77" t="s">
        <v>83</v>
      </c>
      <c r="Q459" s="77" t="s">
        <v>1343</v>
      </c>
      <c r="T459" s="77" t="s">
        <v>1397</v>
      </c>
      <c r="U459" s="77" t="s">
        <v>85</v>
      </c>
      <c r="V459" s="80" t="s">
        <v>952</v>
      </c>
      <c r="X459" s="77" t="s">
        <v>953</v>
      </c>
      <c r="Y459" s="78" t="s">
        <v>101</v>
      </c>
      <c r="AA459" s="77" t="s">
        <v>1345</v>
      </c>
      <c r="AB459" s="77" t="s">
        <v>1346</v>
      </c>
      <c r="AC459" s="77" t="s">
        <v>90</v>
      </c>
      <c r="AD459" s="77" t="s">
        <v>954</v>
      </c>
      <c r="AE459" s="77" t="s">
        <v>1347</v>
      </c>
      <c r="AG459" s="77" t="s">
        <v>1397</v>
      </c>
    </row>
    <row r="460" spans="1:33" x14ac:dyDescent="0.3">
      <c r="A460" s="77" t="s">
        <v>1398</v>
      </c>
      <c r="B460" s="77" t="s">
        <v>1399</v>
      </c>
      <c r="G460" s="77" t="s">
        <v>1341</v>
      </c>
      <c r="H460" s="77" t="s">
        <v>77</v>
      </c>
      <c r="I460" s="77" t="s">
        <v>78</v>
      </c>
      <c r="J460" s="77" t="s">
        <v>79</v>
      </c>
      <c r="K460" s="77" t="s">
        <v>80</v>
      </c>
      <c r="L460" s="77" t="s">
        <v>1400</v>
      </c>
      <c r="M460" s="77" t="s">
        <v>82</v>
      </c>
      <c r="N460" s="77" t="s">
        <v>83</v>
      </c>
      <c r="Q460" s="77" t="s">
        <v>1343</v>
      </c>
      <c r="T460" s="77" t="s">
        <v>1401</v>
      </c>
      <c r="U460" s="77" t="s">
        <v>85</v>
      </c>
      <c r="V460" s="80" t="s">
        <v>1402</v>
      </c>
      <c r="X460" s="77" t="s">
        <v>1403</v>
      </c>
      <c r="Y460" s="78" t="s">
        <v>101</v>
      </c>
      <c r="AA460" s="77" t="s">
        <v>1345</v>
      </c>
      <c r="AB460" s="77" t="s">
        <v>1346</v>
      </c>
      <c r="AC460" s="77" t="s">
        <v>90</v>
      </c>
      <c r="AD460" s="77" t="s">
        <v>274</v>
      </c>
      <c r="AE460" s="77" t="s">
        <v>1347</v>
      </c>
      <c r="AG460" s="77" t="s">
        <v>1401</v>
      </c>
    </row>
    <row r="461" spans="1:33" x14ac:dyDescent="0.3">
      <c r="A461" s="77" t="s">
        <v>1404</v>
      </c>
      <c r="B461" s="77" t="s">
        <v>1405</v>
      </c>
      <c r="G461" s="77" t="s">
        <v>1341</v>
      </c>
      <c r="H461" s="77" t="s">
        <v>77</v>
      </c>
      <c r="I461" s="77" t="s">
        <v>78</v>
      </c>
      <c r="J461" s="77" t="s">
        <v>79</v>
      </c>
      <c r="K461" s="77" t="s">
        <v>80</v>
      </c>
      <c r="L461" s="77" t="s">
        <v>1406</v>
      </c>
      <c r="M461" s="77" t="s">
        <v>82</v>
      </c>
      <c r="N461" s="77" t="s">
        <v>83</v>
      </c>
      <c r="Q461" s="77" t="s">
        <v>1343</v>
      </c>
      <c r="T461" s="77" t="s">
        <v>1401</v>
      </c>
      <c r="U461" s="77" t="s">
        <v>85</v>
      </c>
      <c r="V461" s="80" t="s">
        <v>1402</v>
      </c>
      <c r="X461" s="77" t="s">
        <v>1403</v>
      </c>
      <c r="Y461" s="78" t="s">
        <v>101</v>
      </c>
      <c r="AA461" s="77" t="s">
        <v>1345</v>
      </c>
      <c r="AB461" s="77" t="s">
        <v>1346</v>
      </c>
      <c r="AC461" s="77" t="s">
        <v>90</v>
      </c>
      <c r="AD461" s="77" t="s">
        <v>274</v>
      </c>
      <c r="AE461" s="77" t="s">
        <v>1347</v>
      </c>
      <c r="AG461" s="77" t="s">
        <v>1401</v>
      </c>
    </row>
    <row r="462" spans="1:33" x14ac:dyDescent="0.3">
      <c r="A462" s="77" t="s">
        <v>1407</v>
      </c>
      <c r="B462" s="77" t="s">
        <v>1408</v>
      </c>
      <c r="G462" s="77" t="s">
        <v>1341</v>
      </c>
      <c r="H462" s="77" t="s">
        <v>77</v>
      </c>
      <c r="I462" s="77" t="s">
        <v>78</v>
      </c>
      <c r="J462" s="77" t="s">
        <v>79</v>
      </c>
      <c r="K462" s="77" t="s">
        <v>80</v>
      </c>
      <c r="L462" s="77" t="s">
        <v>1409</v>
      </c>
      <c r="M462" s="77" t="s">
        <v>82</v>
      </c>
      <c r="N462" s="77" t="s">
        <v>83</v>
      </c>
      <c r="Q462" s="77" t="s">
        <v>1343</v>
      </c>
      <c r="T462" s="77" t="s">
        <v>1410</v>
      </c>
      <c r="U462" s="77" t="s">
        <v>85</v>
      </c>
      <c r="V462" s="80" t="s">
        <v>547</v>
      </c>
      <c r="X462" s="77" t="s">
        <v>548</v>
      </c>
      <c r="Y462" s="78" t="s">
        <v>88</v>
      </c>
      <c r="AA462" s="77" t="s">
        <v>1345</v>
      </c>
      <c r="AB462" s="77" t="s">
        <v>1346</v>
      </c>
      <c r="AC462" s="77" t="s">
        <v>90</v>
      </c>
      <c r="AD462" s="77" t="s">
        <v>91</v>
      </c>
      <c r="AE462" s="77" t="s">
        <v>1347</v>
      </c>
      <c r="AG462" s="77" t="s">
        <v>1410</v>
      </c>
    </row>
    <row r="463" spans="1:33" x14ac:dyDescent="0.3">
      <c r="A463" s="77" t="s">
        <v>1411</v>
      </c>
      <c r="B463" s="77" t="s">
        <v>1412</v>
      </c>
      <c r="G463" s="77" t="s">
        <v>1341</v>
      </c>
      <c r="H463" s="77" t="s">
        <v>77</v>
      </c>
      <c r="I463" s="77" t="s">
        <v>78</v>
      </c>
      <c r="J463" s="77" t="s">
        <v>79</v>
      </c>
      <c r="K463" s="77" t="s">
        <v>80</v>
      </c>
      <c r="L463" s="77" t="s">
        <v>1409</v>
      </c>
      <c r="M463" s="77" t="s">
        <v>82</v>
      </c>
      <c r="N463" s="77" t="s">
        <v>83</v>
      </c>
      <c r="Q463" s="77" t="s">
        <v>1343</v>
      </c>
      <c r="T463" s="77" t="s">
        <v>1410</v>
      </c>
      <c r="U463" s="77" t="s">
        <v>85</v>
      </c>
      <c r="V463" s="80" t="s">
        <v>547</v>
      </c>
      <c r="X463" s="77" t="s">
        <v>548</v>
      </c>
      <c r="Y463" s="78" t="s">
        <v>88</v>
      </c>
      <c r="AA463" s="77" t="s">
        <v>1345</v>
      </c>
      <c r="AB463" s="77" t="s">
        <v>1346</v>
      </c>
      <c r="AC463" s="77" t="s">
        <v>90</v>
      </c>
      <c r="AD463" s="77" t="s">
        <v>91</v>
      </c>
      <c r="AE463" s="77" t="s">
        <v>1347</v>
      </c>
      <c r="AG463" s="77" t="s">
        <v>1410</v>
      </c>
    </row>
    <row r="464" spans="1:33" x14ac:dyDescent="0.3">
      <c r="A464" s="77" t="s">
        <v>1413</v>
      </c>
      <c r="B464" s="77" t="s">
        <v>1414</v>
      </c>
      <c r="G464" s="77" t="s">
        <v>1341</v>
      </c>
      <c r="H464" s="77" t="s">
        <v>77</v>
      </c>
      <c r="I464" s="77" t="s">
        <v>78</v>
      </c>
      <c r="J464" s="77" t="s">
        <v>79</v>
      </c>
      <c r="K464" s="77" t="s">
        <v>80</v>
      </c>
      <c r="L464" s="77" t="s">
        <v>1415</v>
      </c>
      <c r="M464" s="77" t="s">
        <v>82</v>
      </c>
      <c r="N464" s="77" t="s">
        <v>83</v>
      </c>
      <c r="Q464" s="77" t="s">
        <v>1343</v>
      </c>
      <c r="T464" s="77" t="s">
        <v>1344</v>
      </c>
      <c r="U464" s="77" t="s">
        <v>85</v>
      </c>
      <c r="V464" s="80" t="s">
        <v>86</v>
      </c>
      <c r="X464" s="77" t="s">
        <v>87</v>
      </c>
      <c r="Y464" s="78" t="s">
        <v>88</v>
      </c>
      <c r="AA464" s="77" t="s">
        <v>1345</v>
      </c>
      <c r="AB464" s="77" t="s">
        <v>1346</v>
      </c>
      <c r="AC464" s="77" t="s">
        <v>90</v>
      </c>
      <c r="AD464" s="77" t="s">
        <v>91</v>
      </c>
      <c r="AE464" s="77" t="s">
        <v>1347</v>
      </c>
      <c r="AG464" s="77" t="s">
        <v>1344</v>
      </c>
    </row>
    <row r="465" spans="1:33" x14ac:dyDescent="0.3">
      <c r="A465" s="77" t="s">
        <v>1416</v>
      </c>
      <c r="B465" s="77" t="s">
        <v>1417</v>
      </c>
      <c r="G465" s="77" t="s">
        <v>1341</v>
      </c>
      <c r="H465" s="77" t="s">
        <v>77</v>
      </c>
      <c r="I465" s="77" t="s">
        <v>78</v>
      </c>
      <c r="J465" s="77" t="s">
        <v>79</v>
      </c>
      <c r="K465" s="77" t="s">
        <v>80</v>
      </c>
      <c r="L465" s="77" t="s">
        <v>1415</v>
      </c>
      <c r="M465" s="77" t="s">
        <v>82</v>
      </c>
      <c r="N465" s="77" t="s">
        <v>83</v>
      </c>
      <c r="Q465" s="77" t="s">
        <v>1343</v>
      </c>
      <c r="T465" s="77" t="s">
        <v>1351</v>
      </c>
      <c r="U465" s="77" t="s">
        <v>85</v>
      </c>
      <c r="V465" s="80" t="s">
        <v>95</v>
      </c>
      <c r="X465" s="77" t="s">
        <v>96</v>
      </c>
      <c r="Y465" s="78" t="s">
        <v>88</v>
      </c>
      <c r="AA465" s="77" t="s">
        <v>1345</v>
      </c>
      <c r="AB465" s="77" t="s">
        <v>1346</v>
      </c>
      <c r="AC465" s="77" t="s">
        <v>90</v>
      </c>
      <c r="AD465" s="77" t="s">
        <v>91</v>
      </c>
      <c r="AE465" s="77" t="s">
        <v>1347</v>
      </c>
      <c r="AG465" s="77" t="s">
        <v>1351</v>
      </c>
    </row>
    <row r="466" spans="1:33" x14ac:dyDescent="0.3">
      <c r="A466" s="77" t="s">
        <v>1418</v>
      </c>
      <c r="B466" s="77" t="s">
        <v>1419</v>
      </c>
      <c r="G466" s="77" t="s">
        <v>1341</v>
      </c>
      <c r="H466" s="77" t="s">
        <v>77</v>
      </c>
      <c r="I466" s="77" t="s">
        <v>78</v>
      </c>
      <c r="J466" s="77" t="s">
        <v>79</v>
      </c>
      <c r="K466" s="77" t="s">
        <v>80</v>
      </c>
      <c r="L466" s="77" t="s">
        <v>1415</v>
      </c>
      <c r="M466" s="77" t="s">
        <v>82</v>
      </c>
      <c r="N466" s="77" t="s">
        <v>83</v>
      </c>
      <c r="Q466" s="77" t="s">
        <v>1343</v>
      </c>
      <c r="T466" s="77" t="s">
        <v>1355</v>
      </c>
      <c r="U466" s="77" t="s">
        <v>85</v>
      </c>
      <c r="V466" s="80" t="s">
        <v>99</v>
      </c>
      <c r="X466" s="77" t="s">
        <v>100</v>
      </c>
      <c r="Y466" s="78" t="s">
        <v>101</v>
      </c>
      <c r="AA466" s="77" t="s">
        <v>1345</v>
      </c>
      <c r="AB466" s="77" t="s">
        <v>1346</v>
      </c>
      <c r="AC466" s="77" t="s">
        <v>90</v>
      </c>
      <c r="AD466" s="77" t="s">
        <v>102</v>
      </c>
      <c r="AE466" s="77" t="s">
        <v>1347</v>
      </c>
      <c r="AG466" s="77" t="s">
        <v>1355</v>
      </c>
    </row>
    <row r="467" spans="1:33" x14ac:dyDescent="0.3">
      <c r="A467" s="77" t="s">
        <v>1420</v>
      </c>
      <c r="B467" s="77" t="s">
        <v>1421</v>
      </c>
      <c r="G467" s="77" t="s">
        <v>1341</v>
      </c>
      <c r="H467" s="77" t="s">
        <v>77</v>
      </c>
      <c r="I467" s="77" t="s">
        <v>78</v>
      </c>
      <c r="J467" s="77" t="s">
        <v>79</v>
      </c>
      <c r="K467" s="77" t="s">
        <v>80</v>
      </c>
      <c r="L467" s="77" t="s">
        <v>1415</v>
      </c>
      <c r="M467" s="77" t="s">
        <v>82</v>
      </c>
      <c r="N467" s="77" t="s">
        <v>83</v>
      </c>
      <c r="Q467" s="77" t="s">
        <v>1343</v>
      </c>
      <c r="T467" s="77" t="s">
        <v>1359</v>
      </c>
      <c r="U467" s="77" t="s">
        <v>85</v>
      </c>
      <c r="V467" s="80" t="s">
        <v>105</v>
      </c>
      <c r="X467" s="77" t="s">
        <v>106</v>
      </c>
      <c r="Y467" s="78" t="s">
        <v>101</v>
      </c>
      <c r="AA467" s="77" t="s">
        <v>1345</v>
      </c>
      <c r="AB467" s="77" t="s">
        <v>1346</v>
      </c>
      <c r="AC467" s="77" t="s">
        <v>90</v>
      </c>
      <c r="AD467" s="77" t="s">
        <v>102</v>
      </c>
      <c r="AE467" s="77" t="s">
        <v>1347</v>
      </c>
      <c r="AG467" s="77" t="s">
        <v>1359</v>
      </c>
    </row>
    <row r="468" spans="1:33" x14ac:dyDescent="0.3">
      <c r="A468" s="77" t="s">
        <v>1422</v>
      </c>
      <c r="B468" s="77" t="s">
        <v>1423</v>
      </c>
      <c r="G468" s="77" t="s">
        <v>1341</v>
      </c>
      <c r="H468" s="77" t="s">
        <v>77</v>
      </c>
      <c r="I468" s="77" t="s">
        <v>78</v>
      </c>
      <c r="J468" s="77" t="s">
        <v>79</v>
      </c>
      <c r="K468" s="77" t="s">
        <v>80</v>
      </c>
      <c r="L468" s="77" t="s">
        <v>1415</v>
      </c>
      <c r="M468" s="77" t="s">
        <v>82</v>
      </c>
      <c r="N468" s="77" t="s">
        <v>83</v>
      </c>
      <c r="Q468" s="77" t="s">
        <v>1343</v>
      </c>
      <c r="T468" s="77" t="s">
        <v>1344</v>
      </c>
      <c r="U468" s="77" t="s">
        <v>85</v>
      </c>
      <c r="V468" s="80" t="s">
        <v>86</v>
      </c>
      <c r="X468" s="77" t="s">
        <v>87</v>
      </c>
      <c r="Y468" s="78" t="s">
        <v>88</v>
      </c>
      <c r="AA468" s="77" t="s">
        <v>1345</v>
      </c>
      <c r="AB468" s="77" t="s">
        <v>1346</v>
      </c>
      <c r="AC468" s="77" t="s">
        <v>90</v>
      </c>
      <c r="AD468" s="77" t="s">
        <v>91</v>
      </c>
      <c r="AE468" s="77" t="s">
        <v>1347</v>
      </c>
      <c r="AG468" s="77" t="s">
        <v>1344</v>
      </c>
    </row>
    <row r="469" spans="1:33" x14ac:dyDescent="0.3">
      <c r="A469" s="77" t="s">
        <v>1424</v>
      </c>
      <c r="B469" s="77" t="s">
        <v>1425</v>
      </c>
      <c r="G469" s="77" t="s">
        <v>1341</v>
      </c>
      <c r="H469" s="77" t="s">
        <v>77</v>
      </c>
      <c r="I469" s="77" t="s">
        <v>78</v>
      </c>
      <c r="J469" s="77" t="s">
        <v>79</v>
      </c>
      <c r="K469" s="77" t="s">
        <v>80</v>
      </c>
      <c r="L469" s="77" t="s">
        <v>1415</v>
      </c>
      <c r="M469" s="77" t="s">
        <v>82</v>
      </c>
      <c r="N469" s="77" t="s">
        <v>83</v>
      </c>
      <c r="Q469" s="77" t="s">
        <v>1343</v>
      </c>
      <c r="T469" s="77" t="s">
        <v>1351</v>
      </c>
      <c r="U469" s="77" t="s">
        <v>85</v>
      </c>
      <c r="V469" s="80" t="s">
        <v>95</v>
      </c>
      <c r="X469" s="77" t="s">
        <v>96</v>
      </c>
      <c r="Y469" s="78" t="s">
        <v>88</v>
      </c>
      <c r="AA469" s="77" t="s">
        <v>1345</v>
      </c>
      <c r="AB469" s="77" t="s">
        <v>1346</v>
      </c>
      <c r="AC469" s="77" t="s">
        <v>90</v>
      </c>
      <c r="AD469" s="77" t="s">
        <v>91</v>
      </c>
      <c r="AE469" s="77" t="s">
        <v>1347</v>
      </c>
      <c r="AG469" s="77" t="s">
        <v>1351</v>
      </c>
    </row>
    <row r="470" spans="1:33" x14ac:dyDescent="0.3">
      <c r="A470" s="77" t="s">
        <v>1426</v>
      </c>
      <c r="B470" s="77" t="s">
        <v>1427</v>
      </c>
      <c r="G470" s="77" t="s">
        <v>1341</v>
      </c>
      <c r="H470" s="77" t="s">
        <v>77</v>
      </c>
      <c r="I470" s="77" t="s">
        <v>78</v>
      </c>
      <c r="J470" s="77" t="s">
        <v>79</v>
      </c>
      <c r="K470" s="77" t="s">
        <v>80</v>
      </c>
      <c r="L470" s="77" t="s">
        <v>1415</v>
      </c>
      <c r="M470" s="77" t="s">
        <v>82</v>
      </c>
      <c r="N470" s="77" t="s">
        <v>83</v>
      </c>
      <c r="Q470" s="77" t="s">
        <v>1343</v>
      </c>
      <c r="T470" s="77" t="s">
        <v>1355</v>
      </c>
      <c r="U470" s="77" t="s">
        <v>85</v>
      </c>
      <c r="V470" s="80" t="s">
        <v>99</v>
      </c>
      <c r="X470" s="77" t="s">
        <v>100</v>
      </c>
      <c r="Y470" s="78" t="s">
        <v>101</v>
      </c>
      <c r="AA470" s="77" t="s">
        <v>1345</v>
      </c>
      <c r="AB470" s="77" t="s">
        <v>1346</v>
      </c>
      <c r="AC470" s="77" t="s">
        <v>90</v>
      </c>
      <c r="AD470" s="77" t="s">
        <v>102</v>
      </c>
      <c r="AE470" s="77" t="s">
        <v>1347</v>
      </c>
      <c r="AG470" s="77" t="s">
        <v>1355</v>
      </c>
    </row>
    <row r="471" spans="1:33" x14ac:dyDescent="0.3">
      <c r="A471" s="77" t="s">
        <v>1428</v>
      </c>
      <c r="B471" s="77" t="s">
        <v>1429</v>
      </c>
      <c r="G471" s="77" t="s">
        <v>1341</v>
      </c>
      <c r="H471" s="77" t="s">
        <v>77</v>
      </c>
      <c r="I471" s="77" t="s">
        <v>78</v>
      </c>
      <c r="J471" s="77" t="s">
        <v>79</v>
      </c>
      <c r="K471" s="77" t="s">
        <v>80</v>
      </c>
      <c r="L471" s="77" t="s">
        <v>1415</v>
      </c>
      <c r="M471" s="77" t="s">
        <v>82</v>
      </c>
      <c r="N471" s="77" t="s">
        <v>83</v>
      </c>
      <c r="Q471" s="77" t="s">
        <v>1343</v>
      </c>
      <c r="T471" s="77" t="s">
        <v>1359</v>
      </c>
      <c r="U471" s="77" t="s">
        <v>85</v>
      </c>
      <c r="V471" s="80" t="s">
        <v>105</v>
      </c>
      <c r="X471" s="77" t="s">
        <v>106</v>
      </c>
      <c r="Y471" s="78" t="s">
        <v>101</v>
      </c>
      <c r="AA471" s="77" t="s">
        <v>1345</v>
      </c>
      <c r="AB471" s="77" t="s">
        <v>1346</v>
      </c>
      <c r="AC471" s="77" t="s">
        <v>90</v>
      </c>
      <c r="AD471" s="77" t="s">
        <v>102</v>
      </c>
      <c r="AE471" s="77" t="s">
        <v>1347</v>
      </c>
      <c r="AG471" s="77" t="s">
        <v>1359</v>
      </c>
    </row>
    <row r="472" spans="1:33" x14ac:dyDescent="0.3">
      <c r="A472" s="77" t="s">
        <v>1430</v>
      </c>
      <c r="B472" s="77" t="s">
        <v>1431</v>
      </c>
      <c r="G472" s="77" t="s">
        <v>1341</v>
      </c>
      <c r="H472" s="77" t="s">
        <v>77</v>
      </c>
      <c r="I472" s="77" t="s">
        <v>78</v>
      </c>
      <c r="J472" s="77" t="s">
        <v>79</v>
      </c>
      <c r="K472" s="77" t="s">
        <v>80</v>
      </c>
      <c r="L472" s="77" t="s">
        <v>1409</v>
      </c>
      <c r="M472" s="77" t="s">
        <v>82</v>
      </c>
      <c r="N472" s="77" t="s">
        <v>83</v>
      </c>
      <c r="Q472" s="77" t="s">
        <v>1343</v>
      </c>
      <c r="T472" s="77" t="s">
        <v>1410</v>
      </c>
      <c r="U472" s="77" t="s">
        <v>85</v>
      </c>
      <c r="V472" s="80" t="s">
        <v>554</v>
      </c>
      <c r="X472" s="77" t="s">
        <v>555</v>
      </c>
      <c r="Y472" s="78" t="s">
        <v>88</v>
      </c>
      <c r="AA472" s="77" t="s">
        <v>1345</v>
      </c>
      <c r="AB472" s="77" t="s">
        <v>1346</v>
      </c>
      <c r="AC472" s="77" t="s">
        <v>90</v>
      </c>
      <c r="AD472" s="77" t="s">
        <v>91</v>
      </c>
      <c r="AE472" s="77" t="s">
        <v>1347</v>
      </c>
      <c r="AG472" s="77" t="s">
        <v>1410</v>
      </c>
    </row>
    <row r="473" spans="1:33" x14ac:dyDescent="0.3">
      <c r="A473" s="77" t="s">
        <v>1432</v>
      </c>
      <c r="B473" s="77" t="s">
        <v>1433</v>
      </c>
      <c r="G473" s="77" t="s">
        <v>1341</v>
      </c>
      <c r="H473" s="77" t="s">
        <v>77</v>
      </c>
      <c r="I473" s="77" t="s">
        <v>78</v>
      </c>
      <c r="J473" s="77" t="s">
        <v>79</v>
      </c>
      <c r="K473" s="77" t="s">
        <v>80</v>
      </c>
      <c r="L473" s="77" t="s">
        <v>1409</v>
      </c>
      <c r="M473" s="77" t="s">
        <v>82</v>
      </c>
      <c r="N473" s="77" t="s">
        <v>83</v>
      </c>
      <c r="Q473" s="77" t="s">
        <v>1343</v>
      </c>
      <c r="T473" s="77" t="s">
        <v>1410</v>
      </c>
      <c r="U473" s="77" t="s">
        <v>85</v>
      </c>
      <c r="V473" s="80" t="s">
        <v>554</v>
      </c>
      <c r="X473" s="77" t="s">
        <v>555</v>
      </c>
      <c r="Y473" s="78" t="s">
        <v>88</v>
      </c>
      <c r="AA473" s="77" t="s">
        <v>1345</v>
      </c>
      <c r="AB473" s="77" t="s">
        <v>1346</v>
      </c>
      <c r="AC473" s="77" t="s">
        <v>90</v>
      </c>
      <c r="AD473" s="77" t="s">
        <v>91</v>
      </c>
      <c r="AE473" s="77" t="s">
        <v>1347</v>
      </c>
      <c r="AG473" s="77" t="s">
        <v>1410</v>
      </c>
    </row>
    <row r="474" spans="1:33" x14ac:dyDescent="0.3">
      <c r="A474" s="77" t="s">
        <v>1434</v>
      </c>
      <c r="B474" s="77" t="s">
        <v>1435</v>
      </c>
      <c r="G474" s="77" t="s">
        <v>1341</v>
      </c>
      <c r="H474" s="77" t="s">
        <v>77</v>
      </c>
      <c r="I474" s="77" t="s">
        <v>78</v>
      </c>
      <c r="J474" s="77" t="s">
        <v>79</v>
      </c>
      <c r="K474" s="77" t="s">
        <v>80</v>
      </c>
      <c r="L474" s="77" t="s">
        <v>1409</v>
      </c>
      <c r="M474" s="77" t="s">
        <v>82</v>
      </c>
      <c r="N474" s="77" t="s">
        <v>83</v>
      </c>
      <c r="Q474" s="77" t="s">
        <v>1343</v>
      </c>
      <c r="T474" s="77" t="s">
        <v>1410</v>
      </c>
      <c r="U474" s="77" t="s">
        <v>85</v>
      </c>
      <c r="V474" s="80" t="s">
        <v>561</v>
      </c>
      <c r="X474" s="77" t="s">
        <v>562</v>
      </c>
      <c r="Y474" s="78" t="s">
        <v>101</v>
      </c>
      <c r="AA474" s="77" t="s">
        <v>1345</v>
      </c>
      <c r="AB474" s="77" t="s">
        <v>1346</v>
      </c>
      <c r="AC474" s="77" t="s">
        <v>90</v>
      </c>
      <c r="AD474" s="77" t="s">
        <v>102</v>
      </c>
      <c r="AE474" s="77" t="s">
        <v>1347</v>
      </c>
      <c r="AG474" s="77" t="s">
        <v>1410</v>
      </c>
    </row>
    <row r="475" spans="1:33" x14ac:dyDescent="0.3">
      <c r="A475" s="77" t="s">
        <v>1436</v>
      </c>
      <c r="B475" s="77" t="s">
        <v>1437</v>
      </c>
      <c r="G475" s="77" t="s">
        <v>1341</v>
      </c>
      <c r="H475" s="77" t="s">
        <v>77</v>
      </c>
      <c r="I475" s="77" t="s">
        <v>78</v>
      </c>
      <c r="J475" s="77" t="s">
        <v>79</v>
      </c>
      <c r="K475" s="77" t="s">
        <v>80</v>
      </c>
      <c r="L475" s="77" t="s">
        <v>1409</v>
      </c>
      <c r="M475" s="77" t="s">
        <v>82</v>
      </c>
      <c r="N475" s="77" t="s">
        <v>83</v>
      </c>
      <c r="Q475" s="77" t="s">
        <v>1343</v>
      </c>
      <c r="T475" s="77" t="s">
        <v>1410</v>
      </c>
      <c r="U475" s="77" t="s">
        <v>85</v>
      </c>
      <c r="V475" s="80" t="s">
        <v>561</v>
      </c>
      <c r="X475" s="77" t="s">
        <v>562</v>
      </c>
      <c r="Y475" s="78" t="s">
        <v>101</v>
      </c>
      <c r="AA475" s="77" t="s">
        <v>1345</v>
      </c>
      <c r="AB475" s="77" t="s">
        <v>1346</v>
      </c>
      <c r="AC475" s="77" t="s">
        <v>90</v>
      </c>
      <c r="AD475" s="77" t="s">
        <v>102</v>
      </c>
      <c r="AE475" s="77" t="s">
        <v>1347</v>
      </c>
      <c r="AG475" s="77" t="s">
        <v>1410</v>
      </c>
    </row>
    <row r="476" spans="1:33" x14ac:dyDescent="0.3">
      <c r="A476" s="77" t="s">
        <v>1438</v>
      </c>
      <c r="B476" s="77" t="s">
        <v>1439</v>
      </c>
      <c r="G476" s="77" t="s">
        <v>1341</v>
      </c>
      <c r="H476" s="77" t="s">
        <v>77</v>
      </c>
      <c r="I476" s="77" t="s">
        <v>78</v>
      </c>
      <c r="J476" s="77" t="s">
        <v>79</v>
      </c>
      <c r="K476" s="77" t="s">
        <v>80</v>
      </c>
      <c r="L476" s="77" t="s">
        <v>1409</v>
      </c>
      <c r="M476" s="77" t="s">
        <v>82</v>
      </c>
      <c r="N476" s="77" t="s">
        <v>83</v>
      </c>
      <c r="Q476" s="77" t="s">
        <v>1343</v>
      </c>
      <c r="T476" s="77" t="s">
        <v>1410</v>
      </c>
      <c r="U476" s="77" t="s">
        <v>85</v>
      </c>
      <c r="V476" s="80" t="s">
        <v>568</v>
      </c>
      <c r="X476" s="77" t="s">
        <v>569</v>
      </c>
      <c r="Y476" s="78" t="s">
        <v>101</v>
      </c>
      <c r="AA476" s="77" t="s">
        <v>1345</v>
      </c>
      <c r="AB476" s="77" t="s">
        <v>1346</v>
      </c>
      <c r="AC476" s="77" t="s">
        <v>90</v>
      </c>
      <c r="AD476" s="77" t="s">
        <v>102</v>
      </c>
      <c r="AE476" s="77" t="s">
        <v>1347</v>
      </c>
      <c r="AG476" s="77" t="s">
        <v>1410</v>
      </c>
    </row>
    <row r="477" spans="1:33" x14ac:dyDescent="0.3">
      <c r="A477" s="77" t="s">
        <v>1440</v>
      </c>
      <c r="B477" s="77" t="s">
        <v>1441</v>
      </c>
      <c r="G477" s="77" t="s">
        <v>1341</v>
      </c>
      <c r="H477" s="77" t="s">
        <v>77</v>
      </c>
      <c r="I477" s="77" t="s">
        <v>78</v>
      </c>
      <c r="J477" s="77" t="s">
        <v>79</v>
      </c>
      <c r="K477" s="77" t="s">
        <v>80</v>
      </c>
      <c r="L477" s="77" t="s">
        <v>1409</v>
      </c>
      <c r="M477" s="77" t="s">
        <v>82</v>
      </c>
      <c r="N477" s="77" t="s">
        <v>83</v>
      </c>
      <c r="Q477" s="77" t="s">
        <v>1343</v>
      </c>
      <c r="T477" s="77" t="s">
        <v>1410</v>
      </c>
      <c r="U477" s="77" t="s">
        <v>85</v>
      </c>
      <c r="V477" s="80" t="s">
        <v>568</v>
      </c>
      <c r="X477" s="77" t="s">
        <v>569</v>
      </c>
      <c r="Y477" s="78" t="s">
        <v>101</v>
      </c>
      <c r="AA477" s="77" t="s">
        <v>1345</v>
      </c>
      <c r="AB477" s="77" t="s">
        <v>1346</v>
      </c>
      <c r="AC477" s="77" t="s">
        <v>90</v>
      </c>
      <c r="AD477" s="77" t="s">
        <v>102</v>
      </c>
      <c r="AE477" s="77" t="s">
        <v>1347</v>
      </c>
      <c r="AG477" s="77" t="s">
        <v>1410</v>
      </c>
    </row>
    <row r="478" spans="1:33" x14ac:dyDescent="0.3">
      <c r="A478" s="77" t="s">
        <v>1442</v>
      </c>
      <c r="B478" s="77" t="s">
        <v>1443</v>
      </c>
      <c r="G478" s="77" t="s">
        <v>1341</v>
      </c>
      <c r="H478" s="77" t="s">
        <v>77</v>
      </c>
      <c r="I478" s="77" t="s">
        <v>78</v>
      </c>
      <c r="J478" s="77" t="s">
        <v>79</v>
      </c>
      <c r="K478" s="77" t="s">
        <v>80</v>
      </c>
      <c r="L478" s="77" t="s">
        <v>1444</v>
      </c>
      <c r="M478" s="77" t="s">
        <v>82</v>
      </c>
      <c r="N478" s="77" t="s">
        <v>83</v>
      </c>
      <c r="Q478" s="77" t="s">
        <v>1343</v>
      </c>
      <c r="T478" s="77" t="s">
        <v>1377</v>
      </c>
      <c r="U478" s="77" t="s">
        <v>85</v>
      </c>
      <c r="V478" s="80" t="s">
        <v>507</v>
      </c>
      <c r="X478" s="77" t="s">
        <v>508</v>
      </c>
      <c r="Y478" s="78" t="s">
        <v>88</v>
      </c>
      <c r="AA478" s="77" t="s">
        <v>1345</v>
      </c>
      <c r="AB478" s="77" t="s">
        <v>1346</v>
      </c>
      <c r="AC478" s="77" t="s">
        <v>90</v>
      </c>
      <c r="AD478" s="77" t="s">
        <v>91</v>
      </c>
      <c r="AE478" s="77" t="s">
        <v>1347</v>
      </c>
      <c r="AG478" s="77" t="s">
        <v>1377</v>
      </c>
    </row>
    <row r="479" spans="1:33" x14ac:dyDescent="0.3">
      <c r="A479" s="77" t="s">
        <v>1445</v>
      </c>
      <c r="B479" s="77" t="s">
        <v>1446</v>
      </c>
      <c r="G479" s="77" t="s">
        <v>1341</v>
      </c>
      <c r="H479" s="77" t="s">
        <v>77</v>
      </c>
      <c r="I479" s="77" t="s">
        <v>78</v>
      </c>
      <c r="J479" s="77" t="s">
        <v>79</v>
      </c>
      <c r="K479" s="77" t="s">
        <v>80</v>
      </c>
      <c r="L479" s="77" t="s">
        <v>1444</v>
      </c>
      <c r="M479" s="77" t="s">
        <v>82</v>
      </c>
      <c r="N479" s="77" t="s">
        <v>83</v>
      </c>
      <c r="Q479" s="77" t="s">
        <v>1343</v>
      </c>
      <c r="T479" s="77" t="s">
        <v>1377</v>
      </c>
      <c r="U479" s="77" t="s">
        <v>85</v>
      </c>
      <c r="V479" s="80" t="s">
        <v>514</v>
      </c>
      <c r="X479" s="77" t="s">
        <v>515</v>
      </c>
      <c r="Y479" s="78" t="s">
        <v>88</v>
      </c>
      <c r="AA479" s="77" t="s">
        <v>1345</v>
      </c>
      <c r="AB479" s="77" t="s">
        <v>1346</v>
      </c>
      <c r="AC479" s="77" t="s">
        <v>90</v>
      </c>
      <c r="AD479" s="77" t="s">
        <v>91</v>
      </c>
      <c r="AE479" s="77" t="s">
        <v>1347</v>
      </c>
      <c r="AG479" s="77" t="s">
        <v>1377</v>
      </c>
    </row>
    <row r="480" spans="1:33" x14ac:dyDescent="0.3">
      <c r="A480" s="77" t="s">
        <v>1447</v>
      </c>
      <c r="B480" s="77" t="s">
        <v>1448</v>
      </c>
      <c r="G480" s="77" t="s">
        <v>1341</v>
      </c>
      <c r="H480" s="77" t="s">
        <v>77</v>
      </c>
      <c r="I480" s="77" t="s">
        <v>78</v>
      </c>
      <c r="J480" s="77" t="s">
        <v>79</v>
      </c>
      <c r="K480" s="77" t="s">
        <v>80</v>
      </c>
      <c r="L480" s="77" t="s">
        <v>1444</v>
      </c>
      <c r="M480" s="77" t="s">
        <v>82</v>
      </c>
      <c r="N480" s="77" t="s">
        <v>83</v>
      </c>
      <c r="Q480" s="77" t="s">
        <v>1343</v>
      </c>
      <c r="T480" s="77" t="s">
        <v>1377</v>
      </c>
      <c r="U480" s="77" t="s">
        <v>85</v>
      </c>
      <c r="V480" s="80" t="s">
        <v>521</v>
      </c>
      <c r="X480" s="77" t="s">
        <v>522</v>
      </c>
      <c r="Y480" s="78" t="s">
        <v>101</v>
      </c>
      <c r="AA480" s="77" t="s">
        <v>1345</v>
      </c>
      <c r="AB480" s="77" t="s">
        <v>1346</v>
      </c>
      <c r="AC480" s="77" t="s">
        <v>90</v>
      </c>
      <c r="AD480" s="77" t="s">
        <v>102</v>
      </c>
      <c r="AE480" s="77" t="s">
        <v>1347</v>
      </c>
      <c r="AG480" s="77" t="s">
        <v>1377</v>
      </c>
    </row>
    <row r="481" spans="1:33" x14ac:dyDescent="0.3">
      <c r="A481" s="77" t="s">
        <v>1449</v>
      </c>
      <c r="B481" s="77" t="s">
        <v>1450</v>
      </c>
      <c r="G481" s="77" t="s">
        <v>1341</v>
      </c>
      <c r="H481" s="77" t="s">
        <v>77</v>
      </c>
      <c r="I481" s="77" t="s">
        <v>78</v>
      </c>
      <c r="J481" s="77" t="s">
        <v>79</v>
      </c>
      <c r="K481" s="77" t="s">
        <v>80</v>
      </c>
      <c r="L481" s="77" t="s">
        <v>1444</v>
      </c>
      <c r="M481" s="77" t="s">
        <v>82</v>
      </c>
      <c r="N481" s="77" t="s">
        <v>83</v>
      </c>
      <c r="Q481" s="77" t="s">
        <v>1343</v>
      </c>
      <c r="T481" s="77" t="s">
        <v>1377</v>
      </c>
      <c r="U481" s="77" t="s">
        <v>85</v>
      </c>
      <c r="V481" s="80" t="s">
        <v>528</v>
      </c>
      <c r="X481" s="77" t="s">
        <v>529</v>
      </c>
      <c r="Y481" s="78" t="s">
        <v>101</v>
      </c>
      <c r="AA481" s="77" t="s">
        <v>1345</v>
      </c>
      <c r="AB481" s="77" t="s">
        <v>1346</v>
      </c>
      <c r="AC481" s="77" t="s">
        <v>90</v>
      </c>
      <c r="AD481" s="77" t="s">
        <v>102</v>
      </c>
      <c r="AE481" s="77" t="s">
        <v>1347</v>
      </c>
      <c r="AG481" s="77" t="s">
        <v>1377</v>
      </c>
    </row>
    <row r="482" spans="1:33" x14ac:dyDescent="0.3">
      <c r="A482" s="77" t="s">
        <v>1451</v>
      </c>
      <c r="B482" s="77" t="s">
        <v>1452</v>
      </c>
      <c r="G482" s="77" t="s">
        <v>1341</v>
      </c>
      <c r="H482" s="77" t="s">
        <v>77</v>
      </c>
      <c r="I482" s="77" t="s">
        <v>78</v>
      </c>
      <c r="J482" s="77" t="s">
        <v>79</v>
      </c>
      <c r="K482" s="77" t="s">
        <v>80</v>
      </c>
      <c r="L482" s="77" t="s">
        <v>1415</v>
      </c>
      <c r="M482" s="77" t="s">
        <v>82</v>
      </c>
      <c r="N482" s="77" t="s">
        <v>83</v>
      </c>
      <c r="Q482" s="77" t="s">
        <v>1343</v>
      </c>
      <c r="T482" s="77" t="s">
        <v>1453</v>
      </c>
      <c r="U482" s="77" t="s">
        <v>85</v>
      </c>
      <c r="V482" s="80" t="s">
        <v>238</v>
      </c>
      <c r="X482" s="77" t="s">
        <v>239</v>
      </c>
      <c r="Y482" s="78" t="s">
        <v>88</v>
      </c>
      <c r="AA482" s="77" t="s">
        <v>1345</v>
      </c>
      <c r="AB482" s="77" t="s">
        <v>1346</v>
      </c>
      <c r="AC482" s="77" t="s">
        <v>90</v>
      </c>
      <c r="AD482" s="77" t="s">
        <v>91</v>
      </c>
      <c r="AE482" s="77" t="s">
        <v>1347</v>
      </c>
      <c r="AG482" s="77" t="s">
        <v>1453</v>
      </c>
    </row>
    <row r="483" spans="1:33" x14ac:dyDescent="0.3">
      <c r="A483" s="77" t="s">
        <v>1454</v>
      </c>
      <c r="B483" s="77" t="s">
        <v>1455</v>
      </c>
      <c r="G483" s="77" t="s">
        <v>1341</v>
      </c>
      <c r="H483" s="77" t="s">
        <v>77</v>
      </c>
      <c r="I483" s="77" t="s">
        <v>78</v>
      </c>
      <c r="J483" s="77" t="s">
        <v>79</v>
      </c>
      <c r="K483" s="77" t="s">
        <v>80</v>
      </c>
      <c r="L483" s="77" t="s">
        <v>1415</v>
      </c>
      <c r="M483" s="77" t="s">
        <v>82</v>
      </c>
      <c r="N483" s="77" t="s">
        <v>83</v>
      </c>
      <c r="Q483" s="77" t="s">
        <v>1343</v>
      </c>
      <c r="T483" s="77" t="s">
        <v>1453</v>
      </c>
      <c r="U483" s="77" t="s">
        <v>85</v>
      </c>
      <c r="V483" s="80" t="s">
        <v>245</v>
      </c>
      <c r="X483" s="77" t="s">
        <v>246</v>
      </c>
      <c r="Y483" s="78" t="s">
        <v>88</v>
      </c>
      <c r="AA483" s="77" t="s">
        <v>1345</v>
      </c>
      <c r="AB483" s="77" t="s">
        <v>1346</v>
      </c>
      <c r="AC483" s="77" t="s">
        <v>90</v>
      </c>
      <c r="AD483" s="77" t="s">
        <v>91</v>
      </c>
      <c r="AE483" s="77" t="s">
        <v>1347</v>
      </c>
      <c r="AG483" s="77" t="s">
        <v>1453</v>
      </c>
    </row>
    <row r="484" spans="1:33" x14ac:dyDescent="0.3">
      <c r="A484" s="77" t="s">
        <v>1456</v>
      </c>
      <c r="B484" s="77" t="s">
        <v>1457</v>
      </c>
      <c r="G484" s="77" t="s">
        <v>1341</v>
      </c>
      <c r="H484" s="77" t="s">
        <v>77</v>
      </c>
      <c r="I484" s="77" t="s">
        <v>78</v>
      </c>
      <c r="J484" s="77" t="s">
        <v>79</v>
      </c>
      <c r="K484" s="77" t="s">
        <v>80</v>
      </c>
      <c r="L484" s="77" t="s">
        <v>1415</v>
      </c>
      <c r="M484" s="77" t="s">
        <v>82</v>
      </c>
      <c r="N484" s="77" t="s">
        <v>83</v>
      </c>
      <c r="Q484" s="77" t="s">
        <v>1343</v>
      </c>
      <c r="T484" s="77" t="s">
        <v>1453</v>
      </c>
      <c r="U484" s="77" t="s">
        <v>85</v>
      </c>
      <c r="V484" s="80" t="s">
        <v>252</v>
      </c>
      <c r="X484" s="77" t="s">
        <v>253</v>
      </c>
      <c r="Y484" s="78" t="s">
        <v>101</v>
      </c>
      <c r="AA484" s="77" t="s">
        <v>1345</v>
      </c>
      <c r="AB484" s="77" t="s">
        <v>1346</v>
      </c>
      <c r="AC484" s="77" t="s">
        <v>90</v>
      </c>
      <c r="AD484" s="77" t="s">
        <v>102</v>
      </c>
      <c r="AE484" s="77" t="s">
        <v>1347</v>
      </c>
      <c r="AG484" s="77" t="s">
        <v>1453</v>
      </c>
    </row>
    <row r="485" spans="1:33" x14ac:dyDescent="0.3">
      <c r="A485" s="77" t="s">
        <v>1458</v>
      </c>
      <c r="B485" s="77" t="s">
        <v>1459</v>
      </c>
      <c r="G485" s="77" t="s">
        <v>1341</v>
      </c>
      <c r="H485" s="77" t="s">
        <v>77</v>
      </c>
      <c r="I485" s="77" t="s">
        <v>78</v>
      </c>
      <c r="J485" s="77" t="s">
        <v>79</v>
      </c>
      <c r="K485" s="77" t="s">
        <v>80</v>
      </c>
      <c r="L485" s="77" t="s">
        <v>1415</v>
      </c>
      <c r="M485" s="77" t="s">
        <v>82</v>
      </c>
      <c r="N485" s="77" t="s">
        <v>83</v>
      </c>
      <c r="Q485" s="77" t="s">
        <v>1343</v>
      </c>
      <c r="T485" s="77" t="s">
        <v>1453</v>
      </c>
      <c r="U485" s="77" t="s">
        <v>85</v>
      </c>
      <c r="V485" s="80" t="s">
        <v>259</v>
      </c>
      <c r="X485" s="77" t="s">
        <v>260</v>
      </c>
      <c r="Y485" s="78" t="s">
        <v>101</v>
      </c>
      <c r="AA485" s="77" t="s">
        <v>1345</v>
      </c>
      <c r="AB485" s="77" t="s">
        <v>1346</v>
      </c>
      <c r="AC485" s="77" t="s">
        <v>90</v>
      </c>
      <c r="AD485" s="77" t="s">
        <v>102</v>
      </c>
      <c r="AE485" s="77" t="s">
        <v>1347</v>
      </c>
      <c r="AG485" s="77" t="s">
        <v>1453</v>
      </c>
    </row>
    <row r="486" spans="1:33" x14ac:dyDescent="0.3">
      <c r="A486" s="77" t="s">
        <v>1460</v>
      </c>
      <c r="B486" s="77" t="s">
        <v>1461</v>
      </c>
      <c r="G486" s="77" t="s">
        <v>1341</v>
      </c>
      <c r="H486" s="77" t="s">
        <v>77</v>
      </c>
      <c r="I486" s="77" t="s">
        <v>78</v>
      </c>
      <c r="J486" s="77" t="s">
        <v>79</v>
      </c>
      <c r="K486" s="77" t="s">
        <v>80</v>
      </c>
      <c r="L486" s="77" t="s">
        <v>1462</v>
      </c>
      <c r="M486" s="77" t="s">
        <v>82</v>
      </c>
      <c r="N486" s="77" t="s">
        <v>83</v>
      </c>
      <c r="Q486" s="77" t="s">
        <v>1343</v>
      </c>
      <c r="T486" s="77" t="s">
        <v>1463</v>
      </c>
      <c r="U486" s="77" t="s">
        <v>85</v>
      </c>
      <c r="V486" s="80" t="s">
        <v>547</v>
      </c>
      <c r="X486" s="77" t="s">
        <v>548</v>
      </c>
      <c r="Y486" s="78" t="s">
        <v>88</v>
      </c>
      <c r="AA486" s="77" t="s">
        <v>1345</v>
      </c>
      <c r="AB486" s="77" t="s">
        <v>1346</v>
      </c>
      <c r="AC486" s="77" t="s">
        <v>90</v>
      </c>
      <c r="AD486" s="77" t="s">
        <v>91</v>
      </c>
      <c r="AE486" s="77" t="s">
        <v>1347</v>
      </c>
      <c r="AG486" s="77" t="s">
        <v>1463</v>
      </c>
    </row>
    <row r="487" spans="1:33" x14ac:dyDescent="0.3">
      <c r="A487" s="77" t="s">
        <v>1464</v>
      </c>
      <c r="B487" s="77" t="s">
        <v>1465</v>
      </c>
      <c r="G487" s="77" t="s">
        <v>1341</v>
      </c>
      <c r="H487" s="77" t="s">
        <v>77</v>
      </c>
      <c r="I487" s="77" t="s">
        <v>78</v>
      </c>
      <c r="J487" s="77" t="s">
        <v>79</v>
      </c>
      <c r="K487" s="77" t="s">
        <v>80</v>
      </c>
      <c r="L487" s="77" t="s">
        <v>1462</v>
      </c>
      <c r="M487" s="77" t="s">
        <v>82</v>
      </c>
      <c r="N487" s="77" t="s">
        <v>83</v>
      </c>
      <c r="Q487" s="77" t="s">
        <v>1343</v>
      </c>
      <c r="T487" s="77" t="s">
        <v>1463</v>
      </c>
      <c r="U487" s="77" t="s">
        <v>85</v>
      </c>
      <c r="V487" s="80" t="s">
        <v>554</v>
      </c>
      <c r="X487" s="77" t="s">
        <v>555</v>
      </c>
      <c r="Y487" s="78" t="s">
        <v>88</v>
      </c>
      <c r="AA487" s="77" t="s">
        <v>1345</v>
      </c>
      <c r="AB487" s="77" t="s">
        <v>1346</v>
      </c>
      <c r="AC487" s="77" t="s">
        <v>90</v>
      </c>
      <c r="AD487" s="77" t="s">
        <v>91</v>
      </c>
      <c r="AE487" s="77" t="s">
        <v>1347</v>
      </c>
      <c r="AG487" s="77" t="s">
        <v>1463</v>
      </c>
    </row>
    <row r="488" spans="1:33" x14ac:dyDescent="0.3">
      <c r="A488" s="77" t="s">
        <v>1466</v>
      </c>
      <c r="B488" s="77" t="s">
        <v>1467</v>
      </c>
      <c r="G488" s="77" t="s">
        <v>1341</v>
      </c>
      <c r="H488" s="77" t="s">
        <v>77</v>
      </c>
      <c r="I488" s="77" t="s">
        <v>78</v>
      </c>
      <c r="J488" s="77" t="s">
        <v>79</v>
      </c>
      <c r="K488" s="77" t="s">
        <v>80</v>
      </c>
      <c r="L488" s="77" t="s">
        <v>1462</v>
      </c>
      <c r="M488" s="77" t="s">
        <v>82</v>
      </c>
      <c r="N488" s="77" t="s">
        <v>83</v>
      </c>
      <c r="Q488" s="77" t="s">
        <v>1343</v>
      </c>
      <c r="T488" s="77" t="s">
        <v>1463</v>
      </c>
      <c r="U488" s="77" t="s">
        <v>85</v>
      </c>
      <c r="V488" s="80" t="s">
        <v>561</v>
      </c>
      <c r="X488" s="77" t="s">
        <v>562</v>
      </c>
      <c r="Y488" s="78" t="s">
        <v>101</v>
      </c>
      <c r="AA488" s="77" t="s">
        <v>1345</v>
      </c>
      <c r="AB488" s="77" t="s">
        <v>1346</v>
      </c>
      <c r="AC488" s="77" t="s">
        <v>90</v>
      </c>
      <c r="AD488" s="77" t="s">
        <v>102</v>
      </c>
      <c r="AE488" s="77" t="s">
        <v>1347</v>
      </c>
      <c r="AG488" s="77" t="s">
        <v>1463</v>
      </c>
    </row>
    <row r="489" spans="1:33" x14ac:dyDescent="0.3">
      <c r="A489" s="77" t="s">
        <v>1468</v>
      </c>
      <c r="B489" s="77" t="s">
        <v>1469</v>
      </c>
      <c r="G489" s="77" t="s">
        <v>1341</v>
      </c>
      <c r="H489" s="77" t="s">
        <v>77</v>
      </c>
      <c r="I489" s="77" t="s">
        <v>78</v>
      </c>
      <c r="J489" s="77" t="s">
        <v>79</v>
      </c>
      <c r="K489" s="77" t="s">
        <v>80</v>
      </c>
      <c r="L489" s="77" t="s">
        <v>1462</v>
      </c>
      <c r="M489" s="77" t="s">
        <v>82</v>
      </c>
      <c r="N489" s="77" t="s">
        <v>83</v>
      </c>
      <c r="Q489" s="77" t="s">
        <v>1343</v>
      </c>
      <c r="T489" s="77" t="s">
        <v>1463</v>
      </c>
      <c r="U489" s="77" t="s">
        <v>85</v>
      </c>
      <c r="V489" s="80" t="s">
        <v>568</v>
      </c>
      <c r="X489" s="77" t="s">
        <v>569</v>
      </c>
      <c r="Y489" s="78" t="s">
        <v>101</v>
      </c>
      <c r="AA489" s="77" t="s">
        <v>1345</v>
      </c>
      <c r="AB489" s="77" t="s">
        <v>1346</v>
      </c>
      <c r="AC489" s="77" t="s">
        <v>90</v>
      </c>
      <c r="AD489" s="77" t="s">
        <v>102</v>
      </c>
      <c r="AE489" s="77" t="s">
        <v>1347</v>
      </c>
      <c r="AG489" s="77" t="s">
        <v>1463</v>
      </c>
    </row>
    <row r="490" spans="1:33" x14ac:dyDescent="0.3">
      <c r="A490" s="77" t="s">
        <v>1470</v>
      </c>
      <c r="B490" s="77" t="s">
        <v>1471</v>
      </c>
      <c r="G490" s="77" t="s">
        <v>1341</v>
      </c>
      <c r="H490" s="77" t="s">
        <v>77</v>
      </c>
      <c r="I490" s="77" t="s">
        <v>78</v>
      </c>
      <c r="J490" s="77" t="s">
        <v>79</v>
      </c>
      <c r="K490" s="77" t="s">
        <v>80</v>
      </c>
      <c r="L490" s="77" t="s">
        <v>1462</v>
      </c>
      <c r="M490" s="77" t="s">
        <v>82</v>
      </c>
      <c r="N490" s="77" t="s">
        <v>83</v>
      </c>
      <c r="Q490" s="77" t="s">
        <v>1343</v>
      </c>
      <c r="T490" s="77" t="s">
        <v>1472</v>
      </c>
      <c r="U490" s="77" t="s">
        <v>85</v>
      </c>
      <c r="V490" s="80" t="s">
        <v>547</v>
      </c>
      <c r="X490" s="77" t="s">
        <v>548</v>
      </c>
      <c r="Y490" s="78" t="s">
        <v>88</v>
      </c>
      <c r="AA490" s="77" t="s">
        <v>1345</v>
      </c>
      <c r="AB490" s="77" t="s">
        <v>1346</v>
      </c>
      <c r="AC490" s="77" t="s">
        <v>90</v>
      </c>
      <c r="AD490" s="77" t="s">
        <v>91</v>
      </c>
      <c r="AE490" s="77" t="s">
        <v>1347</v>
      </c>
      <c r="AG490" s="77" t="s">
        <v>1472</v>
      </c>
    </row>
    <row r="491" spans="1:33" x14ac:dyDescent="0.3">
      <c r="A491" s="77" t="s">
        <v>1473</v>
      </c>
      <c r="B491" s="77" t="s">
        <v>1474</v>
      </c>
      <c r="G491" s="77" t="s">
        <v>1341</v>
      </c>
      <c r="H491" s="77" t="s">
        <v>77</v>
      </c>
      <c r="I491" s="77" t="s">
        <v>78</v>
      </c>
      <c r="J491" s="77" t="s">
        <v>79</v>
      </c>
      <c r="K491" s="77" t="s">
        <v>80</v>
      </c>
      <c r="L491" s="77" t="s">
        <v>1462</v>
      </c>
      <c r="M491" s="77" t="s">
        <v>82</v>
      </c>
      <c r="N491" s="77" t="s">
        <v>83</v>
      </c>
      <c r="Q491" s="77" t="s">
        <v>1343</v>
      </c>
      <c r="T491" s="77" t="s">
        <v>1472</v>
      </c>
      <c r="U491" s="77" t="s">
        <v>85</v>
      </c>
      <c r="V491" s="80" t="s">
        <v>554</v>
      </c>
      <c r="X491" s="77" t="s">
        <v>555</v>
      </c>
      <c r="Y491" s="78" t="s">
        <v>88</v>
      </c>
      <c r="AA491" s="77" t="s">
        <v>1345</v>
      </c>
      <c r="AB491" s="77" t="s">
        <v>1346</v>
      </c>
      <c r="AC491" s="77" t="s">
        <v>90</v>
      </c>
      <c r="AD491" s="77" t="s">
        <v>91</v>
      </c>
      <c r="AE491" s="77" t="s">
        <v>1347</v>
      </c>
      <c r="AG491" s="77" t="s">
        <v>1472</v>
      </c>
    </row>
    <row r="492" spans="1:33" x14ac:dyDescent="0.3">
      <c r="A492" s="77" t="s">
        <v>1475</v>
      </c>
      <c r="B492" s="77" t="s">
        <v>1476</v>
      </c>
      <c r="G492" s="77" t="s">
        <v>1341</v>
      </c>
      <c r="H492" s="77" t="s">
        <v>77</v>
      </c>
      <c r="I492" s="77" t="s">
        <v>78</v>
      </c>
      <c r="J492" s="77" t="s">
        <v>79</v>
      </c>
      <c r="K492" s="77" t="s">
        <v>80</v>
      </c>
      <c r="L492" s="77" t="s">
        <v>1462</v>
      </c>
      <c r="M492" s="77" t="s">
        <v>82</v>
      </c>
      <c r="N492" s="77" t="s">
        <v>83</v>
      </c>
      <c r="Q492" s="77" t="s">
        <v>1343</v>
      </c>
      <c r="T492" s="77" t="s">
        <v>1472</v>
      </c>
      <c r="U492" s="77" t="s">
        <v>85</v>
      </c>
      <c r="V492" s="80" t="s">
        <v>561</v>
      </c>
      <c r="X492" s="77" t="s">
        <v>562</v>
      </c>
      <c r="Y492" s="78" t="s">
        <v>101</v>
      </c>
      <c r="AA492" s="77" t="s">
        <v>1345</v>
      </c>
      <c r="AB492" s="77" t="s">
        <v>1346</v>
      </c>
      <c r="AC492" s="77" t="s">
        <v>90</v>
      </c>
      <c r="AD492" s="77" t="s">
        <v>102</v>
      </c>
      <c r="AE492" s="77" t="s">
        <v>1347</v>
      </c>
      <c r="AG492" s="77" t="s">
        <v>1472</v>
      </c>
    </row>
    <row r="493" spans="1:33" x14ac:dyDescent="0.3">
      <c r="A493" s="77" t="s">
        <v>1477</v>
      </c>
      <c r="B493" s="77" t="s">
        <v>1478</v>
      </c>
      <c r="G493" s="77" t="s">
        <v>1341</v>
      </c>
      <c r="H493" s="77" t="s">
        <v>77</v>
      </c>
      <c r="I493" s="77" t="s">
        <v>78</v>
      </c>
      <c r="J493" s="77" t="s">
        <v>79</v>
      </c>
      <c r="K493" s="77" t="s">
        <v>80</v>
      </c>
      <c r="L493" s="77" t="s">
        <v>1462</v>
      </c>
      <c r="M493" s="77" t="s">
        <v>82</v>
      </c>
      <c r="N493" s="77" t="s">
        <v>83</v>
      </c>
      <c r="Q493" s="77" t="s">
        <v>1343</v>
      </c>
      <c r="T493" s="77" t="s">
        <v>1472</v>
      </c>
      <c r="U493" s="77" t="s">
        <v>85</v>
      </c>
      <c r="V493" s="80" t="s">
        <v>568</v>
      </c>
      <c r="X493" s="77" t="s">
        <v>569</v>
      </c>
      <c r="Y493" s="78" t="s">
        <v>101</v>
      </c>
      <c r="AA493" s="77" t="s">
        <v>1345</v>
      </c>
      <c r="AB493" s="77" t="s">
        <v>1346</v>
      </c>
      <c r="AC493" s="77" t="s">
        <v>90</v>
      </c>
      <c r="AD493" s="77" t="s">
        <v>102</v>
      </c>
      <c r="AE493" s="77" t="s">
        <v>1347</v>
      </c>
      <c r="AG493" s="77" t="s">
        <v>1472</v>
      </c>
    </row>
    <row r="494" spans="1:33" x14ac:dyDescent="0.3">
      <c r="A494" s="77" t="s">
        <v>1479</v>
      </c>
      <c r="B494" s="77" t="s">
        <v>1480</v>
      </c>
      <c r="G494" s="77" t="s">
        <v>1341</v>
      </c>
      <c r="H494" s="77" t="s">
        <v>77</v>
      </c>
      <c r="I494" s="77" t="s">
        <v>78</v>
      </c>
      <c r="J494" s="77" t="s">
        <v>79</v>
      </c>
      <c r="K494" s="77" t="s">
        <v>80</v>
      </c>
      <c r="L494" s="77" t="s">
        <v>1481</v>
      </c>
      <c r="M494" s="77" t="s">
        <v>82</v>
      </c>
      <c r="N494" s="77" t="s">
        <v>83</v>
      </c>
      <c r="Q494" s="77" t="s">
        <v>1343</v>
      </c>
      <c r="T494" s="77" t="s">
        <v>1482</v>
      </c>
      <c r="U494" s="77" t="s">
        <v>85</v>
      </c>
      <c r="V494" s="80" t="s">
        <v>341</v>
      </c>
      <c r="X494" s="77" t="s">
        <v>342</v>
      </c>
      <c r="Y494" s="78" t="s">
        <v>88</v>
      </c>
      <c r="AA494" s="77" t="s">
        <v>1345</v>
      </c>
      <c r="AB494" s="77" t="s">
        <v>1346</v>
      </c>
      <c r="AC494" s="77" t="s">
        <v>90</v>
      </c>
      <c r="AD494" s="77" t="s">
        <v>91</v>
      </c>
      <c r="AE494" s="77" t="s">
        <v>1347</v>
      </c>
      <c r="AG494" s="77" t="s">
        <v>1482</v>
      </c>
    </row>
    <row r="495" spans="1:33" x14ac:dyDescent="0.3">
      <c r="A495" s="77" t="s">
        <v>1483</v>
      </c>
      <c r="B495" s="77" t="s">
        <v>1484</v>
      </c>
      <c r="G495" s="77" t="s">
        <v>1341</v>
      </c>
      <c r="H495" s="77" t="s">
        <v>77</v>
      </c>
      <c r="I495" s="77" t="s">
        <v>78</v>
      </c>
      <c r="J495" s="77" t="s">
        <v>79</v>
      </c>
      <c r="K495" s="77" t="s">
        <v>80</v>
      </c>
      <c r="L495" s="77" t="s">
        <v>1485</v>
      </c>
      <c r="M495" s="77" t="s">
        <v>82</v>
      </c>
      <c r="N495" s="77" t="s">
        <v>83</v>
      </c>
      <c r="Q495" s="77" t="s">
        <v>1343</v>
      </c>
      <c r="T495" s="77" t="s">
        <v>1344</v>
      </c>
      <c r="U495" s="77" t="s">
        <v>85</v>
      </c>
      <c r="V495" s="80" t="s">
        <v>86</v>
      </c>
      <c r="X495" s="77" t="s">
        <v>87</v>
      </c>
      <c r="Y495" s="78" t="s">
        <v>88</v>
      </c>
      <c r="AA495" s="77" t="s">
        <v>1345</v>
      </c>
      <c r="AB495" s="77" t="s">
        <v>1346</v>
      </c>
      <c r="AC495" s="77" t="s">
        <v>90</v>
      </c>
      <c r="AD495" s="77" t="s">
        <v>91</v>
      </c>
      <c r="AE495" s="77" t="s">
        <v>1347</v>
      </c>
      <c r="AG495" s="77" t="s">
        <v>1344</v>
      </c>
    </row>
    <row r="496" spans="1:33" x14ac:dyDescent="0.3">
      <c r="A496" s="77" t="s">
        <v>1486</v>
      </c>
      <c r="B496" s="77" t="s">
        <v>1487</v>
      </c>
      <c r="G496" s="77" t="s">
        <v>1341</v>
      </c>
      <c r="H496" s="77" t="s">
        <v>77</v>
      </c>
      <c r="I496" s="77" t="s">
        <v>78</v>
      </c>
      <c r="J496" s="77" t="s">
        <v>79</v>
      </c>
      <c r="K496" s="77" t="s">
        <v>80</v>
      </c>
      <c r="L496" s="77" t="s">
        <v>1485</v>
      </c>
      <c r="M496" s="77" t="s">
        <v>82</v>
      </c>
      <c r="N496" s="77" t="s">
        <v>83</v>
      </c>
      <c r="Q496" s="77" t="s">
        <v>1343</v>
      </c>
      <c r="T496" s="77" t="s">
        <v>1351</v>
      </c>
      <c r="U496" s="77" t="s">
        <v>85</v>
      </c>
      <c r="V496" s="80" t="s">
        <v>95</v>
      </c>
      <c r="X496" s="77" t="s">
        <v>96</v>
      </c>
      <c r="Y496" s="78" t="s">
        <v>88</v>
      </c>
      <c r="AA496" s="77" t="s">
        <v>1345</v>
      </c>
      <c r="AB496" s="77" t="s">
        <v>1346</v>
      </c>
      <c r="AC496" s="77" t="s">
        <v>90</v>
      </c>
      <c r="AD496" s="77" t="s">
        <v>91</v>
      </c>
      <c r="AE496" s="77" t="s">
        <v>1347</v>
      </c>
      <c r="AG496" s="77" t="s">
        <v>1351</v>
      </c>
    </row>
    <row r="497" spans="1:33" x14ac:dyDescent="0.3">
      <c r="A497" s="77" t="s">
        <v>1488</v>
      </c>
      <c r="B497" s="77" t="s">
        <v>1489</v>
      </c>
      <c r="G497" s="77" t="s">
        <v>1341</v>
      </c>
      <c r="H497" s="77" t="s">
        <v>77</v>
      </c>
      <c r="I497" s="77" t="s">
        <v>78</v>
      </c>
      <c r="J497" s="77" t="s">
        <v>79</v>
      </c>
      <c r="K497" s="77" t="s">
        <v>80</v>
      </c>
      <c r="L497" s="77" t="s">
        <v>1485</v>
      </c>
      <c r="M497" s="77" t="s">
        <v>82</v>
      </c>
      <c r="N497" s="77" t="s">
        <v>83</v>
      </c>
      <c r="Q497" s="77" t="s">
        <v>1343</v>
      </c>
      <c r="T497" s="77" t="s">
        <v>1355</v>
      </c>
      <c r="U497" s="77" t="s">
        <v>85</v>
      </c>
      <c r="V497" s="80" t="s">
        <v>99</v>
      </c>
      <c r="X497" s="77" t="s">
        <v>100</v>
      </c>
      <c r="Y497" s="78" t="s">
        <v>101</v>
      </c>
      <c r="AA497" s="77" t="s">
        <v>1345</v>
      </c>
      <c r="AB497" s="77" t="s">
        <v>1346</v>
      </c>
      <c r="AC497" s="77" t="s">
        <v>90</v>
      </c>
      <c r="AD497" s="77" t="s">
        <v>102</v>
      </c>
      <c r="AE497" s="77" t="s">
        <v>1347</v>
      </c>
      <c r="AG497" s="77" t="s">
        <v>1355</v>
      </c>
    </row>
    <row r="498" spans="1:33" x14ac:dyDescent="0.3">
      <c r="A498" s="77" t="s">
        <v>1490</v>
      </c>
      <c r="B498" s="77" t="s">
        <v>1491</v>
      </c>
      <c r="G498" s="77" t="s">
        <v>1341</v>
      </c>
      <c r="H498" s="77" t="s">
        <v>77</v>
      </c>
      <c r="I498" s="77" t="s">
        <v>78</v>
      </c>
      <c r="J498" s="77" t="s">
        <v>79</v>
      </c>
      <c r="K498" s="77" t="s">
        <v>80</v>
      </c>
      <c r="L498" s="77" t="s">
        <v>1485</v>
      </c>
      <c r="M498" s="77" t="s">
        <v>82</v>
      </c>
      <c r="N498" s="77" t="s">
        <v>83</v>
      </c>
      <c r="Q498" s="77" t="s">
        <v>1343</v>
      </c>
      <c r="T498" s="77" t="s">
        <v>1359</v>
      </c>
      <c r="U498" s="77" t="s">
        <v>85</v>
      </c>
      <c r="V498" s="80" t="s">
        <v>105</v>
      </c>
      <c r="X498" s="77" t="s">
        <v>106</v>
      </c>
      <c r="Y498" s="78" t="s">
        <v>101</v>
      </c>
      <c r="AA498" s="77" t="s">
        <v>1345</v>
      </c>
      <c r="AB498" s="77" t="s">
        <v>1346</v>
      </c>
      <c r="AC498" s="77" t="s">
        <v>90</v>
      </c>
      <c r="AD498" s="77" t="s">
        <v>102</v>
      </c>
      <c r="AE498" s="77" t="s">
        <v>1347</v>
      </c>
      <c r="AG498" s="77" t="s">
        <v>1359</v>
      </c>
    </row>
    <row r="499" spans="1:33" x14ac:dyDescent="0.3">
      <c r="A499" s="77" t="s">
        <v>1492</v>
      </c>
      <c r="B499" s="77" t="s">
        <v>1493</v>
      </c>
      <c r="G499" s="77" t="s">
        <v>1341</v>
      </c>
      <c r="H499" s="77" t="s">
        <v>77</v>
      </c>
      <c r="I499" s="77" t="s">
        <v>78</v>
      </c>
      <c r="J499" s="77" t="s">
        <v>79</v>
      </c>
      <c r="K499" s="77" t="s">
        <v>80</v>
      </c>
      <c r="L499" s="77" t="s">
        <v>1494</v>
      </c>
      <c r="M499" s="77" t="s">
        <v>82</v>
      </c>
      <c r="N499" s="77" t="s">
        <v>83</v>
      </c>
      <c r="Q499" s="77" t="s">
        <v>1343</v>
      </c>
      <c r="T499" s="77" t="s">
        <v>1453</v>
      </c>
      <c r="U499" s="77" t="s">
        <v>85</v>
      </c>
      <c r="V499" s="80" t="s">
        <v>238</v>
      </c>
      <c r="X499" s="77" t="s">
        <v>239</v>
      </c>
      <c r="Y499" s="78" t="s">
        <v>88</v>
      </c>
      <c r="AA499" s="77" t="s">
        <v>1345</v>
      </c>
      <c r="AB499" s="77" t="s">
        <v>1346</v>
      </c>
      <c r="AC499" s="77" t="s">
        <v>90</v>
      </c>
      <c r="AD499" s="77" t="s">
        <v>91</v>
      </c>
      <c r="AE499" s="77" t="s">
        <v>1347</v>
      </c>
      <c r="AG499" s="77" t="s">
        <v>1453</v>
      </c>
    </row>
    <row r="500" spans="1:33" x14ac:dyDescent="0.3">
      <c r="A500" s="77" t="s">
        <v>1495</v>
      </c>
      <c r="B500" s="77" t="s">
        <v>1496</v>
      </c>
      <c r="G500" s="77" t="s">
        <v>1341</v>
      </c>
      <c r="H500" s="77" t="s">
        <v>77</v>
      </c>
      <c r="I500" s="77" t="s">
        <v>78</v>
      </c>
      <c r="J500" s="77" t="s">
        <v>79</v>
      </c>
      <c r="K500" s="77" t="s">
        <v>80</v>
      </c>
      <c r="L500" s="77" t="s">
        <v>1494</v>
      </c>
      <c r="M500" s="77" t="s">
        <v>82</v>
      </c>
      <c r="N500" s="77" t="s">
        <v>83</v>
      </c>
      <c r="Q500" s="77" t="s">
        <v>1343</v>
      </c>
      <c r="T500" s="77" t="s">
        <v>1453</v>
      </c>
      <c r="U500" s="77" t="s">
        <v>85</v>
      </c>
      <c r="V500" s="80" t="s">
        <v>245</v>
      </c>
      <c r="X500" s="77" t="s">
        <v>246</v>
      </c>
      <c r="Y500" s="78" t="s">
        <v>88</v>
      </c>
      <c r="AA500" s="77" t="s">
        <v>1345</v>
      </c>
      <c r="AB500" s="77" t="s">
        <v>1346</v>
      </c>
      <c r="AC500" s="77" t="s">
        <v>90</v>
      </c>
      <c r="AD500" s="77" t="s">
        <v>91</v>
      </c>
      <c r="AE500" s="77" t="s">
        <v>1347</v>
      </c>
      <c r="AG500" s="77" t="s">
        <v>1453</v>
      </c>
    </row>
    <row r="501" spans="1:33" x14ac:dyDescent="0.3">
      <c r="A501" s="77" t="s">
        <v>1497</v>
      </c>
      <c r="B501" s="77" t="s">
        <v>1498</v>
      </c>
      <c r="G501" s="77" t="s">
        <v>1341</v>
      </c>
      <c r="H501" s="77" t="s">
        <v>77</v>
      </c>
      <c r="I501" s="77" t="s">
        <v>78</v>
      </c>
      <c r="J501" s="77" t="s">
        <v>79</v>
      </c>
      <c r="K501" s="77" t="s">
        <v>80</v>
      </c>
      <c r="L501" s="77" t="s">
        <v>1494</v>
      </c>
      <c r="M501" s="77" t="s">
        <v>82</v>
      </c>
      <c r="N501" s="77" t="s">
        <v>83</v>
      </c>
      <c r="Q501" s="77" t="s">
        <v>1343</v>
      </c>
      <c r="T501" s="77" t="s">
        <v>1453</v>
      </c>
      <c r="U501" s="77" t="s">
        <v>85</v>
      </c>
      <c r="V501" s="80" t="s">
        <v>252</v>
      </c>
      <c r="X501" s="77" t="s">
        <v>253</v>
      </c>
      <c r="Y501" s="78" t="s">
        <v>101</v>
      </c>
      <c r="AA501" s="77" t="s">
        <v>1345</v>
      </c>
      <c r="AB501" s="77" t="s">
        <v>1346</v>
      </c>
      <c r="AC501" s="77" t="s">
        <v>90</v>
      </c>
      <c r="AD501" s="77" t="s">
        <v>102</v>
      </c>
      <c r="AE501" s="77" t="s">
        <v>1347</v>
      </c>
      <c r="AG501" s="77" t="s">
        <v>1453</v>
      </c>
    </row>
    <row r="502" spans="1:33" x14ac:dyDescent="0.3">
      <c r="A502" s="77" t="s">
        <v>1499</v>
      </c>
      <c r="B502" s="77" t="s">
        <v>1500</v>
      </c>
      <c r="G502" s="77" t="s">
        <v>1341</v>
      </c>
      <c r="H502" s="77" t="s">
        <v>77</v>
      </c>
      <c r="I502" s="77" t="s">
        <v>78</v>
      </c>
      <c r="J502" s="77" t="s">
        <v>79</v>
      </c>
      <c r="K502" s="77" t="s">
        <v>80</v>
      </c>
      <c r="L502" s="77" t="s">
        <v>1494</v>
      </c>
      <c r="M502" s="77" t="s">
        <v>82</v>
      </c>
      <c r="N502" s="77" t="s">
        <v>83</v>
      </c>
      <c r="Q502" s="77" t="s">
        <v>1343</v>
      </c>
      <c r="T502" s="77" t="s">
        <v>1453</v>
      </c>
      <c r="U502" s="77" t="s">
        <v>85</v>
      </c>
      <c r="V502" s="80" t="s">
        <v>259</v>
      </c>
      <c r="X502" s="77" t="s">
        <v>260</v>
      </c>
      <c r="Y502" s="78" t="s">
        <v>101</v>
      </c>
      <c r="AA502" s="77" t="s">
        <v>1345</v>
      </c>
      <c r="AB502" s="77" t="s">
        <v>1346</v>
      </c>
      <c r="AC502" s="77" t="s">
        <v>90</v>
      </c>
      <c r="AD502" s="77" t="s">
        <v>102</v>
      </c>
      <c r="AE502" s="77" t="s">
        <v>1347</v>
      </c>
      <c r="AG502" s="77" t="s">
        <v>1453</v>
      </c>
    </row>
    <row r="503" spans="1:33" x14ac:dyDescent="0.3">
      <c r="A503" s="77" t="s">
        <v>1501</v>
      </c>
      <c r="B503" s="77" t="s">
        <v>1502</v>
      </c>
      <c r="G503" s="77" t="s">
        <v>1341</v>
      </c>
      <c r="H503" s="77" t="s">
        <v>77</v>
      </c>
      <c r="I503" s="77" t="s">
        <v>78</v>
      </c>
      <c r="J503" s="77" t="s">
        <v>79</v>
      </c>
      <c r="K503" s="77" t="s">
        <v>80</v>
      </c>
      <c r="L503" s="77" t="s">
        <v>1503</v>
      </c>
      <c r="M503" s="77" t="s">
        <v>82</v>
      </c>
      <c r="N503" s="77" t="s">
        <v>83</v>
      </c>
      <c r="Q503" s="77" t="s">
        <v>1343</v>
      </c>
      <c r="T503" s="77" t="s">
        <v>1504</v>
      </c>
      <c r="U503" s="77" t="s">
        <v>85</v>
      </c>
      <c r="V503" s="80" t="s">
        <v>925</v>
      </c>
      <c r="X503" s="77" t="s">
        <v>926</v>
      </c>
      <c r="Y503" s="78" t="s">
        <v>101</v>
      </c>
      <c r="AA503" s="77" t="s">
        <v>1345</v>
      </c>
      <c r="AB503" s="77" t="s">
        <v>1346</v>
      </c>
      <c r="AC503" s="77" t="s">
        <v>90</v>
      </c>
      <c r="AD503" s="77" t="s">
        <v>274</v>
      </c>
      <c r="AE503" s="77" t="s">
        <v>1347</v>
      </c>
      <c r="AG503" s="77" t="s">
        <v>1504</v>
      </c>
    </row>
    <row r="504" spans="1:33" x14ac:dyDescent="0.3">
      <c r="A504" s="77" t="s">
        <v>1505</v>
      </c>
      <c r="B504" s="77" t="s">
        <v>1506</v>
      </c>
      <c r="G504" s="77" t="s">
        <v>1341</v>
      </c>
      <c r="H504" s="77" t="s">
        <v>77</v>
      </c>
      <c r="I504" s="77" t="s">
        <v>78</v>
      </c>
      <c r="J504" s="77" t="s">
        <v>79</v>
      </c>
      <c r="K504" s="77" t="s">
        <v>80</v>
      </c>
      <c r="L504" s="77" t="s">
        <v>1507</v>
      </c>
      <c r="M504" s="77" t="s">
        <v>82</v>
      </c>
      <c r="N504" s="77" t="s">
        <v>83</v>
      </c>
      <c r="Q504" s="77" t="s">
        <v>1343</v>
      </c>
      <c r="T504" s="77" t="s">
        <v>1508</v>
      </c>
      <c r="U504" s="77" t="s">
        <v>85</v>
      </c>
      <c r="V504" s="80" t="s">
        <v>930</v>
      </c>
      <c r="X504" s="77" t="s">
        <v>931</v>
      </c>
      <c r="Y504" s="78" t="s">
        <v>88</v>
      </c>
      <c r="AA504" s="77" t="s">
        <v>1345</v>
      </c>
      <c r="AB504" s="77" t="s">
        <v>1346</v>
      </c>
      <c r="AC504" s="77" t="s">
        <v>90</v>
      </c>
      <c r="AD504" s="77" t="s">
        <v>91</v>
      </c>
      <c r="AE504" s="77" t="s">
        <v>1347</v>
      </c>
      <c r="AG504" s="77" t="s">
        <v>1508</v>
      </c>
    </row>
    <row r="505" spans="1:33" x14ac:dyDescent="0.3">
      <c r="A505" s="77" t="s">
        <v>1509</v>
      </c>
      <c r="B505" s="77" t="s">
        <v>1510</v>
      </c>
      <c r="G505" s="77" t="s">
        <v>1341</v>
      </c>
      <c r="H505" s="77" t="s">
        <v>77</v>
      </c>
      <c r="I505" s="77" t="s">
        <v>78</v>
      </c>
      <c r="J505" s="77" t="s">
        <v>79</v>
      </c>
      <c r="K505" s="77" t="s">
        <v>80</v>
      </c>
      <c r="L505" s="77" t="s">
        <v>1511</v>
      </c>
      <c r="M505" s="77" t="s">
        <v>82</v>
      </c>
      <c r="N505" s="77" t="s">
        <v>83</v>
      </c>
      <c r="Q505" s="77" t="s">
        <v>1343</v>
      </c>
      <c r="T505" s="77" t="s">
        <v>1377</v>
      </c>
      <c r="U505" s="77" t="s">
        <v>85</v>
      </c>
      <c r="V505" s="80" t="s">
        <v>507</v>
      </c>
      <c r="X505" s="77" t="s">
        <v>508</v>
      </c>
      <c r="Y505" s="78" t="s">
        <v>88</v>
      </c>
      <c r="AA505" s="77" t="s">
        <v>1345</v>
      </c>
      <c r="AB505" s="77" t="s">
        <v>1346</v>
      </c>
      <c r="AC505" s="77" t="s">
        <v>90</v>
      </c>
      <c r="AD505" s="77" t="s">
        <v>91</v>
      </c>
      <c r="AE505" s="77" t="s">
        <v>1347</v>
      </c>
    </row>
    <row r="506" spans="1:33" x14ac:dyDescent="0.3">
      <c r="A506" s="77" t="s">
        <v>1512</v>
      </c>
      <c r="B506" s="77" t="s">
        <v>1513</v>
      </c>
      <c r="G506" s="77" t="s">
        <v>1341</v>
      </c>
      <c r="H506" s="77" t="s">
        <v>77</v>
      </c>
      <c r="I506" s="77" t="s">
        <v>78</v>
      </c>
      <c r="J506" s="77" t="s">
        <v>79</v>
      </c>
      <c r="K506" s="77" t="s">
        <v>80</v>
      </c>
      <c r="L506" s="77" t="s">
        <v>1511</v>
      </c>
      <c r="M506" s="77" t="s">
        <v>82</v>
      </c>
      <c r="N506" s="77" t="s">
        <v>83</v>
      </c>
      <c r="Q506" s="77" t="s">
        <v>1343</v>
      </c>
      <c r="T506" s="77" t="s">
        <v>1377</v>
      </c>
      <c r="U506" s="77" t="s">
        <v>85</v>
      </c>
      <c r="V506" s="80" t="s">
        <v>514</v>
      </c>
      <c r="X506" s="77" t="s">
        <v>515</v>
      </c>
      <c r="Y506" s="78" t="s">
        <v>88</v>
      </c>
      <c r="AA506" s="77" t="s">
        <v>1345</v>
      </c>
      <c r="AB506" s="77" t="s">
        <v>1346</v>
      </c>
      <c r="AC506" s="77" t="s">
        <v>90</v>
      </c>
      <c r="AD506" s="77" t="s">
        <v>91</v>
      </c>
      <c r="AE506" s="77" t="s">
        <v>1347</v>
      </c>
    </row>
    <row r="507" spans="1:33" x14ac:dyDescent="0.3">
      <c r="A507" s="77" t="s">
        <v>1514</v>
      </c>
      <c r="B507" s="77" t="s">
        <v>1515</v>
      </c>
      <c r="G507" s="77" t="s">
        <v>1341</v>
      </c>
      <c r="H507" s="77" t="s">
        <v>77</v>
      </c>
      <c r="I507" s="77" t="s">
        <v>78</v>
      </c>
      <c r="J507" s="77" t="s">
        <v>79</v>
      </c>
      <c r="K507" s="77" t="s">
        <v>80</v>
      </c>
      <c r="L507" s="77" t="s">
        <v>1511</v>
      </c>
      <c r="M507" s="77" t="s">
        <v>82</v>
      </c>
      <c r="N507" s="77" t="s">
        <v>83</v>
      </c>
      <c r="Q507" s="77" t="s">
        <v>1343</v>
      </c>
      <c r="T507" s="77" t="s">
        <v>1377</v>
      </c>
      <c r="U507" s="77" t="s">
        <v>85</v>
      </c>
      <c r="V507" s="80" t="s">
        <v>521</v>
      </c>
      <c r="X507" s="77" t="s">
        <v>522</v>
      </c>
      <c r="Y507" s="78" t="s">
        <v>101</v>
      </c>
      <c r="AA507" s="77" t="s">
        <v>1345</v>
      </c>
      <c r="AB507" s="77" t="s">
        <v>1346</v>
      </c>
      <c r="AC507" s="77" t="s">
        <v>90</v>
      </c>
      <c r="AD507" s="77" t="s">
        <v>102</v>
      </c>
      <c r="AE507" s="77" t="s">
        <v>1347</v>
      </c>
    </row>
    <row r="508" spans="1:33" x14ac:dyDescent="0.3">
      <c r="A508" s="77" t="s">
        <v>1516</v>
      </c>
      <c r="B508" s="77" t="s">
        <v>1517</v>
      </c>
      <c r="G508" s="77" t="s">
        <v>1341</v>
      </c>
      <c r="H508" s="77" t="s">
        <v>77</v>
      </c>
      <c r="I508" s="77" t="s">
        <v>78</v>
      </c>
      <c r="J508" s="77" t="s">
        <v>79</v>
      </c>
      <c r="K508" s="77" t="s">
        <v>80</v>
      </c>
      <c r="L508" s="77" t="s">
        <v>1511</v>
      </c>
      <c r="M508" s="77" t="s">
        <v>82</v>
      </c>
      <c r="N508" s="77" t="s">
        <v>83</v>
      </c>
      <c r="Q508" s="77" t="s">
        <v>1343</v>
      </c>
      <c r="T508" s="77" t="s">
        <v>1377</v>
      </c>
      <c r="U508" s="77" t="s">
        <v>85</v>
      </c>
      <c r="V508" s="80" t="s">
        <v>528</v>
      </c>
      <c r="X508" s="77" t="s">
        <v>529</v>
      </c>
      <c r="Y508" s="78" t="s">
        <v>101</v>
      </c>
      <c r="AA508" s="77" t="s">
        <v>1345</v>
      </c>
      <c r="AB508" s="77" t="s">
        <v>1346</v>
      </c>
      <c r="AC508" s="77" t="s">
        <v>90</v>
      </c>
      <c r="AD508" s="77" t="s">
        <v>102</v>
      </c>
      <c r="AE508" s="77" t="s">
        <v>1347</v>
      </c>
    </row>
    <row r="509" spans="1:33" x14ac:dyDescent="0.3">
      <c r="A509" s="77" t="s">
        <v>3037</v>
      </c>
      <c r="B509" s="77" t="s">
        <v>75</v>
      </c>
      <c r="G509" s="77" t="s">
        <v>3038</v>
      </c>
      <c r="H509" s="77" t="s">
        <v>77</v>
      </c>
      <c r="I509" s="77" t="s">
        <v>78</v>
      </c>
      <c r="J509" s="77" t="s">
        <v>3039</v>
      </c>
      <c r="K509" s="77" t="s">
        <v>80</v>
      </c>
      <c r="L509" s="77" t="s">
        <v>81</v>
      </c>
      <c r="M509" s="77" t="s">
        <v>82</v>
      </c>
      <c r="N509" s="77" t="s">
        <v>83</v>
      </c>
      <c r="Q509" s="77" t="s">
        <v>3040</v>
      </c>
      <c r="U509" s="77" t="s">
        <v>85</v>
      </c>
      <c r="V509" s="80" t="s">
        <v>86</v>
      </c>
      <c r="X509" s="77" t="s">
        <v>87</v>
      </c>
      <c r="Y509" s="78" t="s">
        <v>88</v>
      </c>
      <c r="AA509" s="77" t="s">
        <v>89</v>
      </c>
      <c r="AB509" s="77" t="s">
        <v>78</v>
      </c>
      <c r="AC509" s="77" t="s">
        <v>90</v>
      </c>
      <c r="AD509" s="77" t="s">
        <v>91</v>
      </c>
      <c r="AE509" s="77" t="s">
        <v>3041</v>
      </c>
    </row>
    <row r="510" spans="1:33" x14ac:dyDescent="0.3">
      <c r="A510" s="77" t="s">
        <v>3042</v>
      </c>
      <c r="B510" s="77" t="s">
        <v>94</v>
      </c>
      <c r="G510" s="77" t="s">
        <v>3038</v>
      </c>
      <c r="H510" s="77" t="s">
        <v>77</v>
      </c>
      <c r="I510" s="77" t="s">
        <v>78</v>
      </c>
      <c r="J510" s="77" t="s">
        <v>3039</v>
      </c>
      <c r="K510" s="77" t="s">
        <v>80</v>
      </c>
      <c r="L510" s="77" t="s">
        <v>81</v>
      </c>
      <c r="M510" s="77" t="s">
        <v>82</v>
      </c>
      <c r="N510" s="77" t="s">
        <v>83</v>
      </c>
      <c r="Q510" s="77" t="s">
        <v>3040</v>
      </c>
      <c r="U510" s="77" t="s">
        <v>85</v>
      </c>
      <c r="V510" s="80" t="s">
        <v>95</v>
      </c>
      <c r="X510" s="77" t="s">
        <v>96</v>
      </c>
      <c r="Y510" s="78" t="s">
        <v>88</v>
      </c>
      <c r="AA510" s="77" t="s">
        <v>89</v>
      </c>
      <c r="AB510" s="77" t="s">
        <v>78</v>
      </c>
      <c r="AC510" s="77" t="s">
        <v>90</v>
      </c>
      <c r="AD510" s="77" t="s">
        <v>91</v>
      </c>
      <c r="AE510" s="77" t="s">
        <v>3041</v>
      </c>
    </row>
    <row r="511" spans="1:33" x14ac:dyDescent="0.3">
      <c r="A511" s="77" t="s">
        <v>3043</v>
      </c>
      <c r="B511" s="77" t="s">
        <v>98</v>
      </c>
      <c r="G511" s="77" t="s">
        <v>3038</v>
      </c>
      <c r="H511" s="77" t="s">
        <v>77</v>
      </c>
      <c r="I511" s="77" t="s">
        <v>78</v>
      </c>
      <c r="J511" s="77" t="s">
        <v>3039</v>
      </c>
      <c r="K511" s="77" t="s">
        <v>80</v>
      </c>
      <c r="L511" s="77" t="s">
        <v>81</v>
      </c>
      <c r="M511" s="77" t="s">
        <v>82</v>
      </c>
      <c r="N511" s="77" t="s">
        <v>83</v>
      </c>
      <c r="Q511" s="77" t="s">
        <v>3040</v>
      </c>
      <c r="U511" s="77" t="s">
        <v>85</v>
      </c>
      <c r="V511" s="80" t="s">
        <v>99</v>
      </c>
      <c r="X511" s="77" t="s">
        <v>100</v>
      </c>
      <c r="Y511" s="78" t="s">
        <v>101</v>
      </c>
      <c r="AA511" s="77" t="s">
        <v>89</v>
      </c>
      <c r="AB511" s="77" t="s">
        <v>78</v>
      </c>
      <c r="AC511" s="77" t="s">
        <v>90</v>
      </c>
      <c r="AD511" s="77" t="s">
        <v>102</v>
      </c>
      <c r="AE511" s="77" t="s">
        <v>3041</v>
      </c>
    </row>
    <row r="512" spans="1:33" x14ac:dyDescent="0.3">
      <c r="A512" s="77" t="s">
        <v>3044</v>
      </c>
      <c r="B512" s="77" t="s">
        <v>104</v>
      </c>
      <c r="G512" s="77" t="s">
        <v>3038</v>
      </c>
      <c r="H512" s="77" t="s">
        <v>77</v>
      </c>
      <c r="I512" s="77" t="s">
        <v>78</v>
      </c>
      <c r="J512" s="77" t="s">
        <v>3039</v>
      </c>
      <c r="K512" s="77" t="s">
        <v>80</v>
      </c>
      <c r="L512" s="77" t="s">
        <v>81</v>
      </c>
      <c r="M512" s="77" t="s">
        <v>82</v>
      </c>
      <c r="N512" s="77" t="s">
        <v>83</v>
      </c>
      <c r="Q512" s="77" t="s">
        <v>3040</v>
      </c>
      <c r="U512" s="77" t="s">
        <v>85</v>
      </c>
      <c r="V512" s="80" t="s">
        <v>105</v>
      </c>
      <c r="X512" s="77" t="s">
        <v>106</v>
      </c>
      <c r="Y512" s="78" t="s">
        <v>101</v>
      </c>
      <c r="AA512" s="77" t="s">
        <v>89</v>
      </c>
      <c r="AB512" s="77" t="s">
        <v>78</v>
      </c>
      <c r="AC512" s="77" t="s">
        <v>90</v>
      </c>
      <c r="AD512" s="77" t="s">
        <v>102</v>
      </c>
      <c r="AE512" s="77" t="s">
        <v>3041</v>
      </c>
    </row>
    <row r="513" spans="1:33" hidden="1" x14ac:dyDescent="0.3">
      <c r="A513" s="77" t="s">
        <v>3045</v>
      </c>
      <c r="B513" s="77" t="s">
        <v>108</v>
      </c>
      <c r="G513" s="77" t="s">
        <v>3046</v>
      </c>
      <c r="H513" s="77" t="s">
        <v>77</v>
      </c>
      <c r="I513" s="77" t="s">
        <v>78</v>
      </c>
      <c r="J513" s="77" t="s">
        <v>3039</v>
      </c>
      <c r="K513" s="77" t="s">
        <v>80</v>
      </c>
      <c r="L513" s="77" t="s">
        <v>110</v>
      </c>
      <c r="M513" s="77" t="s">
        <v>82</v>
      </c>
      <c r="N513" s="77" t="s">
        <v>83</v>
      </c>
      <c r="Q513" s="77" t="s">
        <v>3047</v>
      </c>
      <c r="S513" s="77" t="s">
        <v>3047</v>
      </c>
      <c r="U513" s="77" t="s">
        <v>85</v>
      </c>
      <c r="V513" s="80" t="s">
        <v>86</v>
      </c>
      <c r="W513" s="79">
        <v>46095.184615590275</v>
      </c>
      <c r="X513" s="77" t="s">
        <v>87</v>
      </c>
      <c r="Y513" s="78" t="s">
        <v>88</v>
      </c>
      <c r="AA513" s="77" t="s">
        <v>113</v>
      </c>
      <c r="AB513" s="77" t="s">
        <v>78</v>
      </c>
      <c r="AC513" s="77" t="s">
        <v>114</v>
      </c>
      <c r="AD513" s="77" t="s">
        <v>91</v>
      </c>
      <c r="AE513" s="77" t="s">
        <v>3048</v>
      </c>
      <c r="AF513" s="77" t="s">
        <v>129</v>
      </c>
      <c r="AG513" s="77" t="s">
        <v>112</v>
      </c>
    </row>
    <row r="514" spans="1:33" hidden="1" x14ac:dyDescent="0.3">
      <c r="A514" s="77" t="s">
        <v>3049</v>
      </c>
      <c r="B514" s="77" t="s">
        <v>118</v>
      </c>
      <c r="G514" s="77" t="s">
        <v>3046</v>
      </c>
      <c r="H514" s="77" t="s">
        <v>77</v>
      </c>
      <c r="I514" s="77" t="s">
        <v>78</v>
      </c>
      <c r="J514" s="77" t="s">
        <v>3039</v>
      </c>
      <c r="K514" s="77" t="s">
        <v>80</v>
      </c>
      <c r="L514" s="77" t="s">
        <v>119</v>
      </c>
      <c r="M514" s="77" t="s">
        <v>82</v>
      </c>
      <c r="N514" s="77" t="s">
        <v>83</v>
      </c>
      <c r="Q514" s="77" t="s">
        <v>3047</v>
      </c>
      <c r="S514" s="77" t="s">
        <v>3047</v>
      </c>
      <c r="U514" s="77" t="s">
        <v>85</v>
      </c>
      <c r="V514" s="77" t="s">
        <v>95</v>
      </c>
      <c r="W514" s="79">
        <v>46095.185754548613</v>
      </c>
      <c r="X514" s="77" t="s">
        <v>96</v>
      </c>
      <c r="Y514" s="78" t="s">
        <v>88</v>
      </c>
      <c r="AA514" s="77" t="s">
        <v>113</v>
      </c>
      <c r="AB514" s="77" t="s">
        <v>78</v>
      </c>
      <c r="AC514" s="77" t="s">
        <v>114</v>
      </c>
      <c r="AD514" s="77" t="s">
        <v>91</v>
      </c>
      <c r="AE514" s="77" t="s">
        <v>3048</v>
      </c>
      <c r="AF514" s="77" t="s">
        <v>129</v>
      </c>
      <c r="AG514" s="77" t="s">
        <v>112</v>
      </c>
    </row>
    <row r="515" spans="1:33" hidden="1" x14ac:dyDescent="0.3">
      <c r="A515" s="77" t="s">
        <v>3050</v>
      </c>
      <c r="B515" s="77" t="s">
        <v>121</v>
      </c>
      <c r="G515" s="77" t="s">
        <v>3046</v>
      </c>
      <c r="H515" s="77" t="s">
        <v>77</v>
      </c>
      <c r="I515" s="77" t="s">
        <v>78</v>
      </c>
      <c r="J515" s="77" t="s">
        <v>3039</v>
      </c>
      <c r="K515" s="77" t="s">
        <v>80</v>
      </c>
      <c r="L515" s="77" t="s">
        <v>122</v>
      </c>
      <c r="M515" s="77" t="s">
        <v>82</v>
      </c>
      <c r="N515" s="77" t="s">
        <v>83</v>
      </c>
      <c r="Q515" s="77" t="s">
        <v>3047</v>
      </c>
      <c r="S515" s="77" t="s">
        <v>3047</v>
      </c>
      <c r="U515" s="77" t="s">
        <v>85</v>
      </c>
      <c r="V515" s="77" t="s">
        <v>99</v>
      </c>
      <c r="W515" s="79">
        <v>46095.186135648146</v>
      </c>
      <c r="X515" s="77" t="s">
        <v>100</v>
      </c>
      <c r="Y515" s="78" t="s">
        <v>101</v>
      </c>
      <c r="AA515" s="77" t="s">
        <v>113</v>
      </c>
      <c r="AB515" s="77" t="s">
        <v>78</v>
      </c>
      <c r="AC515" s="77" t="s">
        <v>114</v>
      </c>
      <c r="AD515" s="77" t="s">
        <v>102</v>
      </c>
      <c r="AE515" s="77" t="s">
        <v>3048</v>
      </c>
      <c r="AF515" s="77" t="s">
        <v>129</v>
      </c>
      <c r="AG515" s="77" t="s">
        <v>112</v>
      </c>
    </row>
    <row r="516" spans="1:33" hidden="1" x14ac:dyDescent="0.3">
      <c r="A516" s="77" t="s">
        <v>3051</v>
      </c>
      <c r="B516" s="77" t="s">
        <v>124</v>
      </c>
      <c r="G516" s="77" t="s">
        <v>3046</v>
      </c>
      <c r="H516" s="77" t="s">
        <v>77</v>
      </c>
      <c r="I516" s="77" t="s">
        <v>78</v>
      </c>
      <c r="J516" s="77" t="s">
        <v>3039</v>
      </c>
      <c r="K516" s="77" t="s">
        <v>80</v>
      </c>
      <c r="L516" s="77" t="s">
        <v>125</v>
      </c>
      <c r="M516" s="77" t="s">
        <v>82</v>
      </c>
      <c r="N516" s="77" t="s">
        <v>83</v>
      </c>
      <c r="Q516" s="77" t="s">
        <v>3047</v>
      </c>
      <c r="S516" s="77" t="s">
        <v>3047</v>
      </c>
      <c r="U516" s="77" t="s">
        <v>85</v>
      </c>
      <c r="V516" s="77" t="s">
        <v>105</v>
      </c>
      <c r="W516" s="79">
        <v>46095.186444525461</v>
      </c>
      <c r="X516" s="77" t="s">
        <v>106</v>
      </c>
      <c r="Y516" s="78" t="s">
        <v>101</v>
      </c>
      <c r="AA516" s="77" t="s">
        <v>113</v>
      </c>
      <c r="AB516" s="77" t="s">
        <v>78</v>
      </c>
      <c r="AC516" s="77" t="s">
        <v>114</v>
      </c>
      <c r="AD516" s="77" t="s">
        <v>102</v>
      </c>
      <c r="AE516" s="77" t="s">
        <v>3048</v>
      </c>
      <c r="AF516" s="77" t="s">
        <v>129</v>
      </c>
      <c r="AG516" s="77" t="s">
        <v>112</v>
      </c>
    </row>
    <row r="517" spans="1:33" hidden="1" x14ac:dyDescent="0.3">
      <c r="A517" s="77" t="s">
        <v>3052</v>
      </c>
      <c r="B517" s="77" t="s">
        <v>127</v>
      </c>
      <c r="G517" s="77" t="s">
        <v>3046</v>
      </c>
      <c r="H517" s="77" t="s">
        <v>77</v>
      </c>
      <c r="I517" s="77" t="s">
        <v>78</v>
      </c>
      <c r="J517" s="77" t="s">
        <v>3039</v>
      </c>
      <c r="K517" s="77" t="s">
        <v>80</v>
      </c>
      <c r="L517" s="77" t="s">
        <v>128</v>
      </c>
      <c r="M517" s="77" t="s">
        <v>82</v>
      </c>
      <c r="N517" s="77" t="s">
        <v>83</v>
      </c>
      <c r="Q517" s="77" t="s">
        <v>3047</v>
      </c>
      <c r="S517" s="77" t="s">
        <v>3047</v>
      </c>
      <c r="U517" s="77" t="s">
        <v>85</v>
      </c>
      <c r="V517" s="80" t="s">
        <v>86</v>
      </c>
      <c r="W517" s="79">
        <v>46125.235490740743</v>
      </c>
      <c r="X517" s="77" t="s">
        <v>87</v>
      </c>
      <c r="Y517" s="78" t="s">
        <v>88</v>
      </c>
      <c r="AA517" s="77" t="s">
        <v>113</v>
      </c>
      <c r="AB517" s="77" t="s">
        <v>78</v>
      </c>
      <c r="AC517" s="77" t="s">
        <v>114</v>
      </c>
      <c r="AD517" s="77" t="s">
        <v>91</v>
      </c>
      <c r="AE517" s="77" t="s">
        <v>3048</v>
      </c>
      <c r="AF517" s="77" t="s">
        <v>129</v>
      </c>
      <c r="AG517" s="77" t="s">
        <v>112</v>
      </c>
    </row>
    <row r="518" spans="1:33" hidden="1" x14ac:dyDescent="0.3">
      <c r="A518" s="77" t="s">
        <v>3053</v>
      </c>
      <c r="B518" s="77" t="s">
        <v>131</v>
      </c>
      <c r="G518" s="77" t="s">
        <v>3046</v>
      </c>
      <c r="H518" s="77" t="s">
        <v>77</v>
      </c>
      <c r="I518" s="77" t="s">
        <v>78</v>
      </c>
      <c r="J518" s="77" t="s">
        <v>3039</v>
      </c>
      <c r="K518" s="77" t="s">
        <v>80</v>
      </c>
      <c r="L518" s="77" t="s">
        <v>128</v>
      </c>
      <c r="M518" s="77" t="s">
        <v>82</v>
      </c>
      <c r="N518" s="77" t="s">
        <v>83</v>
      </c>
      <c r="Q518" s="77" t="s">
        <v>3047</v>
      </c>
      <c r="S518" s="77" t="s">
        <v>3047</v>
      </c>
      <c r="U518" s="77" t="s">
        <v>85</v>
      </c>
      <c r="V518" s="80" t="s">
        <v>86</v>
      </c>
      <c r="W518" s="79">
        <v>46125.237321909721</v>
      </c>
      <c r="X518" s="77" t="s">
        <v>87</v>
      </c>
      <c r="Y518" s="78" t="s">
        <v>88</v>
      </c>
      <c r="AA518" s="77" t="s">
        <v>113</v>
      </c>
      <c r="AB518" s="77" t="s">
        <v>78</v>
      </c>
      <c r="AC518" s="77" t="s">
        <v>114</v>
      </c>
      <c r="AD518" s="77" t="s">
        <v>91</v>
      </c>
      <c r="AE518" s="77" t="s">
        <v>3048</v>
      </c>
      <c r="AF518" s="77" t="s">
        <v>129</v>
      </c>
      <c r="AG518" s="77" t="s">
        <v>112</v>
      </c>
    </row>
    <row r="519" spans="1:33" hidden="1" x14ac:dyDescent="0.3">
      <c r="A519" s="77" t="s">
        <v>3054</v>
      </c>
      <c r="B519" s="77" t="s">
        <v>134</v>
      </c>
      <c r="G519" s="77" t="s">
        <v>3046</v>
      </c>
      <c r="H519" s="77" t="s">
        <v>77</v>
      </c>
      <c r="I519" s="77" t="s">
        <v>78</v>
      </c>
      <c r="J519" s="77" t="s">
        <v>3039</v>
      </c>
      <c r="K519" s="77" t="s">
        <v>80</v>
      </c>
      <c r="L519" s="77" t="s">
        <v>128</v>
      </c>
      <c r="M519" s="77" t="s">
        <v>82</v>
      </c>
      <c r="N519" s="77" t="s">
        <v>83</v>
      </c>
      <c r="Q519" s="77" t="s">
        <v>3047</v>
      </c>
      <c r="S519" s="77" t="s">
        <v>3047</v>
      </c>
      <c r="U519" s="77" t="s">
        <v>85</v>
      </c>
      <c r="V519" s="80" t="s">
        <v>86</v>
      </c>
      <c r="W519" s="79">
        <v>46125.237686307868</v>
      </c>
      <c r="X519" s="77" t="s">
        <v>87</v>
      </c>
      <c r="Y519" s="78" t="s">
        <v>88</v>
      </c>
      <c r="AA519" s="77" t="s">
        <v>113</v>
      </c>
      <c r="AB519" s="77" t="s">
        <v>78</v>
      </c>
      <c r="AC519" s="77" t="s">
        <v>114</v>
      </c>
      <c r="AD519" s="77" t="s">
        <v>91</v>
      </c>
      <c r="AE519" s="77" t="s">
        <v>3048</v>
      </c>
      <c r="AF519" s="77" t="s">
        <v>129</v>
      </c>
      <c r="AG519" s="77" t="s">
        <v>112</v>
      </c>
    </row>
    <row r="520" spans="1:33" hidden="1" x14ac:dyDescent="0.3">
      <c r="A520" s="77" t="s">
        <v>3055</v>
      </c>
      <c r="B520" s="77" t="s">
        <v>136</v>
      </c>
      <c r="G520" s="77" t="s">
        <v>3046</v>
      </c>
      <c r="H520" s="77" t="s">
        <v>77</v>
      </c>
      <c r="I520" s="77" t="s">
        <v>78</v>
      </c>
      <c r="J520" s="77" t="s">
        <v>3039</v>
      </c>
      <c r="K520" s="77" t="s">
        <v>80</v>
      </c>
      <c r="L520" s="77" t="s">
        <v>137</v>
      </c>
      <c r="M520" s="77" t="s">
        <v>82</v>
      </c>
      <c r="N520" s="77" t="s">
        <v>83</v>
      </c>
      <c r="Q520" s="77" t="s">
        <v>3047</v>
      </c>
      <c r="S520" s="77" t="s">
        <v>3047</v>
      </c>
      <c r="U520" s="77" t="s">
        <v>85</v>
      </c>
      <c r="V520" s="77" t="s">
        <v>95</v>
      </c>
      <c r="W520" s="79">
        <v>46125.238150775462</v>
      </c>
      <c r="X520" s="77" t="s">
        <v>96</v>
      </c>
      <c r="Y520" s="78" t="s">
        <v>88</v>
      </c>
      <c r="AA520" s="77" t="s">
        <v>113</v>
      </c>
      <c r="AB520" s="77" t="s">
        <v>78</v>
      </c>
      <c r="AC520" s="77" t="s">
        <v>114</v>
      </c>
      <c r="AD520" s="77" t="s">
        <v>91</v>
      </c>
      <c r="AE520" s="77" t="s">
        <v>3048</v>
      </c>
      <c r="AF520" s="77" t="s">
        <v>129</v>
      </c>
      <c r="AG520" s="77" t="s">
        <v>112</v>
      </c>
    </row>
    <row r="521" spans="1:33" hidden="1" x14ac:dyDescent="0.3">
      <c r="A521" s="77" t="s">
        <v>3056</v>
      </c>
      <c r="B521" s="77" t="s">
        <v>139</v>
      </c>
      <c r="G521" s="77" t="s">
        <v>3046</v>
      </c>
      <c r="H521" s="77" t="s">
        <v>77</v>
      </c>
      <c r="I521" s="77" t="s">
        <v>78</v>
      </c>
      <c r="J521" s="77" t="s">
        <v>3039</v>
      </c>
      <c r="K521" s="77" t="s">
        <v>80</v>
      </c>
      <c r="L521" s="77" t="s">
        <v>137</v>
      </c>
      <c r="M521" s="77" t="s">
        <v>82</v>
      </c>
      <c r="N521" s="77" t="s">
        <v>83</v>
      </c>
      <c r="Q521" s="77" t="s">
        <v>3047</v>
      </c>
      <c r="S521" s="77" t="s">
        <v>3047</v>
      </c>
      <c r="U521" s="77" t="s">
        <v>85</v>
      </c>
      <c r="V521" s="77" t="s">
        <v>95</v>
      </c>
      <c r="W521" s="79">
        <v>46125.238643368059</v>
      </c>
      <c r="X521" s="77" t="s">
        <v>96</v>
      </c>
      <c r="Y521" s="78" t="s">
        <v>88</v>
      </c>
      <c r="AA521" s="77" t="s">
        <v>113</v>
      </c>
      <c r="AB521" s="77" t="s">
        <v>78</v>
      </c>
      <c r="AC521" s="77" t="s">
        <v>114</v>
      </c>
      <c r="AD521" s="77" t="s">
        <v>91</v>
      </c>
      <c r="AE521" s="77" t="s">
        <v>3048</v>
      </c>
      <c r="AF521" s="77" t="s">
        <v>129</v>
      </c>
      <c r="AG521" s="77" t="s">
        <v>112</v>
      </c>
    </row>
    <row r="522" spans="1:33" hidden="1" x14ac:dyDescent="0.3">
      <c r="A522" s="77" t="s">
        <v>3057</v>
      </c>
      <c r="B522" s="77" t="s">
        <v>141</v>
      </c>
      <c r="G522" s="77" t="s">
        <v>3046</v>
      </c>
      <c r="H522" s="77" t="s">
        <v>77</v>
      </c>
      <c r="I522" s="77" t="s">
        <v>78</v>
      </c>
      <c r="J522" s="77" t="s">
        <v>3039</v>
      </c>
      <c r="K522" s="77" t="s">
        <v>80</v>
      </c>
      <c r="L522" s="77" t="s">
        <v>137</v>
      </c>
      <c r="M522" s="77" t="s">
        <v>82</v>
      </c>
      <c r="N522" s="77" t="s">
        <v>83</v>
      </c>
      <c r="Q522" s="77" t="s">
        <v>3047</v>
      </c>
      <c r="S522" s="77" t="s">
        <v>3047</v>
      </c>
      <c r="U522" s="77" t="s">
        <v>85</v>
      </c>
      <c r="V522" s="77" t="s">
        <v>95</v>
      </c>
      <c r="W522" s="79">
        <v>46125.2389897338</v>
      </c>
      <c r="X522" s="77" t="s">
        <v>96</v>
      </c>
      <c r="Y522" s="78" t="s">
        <v>88</v>
      </c>
      <c r="AA522" s="77" t="s">
        <v>113</v>
      </c>
      <c r="AB522" s="77" t="s">
        <v>78</v>
      </c>
      <c r="AC522" s="77" t="s">
        <v>114</v>
      </c>
      <c r="AD522" s="77" t="s">
        <v>91</v>
      </c>
      <c r="AE522" s="77" t="s">
        <v>3048</v>
      </c>
      <c r="AF522" s="77" t="s">
        <v>129</v>
      </c>
      <c r="AG522" s="77" t="s">
        <v>112</v>
      </c>
    </row>
    <row r="523" spans="1:33" hidden="1" x14ac:dyDescent="0.3">
      <c r="A523" s="77" t="s">
        <v>3058</v>
      </c>
      <c r="B523" s="77" t="s">
        <v>143</v>
      </c>
      <c r="G523" s="77" t="s">
        <v>3046</v>
      </c>
      <c r="H523" s="77" t="s">
        <v>77</v>
      </c>
      <c r="I523" s="77" t="s">
        <v>78</v>
      </c>
      <c r="J523" s="77" t="s">
        <v>3039</v>
      </c>
      <c r="K523" s="77" t="s">
        <v>80</v>
      </c>
      <c r="L523" s="77" t="s">
        <v>144</v>
      </c>
      <c r="M523" s="77" t="s">
        <v>82</v>
      </c>
      <c r="N523" s="77" t="s">
        <v>83</v>
      </c>
      <c r="Q523" s="77" t="s">
        <v>3047</v>
      </c>
      <c r="S523" s="77" t="s">
        <v>3047</v>
      </c>
      <c r="U523" s="77" t="s">
        <v>85</v>
      </c>
      <c r="V523" s="77" t="s">
        <v>99</v>
      </c>
      <c r="W523" s="79">
        <v>46125.239495254631</v>
      </c>
      <c r="X523" s="77" t="s">
        <v>100</v>
      </c>
      <c r="Y523" s="78" t="s">
        <v>101</v>
      </c>
      <c r="AA523" s="77" t="s">
        <v>113</v>
      </c>
      <c r="AB523" s="77" t="s">
        <v>78</v>
      </c>
      <c r="AC523" s="77" t="s">
        <v>114</v>
      </c>
      <c r="AD523" s="77" t="s">
        <v>102</v>
      </c>
      <c r="AE523" s="77" t="s">
        <v>3048</v>
      </c>
      <c r="AF523" s="77" t="s">
        <v>129</v>
      </c>
      <c r="AG523" s="77" t="s">
        <v>112</v>
      </c>
    </row>
    <row r="524" spans="1:33" hidden="1" x14ac:dyDescent="0.3">
      <c r="A524" s="77" t="s">
        <v>3059</v>
      </c>
      <c r="B524" s="77" t="s">
        <v>146</v>
      </c>
      <c r="G524" s="77" t="s">
        <v>3046</v>
      </c>
      <c r="H524" s="77" t="s">
        <v>77</v>
      </c>
      <c r="I524" s="77" t="s">
        <v>78</v>
      </c>
      <c r="J524" s="77" t="s">
        <v>3039</v>
      </c>
      <c r="K524" s="77" t="s">
        <v>80</v>
      </c>
      <c r="L524" s="77" t="s">
        <v>144</v>
      </c>
      <c r="M524" s="77" t="s">
        <v>82</v>
      </c>
      <c r="N524" s="77" t="s">
        <v>83</v>
      </c>
      <c r="Q524" s="77" t="s">
        <v>3047</v>
      </c>
      <c r="S524" s="77" t="s">
        <v>3047</v>
      </c>
      <c r="U524" s="77" t="s">
        <v>85</v>
      </c>
      <c r="V524" s="77" t="s">
        <v>99</v>
      </c>
      <c r="W524" s="79">
        <v>46125.239782719909</v>
      </c>
      <c r="X524" s="77" t="s">
        <v>100</v>
      </c>
      <c r="Y524" s="78" t="s">
        <v>101</v>
      </c>
      <c r="AA524" s="77" t="s">
        <v>113</v>
      </c>
      <c r="AB524" s="77" t="s">
        <v>78</v>
      </c>
      <c r="AC524" s="77" t="s">
        <v>114</v>
      </c>
      <c r="AD524" s="77" t="s">
        <v>102</v>
      </c>
      <c r="AE524" s="77" t="s">
        <v>3048</v>
      </c>
      <c r="AF524" s="77" t="s">
        <v>129</v>
      </c>
      <c r="AG524" s="77" t="s">
        <v>112</v>
      </c>
    </row>
    <row r="525" spans="1:33" hidden="1" x14ac:dyDescent="0.3">
      <c r="A525" s="77" t="s">
        <v>3060</v>
      </c>
      <c r="B525" s="77" t="s">
        <v>148</v>
      </c>
      <c r="G525" s="77" t="s">
        <v>3046</v>
      </c>
      <c r="H525" s="77" t="s">
        <v>77</v>
      </c>
      <c r="I525" s="77" t="s">
        <v>78</v>
      </c>
      <c r="J525" s="77" t="s">
        <v>3039</v>
      </c>
      <c r="K525" s="77" t="s">
        <v>80</v>
      </c>
      <c r="L525" s="77" t="s">
        <v>144</v>
      </c>
      <c r="M525" s="77" t="s">
        <v>82</v>
      </c>
      <c r="N525" s="77" t="s">
        <v>83</v>
      </c>
      <c r="Q525" s="77" t="s">
        <v>3047</v>
      </c>
      <c r="S525" s="77" t="s">
        <v>3047</v>
      </c>
      <c r="U525" s="77" t="s">
        <v>85</v>
      </c>
      <c r="V525" s="77" t="s">
        <v>99</v>
      </c>
      <c r="W525" s="79">
        <v>46125.240102164353</v>
      </c>
      <c r="X525" s="77" t="s">
        <v>100</v>
      </c>
      <c r="Y525" s="78" t="s">
        <v>101</v>
      </c>
      <c r="AA525" s="77" t="s">
        <v>113</v>
      </c>
      <c r="AB525" s="77" t="s">
        <v>78</v>
      </c>
      <c r="AC525" s="77" t="s">
        <v>114</v>
      </c>
      <c r="AD525" s="77" t="s">
        <v>102</v>
      </c>
      <c r="AE525" s="77" t="s">
        <v>3048</v>
      </c>
      <c r="AF525" s="77" t="s">
        <v>129</v>
      </c>
      <c r="AG525" s="77" t="s">
        <v>112</v>
      </c>
    </row>
    <row r="526" spans="1:33" hidden="1" x14ac:dyDescent="0.3">
      <c r="A526" s="77" t="s">
        <v>3061</v>
      </c>
      <c r="B526" s="77" t="s">
        <v>150</v>
      </c>
      <c r="G526" s="77" t="s">
        <v>3046</v>
      </c>
      <c r="H526" s="77" t="s">
        <v>77</v>
      </c>
      <c r="I526" s="77" t="s">
        <v>78</v>
      </c>
      <c r="J526" s="77" t="s">
        <v>3039</v>
      </c>
      <c r="K526" s="77" t="s">
        <v>80</v>
      </c>
      <c r="L526" s="77" t="s">
        <v>151</v>
      </c>
      <c r="M526" s="77" t="s">
        <v>82</v>
      </c>
      <c r="N526" s="77" t="s">
        <v>83</v>
      </c>
      <c r="Q526" s="77" t="s">
        <v>3047</v>
      </c>
      <c r="S526" s="77" t="s">
        <v>3047</v>
      </c>
      <c r="U526" s="77" t="s">
        <v>85</v>
      </c>
      <c r="V526" s="77" t="s">
        <v>105</v>
      </c>
      <c r="W526" s="79">
        <v>46125.240383761571</v>
      </c>
      <c r="X526" s="77" t="s">
        <v>106</v>
      </c>
      <c r="Y526" s="78" t="s">
        <v>101</v>
      </c>
      <c r="AA526" s="77" t="s">
        <v>113</v>
      </c>
      <c r="AB526" s="77" t="s">
        <v>78</v>
      </c>
      <c r="AC526" s="77" t="s">
        <v>114</v>
      </c>
      <c r="AD526" s="77" t="s">
        <v>102</v>
      </c>
      <c r="AE526" s="77" t="s">
        <v>3048</v>
      </c>
      <c r="AF526" s="77" t="s">
        <v>129</v>
      </c>
      <c r="AG526" s="77" t="s">
        <v>112</v>
      </c>
    </row>
    <row r="527" spans="1:33" hidden="1" x14ac:dyDescent="0.3">
      <c r="A527" s="77" t="s">
        <v>3062</v>
      </c>
      <c r="B527" s="77" t="s">
        <v>153</v>
      </c>
      <c r="G527" s="77" t="s">
        <v>3046</v>
      </c>
      <c r="H527" s="77" t="s">
        <v>77</v>
      </c>
      <c r="I527" s="77" t="s">
        <v>78</v>
      </c>
      <c r="J527" s="77" t="s">
        <v>3039</v>
      </c>
      <c r="K527" s="77" t="s">
        <v>80</v>
      </c>
      <c r="L527" s="77" t="s">
        <v>151</v>
      </c>
      <c r="M527" s="77" t="s">
        <v>82</v>
      </c>
      <c r="N527" s="77" t="s">
        <v>83</v>
      </c>
      <c r="Q527" s="77" t="s">
        <v>3047</v>
      </c>
      <c r="S527" s="77" t="s">
        <v>3047</v>
      </c>
      <c r="U527" s="77" t="s">
        <v>85</v>
      </c>
      <c r="V527" s="77" t="s">
        <v>105</v>
      </c>
      <c r="W527" s="79">
        <v>46125.240733993058</v>
      </c>
      <c r="X527" s="77" t="s">
        <v>106</v>
      </c>
      <c r="Y527" s="78" t="s">
        <v>101</v>
      </c>
      <c r="AA527" s="77" t="s">
        <v>113</v>
      </c>
      <c r="AB527" s="77" t="s">
        <v>78</v>
      </c>
      <c r="AC527" s="77" t="s">
        <v>114</v>
      </c>
      <c r="AD527" s="77" t="s">
        <v>102</v>
      </c>
      <c r="AE527" s="77" t="s">
        <v>3048</v>
      </c>
      <c r="AF527" s="77" t="s">
        <v>129</v>
      </c>
      <c r="AG527" s="77" t="s">
        <v>112</v>
      </c>
    </row>
    <row r="528" spans="1:33" hidden="1" x14ac:dyDescent="0.3">
      <c r="A528" s="77" t="s">
        <v>3063</v>
      </c>
      <c r="B528" s="77" t="s">
        <v>155</v>
      </c>
      <c r="G528" s="77" t="s">
        <v>3046</v>
      </c>
      <c r="H528" s="77" t="s">
        <v>77</v>
      </c>
      <c r="I528" s="77" t="s">
        <v>78</v>
      </c>
      <c r="J528" s="77" t="s">
        <v>3039</v>
      </c>
      <c r="K528" s="77" t="s">
        <v>80</v>
      </c>
      <c r="L528" s="77" t="s">
        <v>151</v>
      </c>
      <c r="M528" s="77" t="s">
        <v>82</v>
      </c>
      <c r="N528" s="77" t="s">
        <v>83</v>
      </c>
      <c r="Q528" s="77" t="s">
        <v>3047</v>
      </c>
      <c r="S528" s="77" t="s">
        <v>3047</v>
      </c>
      <c r="U528" s="77" t="s">
        <v>85</v>
      </c>
      <c r="V528" s="77" t="s">
        <v>105</v>
      </c>
      <c r="W528" s="79">
        <v>46125.24124181713</v>
      </c>
      <c r="X528" s="77" t="s">
        <v>106</v>
      </c>
      <c r="Y528" s="78" t="s">
        <v>101</v>
      </c>
      <c r="AA528" s="77" t="s">
        <v>113</v>
      </c>
      <c r="AB528" s="77" t="s">
        <v>78</v>
      </c>
      <c r="AC528" s="77" t="s">
        <v>114</v>
      </c>
      <c r="AD528" s="77" t="s">
        <v>102</v>
      </c>
      <c r="AE528" s="77" t="s">
        <v>3048</v>
      </c>
      <c r="AF528" s="77" t="s">
        <v>129</v>
      </c>
      <c r="AG528" s="77" t="s">
        <v>112</v>
      </c>
    </row>
    <row r="529" spans="1:33" hidden="1" x14ac:dyDescent="0.3">
      <c r="A529" s="77" t="s">
        <v>3064</v>
      </c>
      <c r="B529" s="77" t="s">
        <v>157</v>
      </c>
      <c r="G529" s="77" t="s">
        <v>3046</v>
      </c>
      <c r="H529" s="77" t="s">
        <v>77</v>
      </c>
      <c r="I529" s="77" t="s">
        <v>78</v>
      </c>
      <c r="J529" s="77" t="s">
        <v>3039</v>
      </c>
      <c r="K529" s="77" t="s">
        <v>80</v>
      </c>
      <c r="L529" s="77" t="s">
        <v>158</v>
      </c>
      <c r="M529" s="77" t="s">
        <v>82</v>
      </c>
      <c r="N529" s="77" t="s">
        <v>83</v>
      </c>
      <c r="Q529" s="77" t="s">
        <v>3047</v>
      </c>
      <c r="S529" s="77" t="s">
        <v>3047</v>
      </c>
      <c r="U529" s="77" t="s">
        <v>85</v>
      </c>
      <c r="V529" s="80" t="s">
        <v>86</v>
      </c>
      <c r="W529" s="79">
        <v>46129.242885798609</v>
      </c>
      <c r="X529" s="77" t="s">
        <v>87</v>
      </c>
      <c r="Y529" s="78" t="s">
        <v>88</v>
      </c>
      <c r="AA529" s="77" t="s">
        <v>113</v>
      </c>
      <c r="AB529" s="77" t="s">
        <v>78</v>
      </c>
      <c r="AC529" s="77" t="s">
        <v>114</v>
      </c>
      <c r="AD529" s="77" t="s">
        <v>91</v>
      </c>
      <c r="AE529" s="77" t="s">
        <v>3048</v>
      </c>
      <c r="AF529" s="77" t="s">
        <v>129</v>
      </c>
      <c r="AG529" s="77" t="s">
        <v>112</v>
      </c>
    </row>
    <row r="530" spans="1:33" hidden="1" x14ac:dyDescent="0.3">
      <c r="A530" s="77" t="s">
        <v>3065</v>
      </c>
      <c r="B530" s="77" t="s">
        <v>160</v>
      </c>
      <c r="G530" s="77" t="s">
        <v>3046</v>
      </c>
      <c r="H530" s="77" t="s">
        <v>77</v>
      </c>
      <c r="I530" s="77" t="s">
        <v>78</v>
      </c>
      <c r="J530" s="77" t="s">
        <v>3039</v>
      </c>
      <c r="K530" s="77" t="s">
        <v>80</v>
      </c>
      <c r="L530" s="77" t="s">
        <v>158</v>
      </c>
      <c r="M530" s="77" t="s">
        <v>82</v>
      </c>
      <c r="N530" s="77" t="s">
        <v>83</v>
      </c>
      <c r="Q530" s="77" t="s">
        <v>3047</v>
      </c>
      <c r="S530" s="77" t="s">
        <v>3047</v>
      </c>
      <c r="U530" s="77" t="s">
        <v>85</v>
      </c>
      <c r="V530" s="80" t="s">
        <v>86</v>
      </c>
      <c r="W530" s="79">
        <v>46129.243199618053</v>
      </c>
      <c r="X530" s="77" t="s">
        <v>87</v>
      </c>
      <c r="Y530" s="78" t="s">
        <v>88</v>
      </c>
      <c r="AA530" s="77" t="s">
        <v>113</v>
      </c>
      <c r="AB530" s="77" t="s">
        <v>78</v>
      </c>
      <c r="AC530" s="77" t="s">
        <v>114</v>
      </c>
      <c r="AD530" s="77" t="s">
        <v>91</v>
      </c>
      <c r="AE530" s="77" t="s">
        <v>3048</v>
      </c>
      <c r="AF530" s="77" t="s">
        <v>129</v>
      </c>
      <c r="AG530" s="77" t="s">
        <v>112</v>
      </c>
    </row>
    <row r="531" spans="1:33" hidden="1" x14ac:dyDescent="0.3">
      <c r="A531" s="77" t="s">
        <v>3066</v>
      </c>
      <c r="B531" s="77" t="s">
        <v>162</v>
      </c>
      <c r="G531" s="77" t="s">
        <v>3046</v>
      </c>
      <c r="H531" s="77" t="s">
        <v>77</v>
      </c>
      <c r="I531" s="77" t="s">
        <v>78</v>
      </c>
      <c r="J531" s="77" t="s">
        <v>3039</v>
      </c>
      <c r="K531" s="77" t="s">
        <v>80</v>
      </c>
      <c r="L531" s="77" t="s">
        <v>158</v>
      </c>
      <c r="M531" s="77" t="s">
        <v>82</v>
      </c>
      <c r="N531" s="77" t="s">
        <v>83</v>
      </c>
      <c r="Q531" s="77" t="s">
        <v>3047</v>
      </c>
      <c r="S531" s="77" t="s">
        <v>3047</v>
      </c>
      <c r="U531" s="77" t="s">
        <v>85</v>
      </c>
      <c r="V531" s="80" t="s">
        <v>86</v>
      </c>
      <c r="W531" s="79">
        <v>46129.243567094905</v>
      </c>
      <c r="X531" s="77" t="s">
        <v>87</v>
      </c>
      <c r="Y531" s="78" t="s">
        <v>88</v>
      </c>
      <c r="AA531" s="77" t="s">
        <v>113</v>
      </c>
      <c r="AB531" s="77" t="s">
        <v>78</v>
      </c>
      <c r="AC531" s="77" t="s">
        <v>114</v>
      </c>
      <c r="AD531" s="77" t="s">
        <v>91</v>
      </c>
      <c r="AE531" s="77" t="s">
        <v>3048</v>
      </c>
      <c r="AF531" s="77" t="s">
        <v>129</v>
      </c>
      <c r="AG531" s="77" t="s">
        <v>112</v>
      </c>
    </row>
    <row r="532" spans="1:33" hidden="1" x14ac:dyDescent="0.3">
      <c r="A532" s="77" t="s">
        <v>3067</v>
      </c>
      <c r="B532" s="77" t="s">
        <v>164</v>
      </c>
      <c r="G532" s="77" t="s">
        <v>3046</v>
      </c>
      <c r="H532" s="77" t="s">
        <v>77</v>
      </c>
      <c r="I532" s="77" t="s">
        <v>78</v>
      </c>
      <c r="J532" s="77" t="s">
        <v>3039</v>
      </c>
      <c r="K532" s="77" t="s">
        <v>80</v>
      </c>
      <c r="L532" s="77" t="s">
        <v>165</v>
      </c>
      <c r="M532" s="77" t="s">
        <v>82</v>
      </c>
      <c r="N532" s="77" t="s">
        <v>83</v>
      </c>
      <c r="Q532" s="77" t="s">
        <v>3047</v>
      </c>
      <c r="S532" s="77" t="s">
        <v>3047</v>
      </c>
      <c r="U532" s="77" t="s">
        <v>85</v>
      </c>
      <c r="V532" s="77" t="s">
        <v>95</v>
      </c>
      <c r="W532" s="79">
        <v>46129.244020104168</v>
      </c>
      <c r="X532" s="77" t="s">
        <v>96</v>
      </c>
      <c r="Y532" s="78" t="s">
        <v>88</v>
      </c>
      <c r="AA532" s="77" t="s">
        <v>113</v>
      </c>
      <c r="AB532" s="77" t="s">
        <v>78</v>
      </c>
      <c r="AC532" s="77" t="s">
        <v>114</v>
      </c>
      <c r="AD532" s="77" t="s">
        <v>91</v>
      </c>
      <c r="AE532" s="77" t="s">
        <v>3048</v>
      </c>
      <c r="AF532" s="77" t="s">
        <v>129</v>
      </c>
      <c r="AG532" s="77" t="s">
        <v>112</v>
      </c>
    </row>
    <row r="533" spans="1:33" hidden="1" x14ac:dyDescent="0.3">
      <c r="A533" s="77" t="s">
        <v>3068</v>
      </c>
      <c r="B533" s="77" t="s">
        <v>167</v>
      </c>
      <c r="G533" s="77" t="s">
        <v>3046</v>
      </c>
      <c r="H533" s="77" t="s">
        <v>77</v>
      </c>
      <c r="I533" s="77" t="s">
        <v>78</v>
      </c>
      <c r="J533" s="77" t="s">
        <v>3039</v>
      </c>
      <c r="K533" s="77" t="s">
        <v>80</v>
      </c>
      <c r="L533" s="77" t="s">
        <v>165</v>
      </c>
      <c r="M533" s="77" t="s">
        <v>82</v>
      </c>
      <c r="N533" s="77" t="s">
        <v>83</v>
      </c>
      <c r="Q533" s="77" t="s">
        <v>3047</v>
      </c>
      <c r="S533" s="77" t="s">
        <v>3047</v>
      </c>
      <c r="U533" s="77" t="s">
        <v>85</v>
      </c>
      <c r="V533" s="77" t="s">
        <v>95</v>
      </c>
      <c r="W533" s="79">
        <v>46129.244327314816</v>
      </c>
      <c r="X533" s="77" t="s">
        <v>96</v>
      </c>
      <c r="Y533" s="78" t="s">
        <v>88</v>
      </c>
      <c r="AA533" s="77" t="s">
        <v>113</v>
      </c>
      <c r="AB533" s="77" t="s">
        <v>78</v>
      </c>
      <c r="AC533" s="77" t="s">
        <v>114</v>
      </c>
      <c r="AD533" s="77" t="s">
        <v>91</v>
      </c>
      <c r="AE533" s="77" t="s">
        <v>3048</v>
      </c>
      <c r="AF533" s="77" t="s">
        <v>129</v>
      </c>
      <c r="AG533" s="77" t="s">
        <v>112</v>
      </c>
    </row>
    <row r="534" spans="1:33" hidden="1" x14ac:dyDescent="0.3">
      <c r="A534" s="77" t="s">
        <v>3069</v>
      </c>
      <c r="B534" s="77" t="s">
        <v>169</v>
      </c>
      <c r="G534" s="77" t="s">
        <v>3046</v>
      </c>
      <c r="H534" s="77" t="s">
        <v>77</v>
      </c>
      <c r="I534" s="77" t="s">
        <v>78</v>
      </c>
      <c r="J534" s="77" t="s">
        <v>3039</v>
      </c>
      <c r="K534" s="77" t="s">
        <v>80</v>
      </c>
      <c r="L534" s="77" t="s">
        <v>165</v>
      </c>
      <c r="M534" s="77" t="s">
        <v>82</v>
      </c>
      <c r="N534" s="77" t="s">
        <v>83</v>
      </c>
      <c r="Q534" s="77" t="s">
        <v>3047</v>
      </c>
      <c r="S534" s="77" t="s">
        <v>3047</v>
      </c>
      <c r="U534" s="77" t="s">
        <v>85</v>
      </c>
      <c r="V534" s="77" t="s">
        <v>95</v>
      </c>
      <c r="W534" s="79">
        <v>46129.24477646991</v>
      </c>
      <c r="X534" s="77" t="s">
        <v>96</v>
      </c>
      <c r="Y534" s="78" t="s">
        <v>88</v>
      </c>
      <c r="AA534" s="77" t="s">
        <v>113</v>
      </c>
      <c r="AB534" s="77" t="s">
        <v>78</v>
      </c>
      <c r="AC534" s="77" t="s">
        <v>114</v>
      </c>
      <c r="AD534" s="77" t="s">
        <v>91</v>
      </c>
      <c r="AE534" s="77" t="s">
        <v>3048</v>
      </c>
      <c r="AF534" s="77" t="s">
        <v>129</v>
      </c>
      <c r="AG534" s="77" t="s">
        <v>112</v>
      </c>
    </row>
    <row r="535" spans="1:33" hidden="1" x14ac:dyDescent="0.3">
      <c r="A535" s="77" t="s">
        <v>3070</v>
      </c>
      <c r="B535" s="77" t="s">
        <v>171</v>
      </c>
      <c r="G535" s="77" t="s">
        <v>3046</v>
      </c>
      <c r="H535" s="77" t="s">
        <v>77</v>
      </c>
      <c r="I535" s="77" t="s">
        <v>78</v>
      </c>
      <c r="J535" s="77" t="s">
        <v>3039</v>
      </c>
      <c r="K535" s="77" t="s">
        <v>80</v>
      </c>
      <c r="L535" s="77" t="s">
        <v>172</v>
      </c>
      <c r="M535" s="77" t="s">
        <v>82</v>
      </c>
      <c r="N535" s="77" t="s">
        <v>83</v>
      </c>
      <c r="Q535" s="77" t="s">
        <v>3047</v>
      </c>
      <c r="S535" s="77" t="s">
        <v>3047</v>
      </c>
      <c r="U535" s="77" t="s">
        <v>85</v>
      </c>
      <c r="V535" s="77" t="s">
        <v>99</v>
      </c>
      <c r="W535" s="79">
        <v>46129.245081018518</v>
      </c>
      <c r="X535" s="77" t="s">
        <v>100</v>
      </c>
      <c r="Y535" s="78" t="s">
        <v>101</v>
      </c>
      <c r="AA535" s="77" t="s">
        <v>113</v>
      </c>
      <c r="AB535" s="77" t="s">
        <v>78</v>
      </c>
      <c r="AC535" s="77" t="s">
        <v>114</v>
      </c>
      <c r="AD535" s="77" t="s">
        <v>102</v>
      </c>
      <c r="AE535" s="77" t="s">
        <v>3048</v>
      </c>
      <c r="AF535" s="77" t="s">
        <v>129</v>
      </c>
      <c r="AG535" s="77" t="s">
        <v>112</v>
      </c>
    </row>
    <row r="536" spans="1:33" hidden="1" x14ac:dyDescent="0.3">
      <c r="A536" s="77" t="s">
        <v>3071</v>
      </c>
      <c r="B536" s="77" t="s">
        <v>174</v>
      </c>
      <c r="G536" s="77" t="s">
        <v>3046</v>
      </c>
      <c r="H536" s="77" t="s">
        <v>77</v>
      </c>
      <c r="I536" s="77" t="s">
        <v>78</v>
      </c>
      <c r="J536" s="77" t="s">
        <v>3039</v>
      </c>
      <c r="K536" s="77" t="s">
        <v>80</v>
      </c>
      <c r="L536" s="77" t="s">
        <v>172</v>
      </c>
      <c r="M536" s="77" t="s">
        <v>82</v>
      </c>
      <c r="N536" s="77" t="s">
        <v>83</v>
      </c>
      <c r="Q536" s="77" t="s">
        <v>3047</v>
      </c>
      <c r="S536" s="77" t="s">
        <v>3047</v>
      </c>
      <c r="U536" s="77" t="s">
        <v>85</v>
      </c>
      <c r="V536" s="77" t="s">
        <v>99</v>
      </c>
      <c r="W536" s="79">
        <v>46129.245372303238</v>
      </c>
      <c r="X536" s="77" t="s">
        <v>100</v>
      </c>
      <c r="Y536" s="78" t="s">
        <v>101</v>
      </c>
      <c r="AA536" s="77" t="s">
        <v>113</v>
      </c>
      <c r="AB536" s="77" t="s">
        <v>78</v>
      </c>
      <c r="AC536" s="77" t="s">
        <v>114</v>
      </c>
      <c r="AD536" s="77" t="s">
        <v>102</v>
      </c>
      <c r="AE536" s="77" t="s">
        <v>3048</v>
      </c>
      <c r="AF536" s="77" t="s">
        <v>129</v>
      </c>
      <c r="AG536" s="77" t="s">
        <v>112</v>
      </c>
    </row>
    <row r="537" spans="1:33" hidden="1" x14ac:dyDescent="0.3">
      <c r="A537" s="77" t="s">
        <v>3072</v>
      </c>
      <c r="B537" s="77" t="s">
        <v>176</v>
      </c>
      <c r="G537" s="77" t="s">
        <v>3046</v>
      </c>
      <c r="H537" s="77" t="s">
        <v>77</v>
      </c>
      <c r="I537" s="77" t="s">
        <v>78</v>
      </c>
      <c r="J537" s="77" t="s">
        <v>3039</v>
      </c>
      <c r="K537" s="77" t="s">
        <v>80</v>
      </c>
      <c r="L537" s="77" t="s">
        <v>172</v>
      </c>
      <c r="M537" s="77" t="s">
        <v>82</v>
      </c>
      <c r="N537" s="77" t="s">
        <v>83</v>
      </c>
      <c r="Q537" s="77" t="s">
        <v>3047</v>
      </c>
      <c r="S537" s="77" t="s">
        <v>3047</v>
      </c>
      <c r="U537" s="77" t="s">
        <v>85</v>
      </c>
      <c r="V537" s="77" t="s">
        <v>99</v>
      </c>
      <c r="W537" s="79">
        <v>46129.245682025467</v>
      </c>
      <c r="X537" s="77" t="s">
        <v>100</v>
      </c>
      <c r="Y537" s="78" t="s">
        <v>101</v>
      </c>
      <c r="AA537" s="77" t="s">
        <v>113</v>
      </c>
      <c r="AB537" s="77" t="s">
        <v>78</v>
      </c>
      <c r="AC537" s="77" t="s">
        <v>114</v>
      </c>
      <c r="AD537" s="77" t="s">
        <v>102</v>
      </c>
      <c r="AE537" s="77" t="s">
        <v>3048</v>
      </c>
      <c r="AF537" s="77" t="s">
        <v>129</v>
      </c>
      <c r="AG537" s="77" t="s">
        <v>112</v>
      </c>
    </row>
    <row r="538" spans="1:33" hidden="1" x14ac:dyDescent="0.3">
      <c r="A538" s="77" t="s">
        <v>3073</v>
      </c>
      <c r="B538" s="77" t="s">
        <v>178</v>
      </c>
      <c r="G538" s="77" t="s">
        <v>3046</v>
      </c>
      <c r="H538" s="77" t="s">
        <v>77</v>
      </c>
      <c r="I538" s="77" t="s">
        <v>78</v>
      </c>
      <c r="J538" s="77" t="s">
        <v>3039</v>
      </c>
      <c r="K538" s="77" t="s">
        <v>80</v>
      </c>
      <c r="L538" s="77" t="s">
        <v>179</v>
      </c>
      <c r="M538" s="77" t="s">
        <v>82</v>
      </c>
      <c r="N538" s="77" t="s">
        <v>83</v>
      </c>
      <c r="Q538" s="77" t="s">
        <v>3047</v>
      </c>
      <c r="S538" s="77" t="s">
        <v>3047</v>
      </c>
      <c r="U538" s="77" t="s">
        <v>85</v>
      </c>
      <c r="V538" s="77" t="s">
        <v>105</v>
      </c>
      <c r="W538" s="79">
        <v>46129.246449918981</v>
      </c>
      <c r="X538" s="77" t="s">
        <v>106</v>
      </c>
      <c r="Y538" s="78" t="s">
        <v>101</v>
      </c>
      <c r="AA538" s="77" t="s">
        <v>113</v>
      </c>
      <c r="AB538" s="77" t="s">
        <v>78</v>
      </c>
      <c r="AC538" s="77" t="s">
        <v>114</v>
      </c>
      <c r="AD538" s="77" t="s">
        <v>102</v>
      </c>
      <c r="AE538" s="77" t="s">
        <v>3048</v>
      </c>
      <c r="AF538" s="77" t="s">
        <v>129</v>
      </c>
      <c r="AG538" s="77" t="s">
        <v>112</v>
      </c>
    </row>
    <row r="539" spans="1:33" hidden="1" x14ac:dyDescent="0.3">
      <c r="A539" s="77" t="s">
        <v>3074</v>
      </c>
      <c r="B539" s="77" t="s">
        <v>181</v>
      </c>
      <c r="G539" s="77" t="s">
        <v>3046</v>
      </c>
      <c r="H539" s="77" t="s">
        <v>77</v>
      </c>
      <c r="I539" s="77" t="s">
        <v>78</v>
      </c>
      <c r="J539" s="77" t="s">
        <v>3039</v>
      </c>
      <c r="K539" s="77" t="s">
        <v>80</v>
      </c>
      <c r="L539" s="77" t="s">
        <v>179</v>
      </c>
      <c r="M539" s="77" t="s">
        <v>82</v>
      </c>
      <c r="N539" s="77" t="s">
        <v>83</v>
      </c>
      <c r="Q539" s="77" t="s">
        <v>3047</v>
      </c>
      <c r="S539" s="77" t="s">
        <v>3047</v>
      </c>
      <c r="U539" s="77" t="s">
        <v>85</v>
      </c>
      <c r="V539" s="77" t="s">
        <v>105</v>
      </c>
      <c r="W539" s="79">
        <v>46129.246813622682</v>
      </c>
      <c r="X539" s="77" t="s">
        <v>106</v>
      </c>
      <c r="Y539" s="78" t="s">
        <v>101</v>
      </c>
      <c r="AA539" s="77" t="s">
        <v>113</v>
      </c>
      <c r="AB539" s="77" t="s">
        <v>78</v>
      </c>
      <c r="AC539" s="77" t="s">
        <v>114</v>
      </c>
      <c r="AD539" s="77" t="s">
        <v>102</v>
      </c>
      <c r="AE539" s="77" t="s">
        <v>3048</v>
      </c>
      <c r="AF539" s="77" t="s">
        <v>129</v>
      </c>
      <c r="AG539" s="77" t="s">
        <v>112</v>
      </c>
    </row>
    <row r="540" spans="1:33" hidden="1" x14ac:dyDescent="0.3">
      <c r="A540" s="77" t="s">
        <v>3075</v>
      </c>
      <c r="B540" s="77" t="s">
        <v>183</v>
      </c>
      <c r="G540" s="77" t="s">
        <v>3046</v>
      </c>
      <c r="H540" s="77" t="s">
        <v>77</v>
      </c>
      <c r="I540" s="77" t="s">
        <v>78</v>
      </c>
      <c r="J540" s="77" t="s">
        <v>3039</v>
      </c>
      <c r="K540" s="77" t="s">
        <v>80</v>
      </c>
      <c r="L540" s="77" t="s">
        <v>179</v>
      </c>
      <c r="M540" s="77" t="s">
        <v>82</v>
      </c>
      <c r="N540" s="77" t="s">
        <v>83</v>
      </c>
      <c r="Q540" s="77" t="s">
        <v>3047</v>
      </c>
      <c r="S540" s="77" t="s">
        <v>3047</v>
      </c>
      <c r="U540" s="77" t="s">
        <v>85</v>
      </c>
      <c r="V540" s="77" t="s">
        <v>105</v>
      </c>
      <c r="W540" s="79">
        <v>46129.247279363422</v>
      </c>
      <c r="X540" s="77" t="s">
        <v>106</v>
      </c>
      <c r="Y540" s="78" t="s">
        <v>101</v>
      </c>
      <c r="AA540" s="77" t="s">
        <v>113</v>
      </c>
      <c r="AB540" s="77" t="s">
        <v>78</v>
      </c>
      <c r="AC540" s="77" t="s">
        <v>114</v>
      </c>
      <c r="AD540" s="77" t="s">
        <v>102</v>
      </c>
      <c r="AE540" s="77" t="s">
        <v>3048</v>
      </c>
      <c r="AF540" s="77" t="s">
        <v>129</v>
      </c>
      <c r="AG540" s="77" t="s">
        <v>112</v>
      </c>
    </row>
    <row r="541" spans="1:33" x14ac:dyDescent="0.3">
      <c r="A541" s="77" t="s">
        <v>3076</v>
      </c>
      <c r="B541" s="77" t="s">
        <v>185</v>
      </c>
      <c r="G541" s="77" t="s">
        <v>3077</v>
      </c>
      <c r="H541" s="77" t="s">
        <v>77</v>
      </c>
      <c r="I541" s="77" t="s">
        <v>78</v>
      </c>
      <c r="J541" s="77" t="s">
        <v>3039</v>
      </c>
      <c r="K541" s="77" t="s">
        <v>80</v>
      </c>
      <c r="L541" s="77" t="s">
        <v>187</v>
      </c>
      <c r="M541" s="77" t="s">
        <v>82</v>
      </c>
      <c r="N541" s="77" t="s">
        <v>83</v>
      </c>
      <c r="Q541" s="77" t="s">
        <v>111</v>
      </c>
      <c r="S541" s="77" t="s">
        <v>111</v>
      </c>
      <c r="U541" s="77" t="s">
        <v>85</v>
      </c>
      <c r="V541" s="80" t="s">
        <v>189</v>
      </c>
      <c r="X541" s="77" t="s">
        <v>190</v>
      </c>
      <c r="Y541" s="78" t="s">
        <v>88</v>
      </c>
      <c r="AA541" s="77" t="s">
        <v>191</v>
      </c>
      <c r="AB541" s="77" t="s">
        <v>78</v>
      </c>
      <c r="AC541" s="77" t="s">
        <v>90</v>
      </c>
      <c r="AD541" s="77" t="s">
        <v>91</v>
      </c>
      <c r="AE541" s="77" t="s">
        <v>3078</v>
      </c>
    </row>
    <row r="542" spans="1:33" x14ac:dyDescent="0.3">
      <c r="A542" s="77" t="s">
        <v>3079</v>
      </c>
      <c r="B542" s="77" t="s">
        <v>194</v>
      </c>
      <c r="G542" s="77" t="s">
        <v>3077</v>
      </c>
      <c r="H542" s="77" t="s">
        <v>77</v>
      </c>
      <c r="I542" s="77" t="s">
        <v>78</v>
      </c>
      <c r="J542" s="77" t="s">
        <v>3039</v>
      </c>
      <c r="K542" s="77" t="s">
        <v>80</v>
      </c>
      <c r="L542" s="77" t="s">
        <v>195</v>
      </c>
      <c r="M542" s="77" t="s">
        <v>82</v>
      </c>
      <c r="N542" s="77" t="s">
        <v>83</v>
      </c>
      <c r="Q542" s="77" t="s">
        <v>111</v>
      </c>
      <c r="S542" s="77" t="s">
        <v>111</v>
      </c>
      <c r="U542" s="77" t="s">
        <v>85</v>
      </c>
      <c r="V542" s="80" t="s">
        <v>196</v>
      </c>
      <c r="X542" s="77" t="s">
        <v>197</v>
      </c>
      <c r="Y542" s="78" t="s">
        <v>88</v>
      </c>
      <c r="AA542" s="77" t="s">
        <v>191</v>
      </c>
      <c r="AB542" s="77" t="s">
        <v>78</v>
      </c>
      <c r="AC542" s="77" t="s">
        <v>90</v>
      </c>
      <c r="AD542" s="77" t="s">
        <v>91</v>
      </c>
      <c r="AE542" s="77" t="s">
        <v>3078</v>
      </c>
    </row>
    <row r="543" spans="1:33" x14ac:dyDescent="0.3">
      <c r="A543" s="77" t="s">
        <v>3080</v>
      </c>
      <c r="B543" s="77" t="s">
        <v>199</v>
      </c>
      <c r="G543" s="77" t="s">
        <v>3077</v>
      </c>
      <c r="H543" s="77" t="s">
        <v>77</v>
      </c>
      <c r="I543" s="77" t="s">
        <v>78</v>
      </c>
      <c r="J543" s="77" t="s">
        <v>3039</v>
      </c>
      <c r="K543" s="77" t="s">
        <v>80</v>
      </c>
      <c r="L543" s="77" t="s">
        <v>200</v>
      </c>
      <c r="M543" s="77" t="s">
        <v>82</v>
      </c>
      <c r="N543" s="77" t="s">
        <v>83</v>
      </c>
      <c r="Q543" s="77" t="s">
        <v>111</v>
      </c>
      <c r="S543" s="77" t="s">
        <v>111</v>
      </c>
      <c r="U543" s="77" t="s">
        <v>85</v>
      </c>
      <c r="V543" s="80" t="s">
        <v>201</v>
      </c>
      <c r="X543" s="77" t="s">
        <v>202</v>
      </c>
      <c r="Y543" s="78" t="s">
        <v>101</v>
      </c>
      <c r="AA543" s="77" t="s">
        <v>191</v>
      </c>
      <c r="AB543" s="77" t="s">
        <v>78</v>
      </c>
      <c r="AC543" s="77" t="s">
        <v>90</v>
      </c>
      <c r="AD543" s="77" t="s">
        <v>102</v>
      </c>
      <c r="AE543" s="77" t="s">
        <v>3078</v>
      </c>
    </row>
    <row r="544" spans="1:33" x14ac:dyDescent="0.3">
      <c r="A544" s="77" t="s">
        <v>3081</v>
      </c>
      <c r="B544" s="77" t="s">
        <v>204</v>
      </c>
      <c r="G544" s="77" t="s">
        <v>3077</v>
      </c>
      <c r="H544" s="77" t="s">
        <v>77</v>
      </c>
      <c r="I544" s="77" t="s">
        <v>78</v>
      </c>
      <c r="J544" s="77" t="s">
        <v>3039</v>
      </c>
      <c r="K544" s="77" t="s">
        <v>80</v>
      </c>
      <c r="L544" s="77" t="s">
        <v>205</v>
      </c>
      <c r="M544" s="77" t="s">
        <v>82</v>
      </c>
      <c r="N544" s="77" t="s">
        <v>83</v>
      </c>
      <c r="Q544" s="77" t="s">
        <v>111</v>
      </c>
      <c r="S544" s="77" t="s">
        <v>111</v>
      </c>
      <c r="U544" s="77" t="s">
        <v>85</v>
      </c>
      <c r="V544" s="80" t="s">
        <v>206</v>
      </c>
      <c r="X544" s="77" t="s">
        <v>207</v>
      </c>
      <c r="Y544" s="78" t="s">
        <v>101</v>
      </c>
      <c r="AA544" s="77" t="s">
        <v>191</v>
      </c>
      <c r="AB544" s="77" t="s">
        <v>78</v>
      </c>
      <c r="AC544" s="77" t="s">
        <v>90</v>
      </c>
      <c r="AD544" s="77" t="s">
        <v>102</v>
      </c>
      <c r="AE544" s="77" t="s">
        <v>3078</v>
      </c>
    </row>
    <row r="545" spans="1:32" x14ac:dyDescent="0.3">
      <c r="A545" s="77" t="s">
        <v>3082</v>
      </c>
      <c r="B545" s="77" t="s">
        <v>209</v>
      </c>
      <c r="G545" s="77" t="s">
        <v>3077</v>
      </c>
      <c r="H545" s="77" t="s">
        <v>77</v>
      </c>
      <c r="I545" s="77" t="s">
        <v>78</v>
      </c>
      <c r="J545" s="77" t="s">
        <v>3039</v>
      </c>
      <c r="K545" s="77" t="s">
        <v>80</v>
      </c>
      <c r="L545" s="77" t="s">
        <v>210</v>
      </c>
      <c r="M545" s="77" t="s">
        <v>82</v>
      </c>
      <c r="N545" s="77" t="s">
        <v>83</v>
      </c>
      <c r="Q545" s="77" t="s">
        <v>111</v>
      </c>
      <c r="S545" s="77" t="s">
        <v>111</v>
      </c>
      <c r="U545" s="77" t="s">
        <v>85</v>
      </c>
      <c r="V545" s="80" t="s">
        <v>211</v>
      </c>
      <c r="X545" s="77" t="s">
        <v>212</v>
      </c>
      <c r="Y545" s="78" t="s">
        <v>88</v>
      </c>
      <c r="AA545" s="77" t="s">
        <v>191</v>
      </c>
      <c r="AB545" s="77" t="s">
        <v>78</v>
      </c>
      <c r="AC545" s="77" t="s">
        <v>90</v>
      </c>
      <c r="AD545" s="77" t="s">
        <v>91</v>
      </c>
      <c r="AE545" s="77" t="s">
        <v>3078</v>
      </c>
    </row>
    <row r="546" spans="1:32" x14ac:dyDescent="0.3">
      <c r="A546" s="77" t="s">
        <v>3083</v>
      </c>
      <c r="B546" s="77" t="s">
        <v>214</v>
      </c>
      <c r="G546" s="77" t="s">
        <v>3077</v>
      </c>
      <c r="H546" s="77" t="s">
        <v>77</v>
      </c>
      <c r="I546" s="77" t="s">
        <v>78</v>
      </c>
      <c r="J546" s="77" t="s">
        <v>3039</v>
      </c>
      <c r="K546" s="77" t="s">
        <v>80</v>
      </c>
      <c r="L546" s="77" t="s">
        <v>215</v>
      </c>
      <c r="M546" s="77" t="s">
        <v>82</v>
      </c>
      <c r="N546" s="77" t="s">
        <v>83</v>
      </c>
      <c r="Q546" s="77" t="s">
        <v>111</v>
      </c>
      <c r="S546" s="77" t="s">
        <v>111</v>
      </c>
      <c r="U546" s="77" t="s">
        <v>85</v>
      </c>
      <c r="V546" s="80" t="s">
        <v>216</v>
      </c>
      <c r="X546" s="77" t="s">
        <v>217</v>
      </c>
      <c r="Y546" s="78" t="s">
        <v>88</v>
      </c>
      <c r="AA546" s="77" t="s">
        <v>191</v>
      </c>
      <c r="AB546" s="77" t="s">
        <v>78</v>
      </c>
      <c r="AC546" s="77" t="s">
        <v>90</v>
      </c>
      <c r="AD546" s="77" t="s">
        <v>91</v>
      </c>
      <c r="AE546" s="77" t="s">
        <v>3078</v>
      </c>
    </row>
    <row r="547" spans="1:32" x14ac:dyDescent="0.3">
      <c r="A547" s="77" t="s">
        <v>3084</v>
      </c>
      <c r="B547" s="77" t="s">
        <v>219</v>
      </c>
      <c r="G547" s="77" t="s">
        <v>3077</v>
      </c>
      <c r="H547" s="77" t="s">
        <v>77</v>
      </c>
      <c r="I547" s="77" t="s">
        <v>78</v>
      </c>
      <c r="J547" s="77" t="s">
        <v>3039</v>
      </c>
      <c r="K547" s="77" t="s">
        <v>80</v>
      </c>
      <c r="L547" s="77" t="s">
        <v>220</v>
      </c>
      <c r="M547" s="77" t="s">
        <v>82</v>
      </c>
      <c r="N547" s="77" t="s">
        <v>83</v>
      </c>
      <c r="Q547" s="77" t="s">
        <v>111</v>
      </c>
      <c r="S547" s="77" t="s">
        <v>111</v>
      </c>
      <c r="U547" s="77" t="s">
        <v>85</v>
      </c>
      <c r="V547" s="80" t="s">
        <v>221</v>
      </c>
      <c r="X547" s="77" t="s">
        <v>222</v>
      </c>
      <c r="Y547" s="78" t="s">
        <v>101</v>
      </c>
      <c r="AA547" s="77" t="s">
        <v>191</v>
      </c>
      <c r="AB547" s="77" t="s">
        <v>78</v>
      </c>
      <c r="AC547" s="77" t="s">
        <v>90</v>
      </c>
      <c r="AD547" s="77" t="s">
        <v>102</v>
      </c>
      <c r="AE547" s="77" t="s">
        <v>3078</v>
      </c>
    </row>
    <row r="548" spans="1:32" x14ac:dyDescent="0.3">
      <c r="A548" s="77" t="s">
        <v>3085</v>
      </c>
      <c r="B548" s="77" t="s">
        <v>224</v>
      </c>
      <c r="G548" s="77" t="s">
        <v>3077</v>
      </c>
      <c r="H548" s="77" t="s">
        <v>77</v>
      </c>
      <c r="I548" s="77" t="s">
        <v>78</v>
      </c>
      <c r="J548" s="77" t="s">
        <v>3039</v>
      </c>
      <c r="K548" s="77" t="s">
        <v>80</v>
      </c>
      <c r="L548" s="77" t="s">
        <v>225</v>
      </c>
      <c r="M548" s="77" t="s">
        <v>82</v>
      </c>
      <c r="N548" s="77" t="s">
        <v>83</v>
      </c>
      <c r="Q548" s="77" t="s">
        <v>111</v>
      </c>
      <c r="S548" s="77" t="s">
        <v>111</v>
      </c>
      <c r="U548" s="77" t="s">
        <v>85</v>
      </c>
      <c r="V548" s="80" t="s">
        <v>226</v>
      </c>
      <c r="X548" s="77" t="s">
        <v>227</v>
      </c>
      <c r="Y548" s="78" t="s">
        <v>101</v>
      </c>
      <c r="AA548" s="77" t="s">
        <v>191</v>
      </c>
      <c r="AB548" s="77" t="s">
        <v>78</v>
      </c>
      <c r="AC548" s="77" t="s">
        <v>90</v>
      </c>
      <c r="AD548" s="77" t="s">
        <v>102</v>
      </c>
      <c r="AE548" s="77" t="s">
        <v>3078</v>
      </c>
    </row>
    <row r="549" spans="1:32" hidden="1" x14ac:dyDescent="0.3">
      <c r="A549" s="77" t="s">
        <v>3086</v>
      </c>
      <c r="B549" s="77" t="s">
        <v>229</v>
      </c>
      <c r="G549" s="77" t="s">
        <v>3077</v>
      </c>
      <c r="H549" s="77" t="s">
        <v>77</v>
      </c>
      <c r="I549" s="77" t="s">
        <v>78</v>
      </c>
      <c r="J549" s="77" t="s">
        <v>3039</v>
      </c>
      <c r="K549" s="77" t="s">
        <v>80</v>
      </c>
      <c r="L549" s="77" t="s">
        <v>230</v>
      </c>
      <c r="M549" s="77" t="s">
        <v>82</v>
      </c>
      <c r="N549" s="77" t="s">
        <v>83</v>
      </c>
      <c r="Q549" s="77" t="s">
        <v>111</v>
      </c>
      <c r="S549" s="77" t="s">
        <v>111</v>
      </c>
      <c r="U549" s="77" t="s">
        <v>85</v>
      </c>
      <c r="V549" s="77" t="s">
        <v>231</v>
      </c>
      <c r="W549" s="79">
        <v>46192.178282719906</v>
      </c>
      <c r="X549" s="77" t="s">
        <v>232</v>
      </c>
      <c r="Y549" s="78" t="s">
        <v>88</v>
      </c>
      <c r="AA549" s="77" t="s">
        <v>191</v>
      </c>
      <c r="AB549" s="77" t="s">
        <v>78</v>
      </c>
      <c r="AC549" s="77" t="s">
        <v>114</v>
      </c>
      <c r="AD549" s="77" t="s">
        <v>91</v>
      </c>
      <c r="AE549" s="77" t="s">
        <v>3078</v>
      </c>
      <c r="AF549" s="77" t="s">
        <v>2706</v>
      </c>
    </row>
    <row r="550" spans="1:32" hidden="1" x14ac:dyDescent="0.3">
      <c r="A550" s="77" t="s">
        <v>3087</v>
      </c>
      <c r="B550" s="77" t="s">
        <v>234</v>
      </c>
      <c r="G550" s="77" t="s">
        <v>3077</v>
      </c>
      <c r="H550" s="77" t="s">
        <v>77</v>
      </c>
      <c r="I550" s="77" t="s">
        <v>78</v>
      </c>
      <c r="J550" s="77" t="s">
        <v>3039</v>
      </c>
      <c r="K550" s="77" t="s">
        <v>80</v>
      </c>
      <c r="L550" s="77" t="s">
        <v>230</v>
      </c>
      <c r="M550" s="77" t="s">
        <v>82</v>
      </c>
      <c r="N550" s="77" t="s">
        <v>83</v>
      </c>
      <c r="Q550" s="77" t="s">
        <v>111</v>
      </c>
      <c r="S550" s="77" t="s">
        <v>111</v>
      </c>
      <c r="U550" s="77" t="s">
        <v>85</v>
      </c>
      <c r="V550" s="77" t="s">
        <v>231</v>
      </c>
      <c r="W550" s="79">
        <v>46192.178670370369</v>
      </c>
      <c r="X550" s="77" t="s">
        <v>232</v>
      </c>
      <c r="Y550" s="78" t="s">
        <v>88</v>
      </c>
      <c r="AA550" s="77" t="s">
        <v>191</v>
      </c>
      <c r="AB550" s="77" t="s">
        <v>78</v>
      </c>
      <c r="AC550" s="77" t="s">
        <v>114</v>
      </c>
      <c r="AD550" s="77" t="s">
        <v>91</v>
      </c>
      <c r="AE550" s="77" t="s">
        <v>3078</v>
      </c>
      <c r="AF550" s="77" t="s">
        <v>2706</v>
      </c>
    </row>
    <row r="551" spans="1:32" hidden="1" x14ac:dyDescent="0.3">
      <c r="A551" s="77" t="s">
        <v>3088</v>
      </c>
      <c r="B551" s="77" t="s">
        <v>236</v>
      </c>
      <c r="G551" s="77" t="s">
        <v>3077</v>
      </c>
      <c r="H551" s="77" t="s">
        <v>77</v>
      </c>
      <c r="I551" s="77" t="s">
        <v>78</v>
      </c>
      <c r="J551" s="77" t="s">
        <v>3039</v>
      </c>
      <c r="K551" s="77" t="s">
        <v>80</v>
      </c>
      <c r="L551" s="77" t="s">
        <v>237</v>
      </c>
      <c r="M551" s="77" t="s">
        <v>82</v>
      </c>
      <c r="N551" s="77" t="s">
        <v>83</v>
      </c>
      <c r="Q551" s="77" t="s">
        <v>111</v>
      </c>
      <c r="S551" s="77" t="s">
        <v>111</v>
      </c>
      <c r="U551" s="77" t="s">
        <v>85</v>
      </c>
      <c r="V551" s="80" t="s">
        <v>238</v>
      </c>
      <c r="W551" s="79">
        <v>46200.373973229165</v>
      </c>
      <c r="X551" s="77" t="s">
        <v>239</v>
      </c>
      <c r="Y551" s="78" t="s">
        <v>88</v>
      </c>
      <c r="AA551" s="77" t="s">
        <v>191</v>
      </c>
      <c r="AB551" s="77" t="s">
        <v>78</v>
      </c>
      <c r="AC551" s="77" t="s">
        <v>114</v>
      </c>
      <c r="AD551" s="77" t="s">
        <v>91</v>
      </c>
      <c r="AE551" s="77" t="s">
        <v>3078</v>
      </c>
      <c r="AF551" s="77" t="s">
        <v>2706</v>
      </c>
    </row>
    <row r="552" spans="1:32" hidden="1" x14ac:dyDescent="0.3">
      <c r="A552" s="77" t="s">
        <v>3089</v>
      </c>
      <c r="B552" s="77" t="s">
        <v>241</v>
      </c>
      <c r="G552" s="77" t="s">
        <v>3077</v>
      </c>
      <c r="H552" s="77" t="s">
        <v>77</v>
      </c>
      <c r="I552" s="77" t="s">
        <v>78</v>
      </c>
      <c r="J552" s="77" t="s">
        <v>3039</v>
      </c>
      <c r="K552" s="77" t="s">
        <v>80</v>
      </c>
      <c r="L552" s="77" t="s">
        <v>237</v>
      </c>
      <c r="M552" s="77" t="s">
        <v>82</v>
      </c>
      <c r="N552" s="77" t="s">
        <v>83</v>
      </c>
      <c r="Q552" s="77" t="s">
        <v>111</v>
      </c>
      <c r="S552" s="77" t="s">
        <v>111</v>
      </c>
      <c r="U552" s="77" t="s">
        <v>85</v>
      </c>
      <c r="V552" s="80" t="s">
        <v>238</v>
      </c>
      <c r="W552" s="79">
        <v>46200.377707638887</v>
      </c>
      <c r="X552" s="77" t="s">
        <v>239</v>
      </c>
      <c r="Y552" s="78" t="s">
        <v>88</v>
      </c>
      <c r="AA552" s="77" t="s">
        <v>191</v>
      </c>
      <c r="AB552" s="77" t="s">
        <v>78</v>
      </c>
      <c r="AC552" s="77" t="s">
        <v>114</v>
      </c>
      <c r="AD552" s="77" t="s">
        <v>91</v>
      </c>
      <c r="AE552" s="77" t="s">
        <v>3078</v>
      </c>
      <c r="AF552" s="77" t="s">
        <v>2706</v>
      </c>
    </row>
    <row r="553" spans="1:32" hidden="1" x14ac:dyDescent="0.3">
      <c r="A553" s="77" t="s">
        <v>3090</v>
      </c>
      <c r="B553" s="77" t="s">
        <v>243</v>
      </c>
      <c r="G553" s="77" t="s">
        <v>3077</v>
      </c>
      <c r="H553" s="77" t="s">
        <v>77</v>
      </c>
      <c r="I553" s="77" t="s">
        <v>78</v>
      </c>
      <c r="J553" s="77" t="s">
        <v>3039</v>
      </c>
      <c r="K553" s="77" t="s">
        <v>80</v>
      </c>
      <c r="L553" s="77" t="s">
        <v>244</v>
      </c>
      <c r="M553" s="77" t="s">
        <v>82</v>
      </c>
      <c r="N553" s="77" t="s">
        <v>83</v>
      </c>
      <c r="Q553" s="77" t="s">
        <v>111</v>
      </c>
      <c r="S553" s="77" t="s">
        <v>111</v>
      </c>
      <c r="U553" s="77" t="s">
        <v>85</v>
      </c>
      <c r="V553" s="77" t="s">
        <v>245</v>
      </c>
      <c r="W553" s="79">
        <v>46200.391686608797</v>
      </c>
      <c r="X553" s="77" t="s">
        <v>246</v>
      </c>
      <c r="Y553" s="78" t="s">
        <v>88</v>
      </c>
      <c r="AA553" s="77" t="s">
        <v>191</v>
      </c>
      <c r="AB553" s="77" t="s">
        <v>78</v>
      </c>
      <c r="AC553" s="77" t="s">
        <v>114</v>
      </c>
      <c r="AD553" s="77" t="s">
        <v>91</v>
      </c>
      <c r="AE553" s="77" t="s">
        <v>3078</v>
      </c>
      <c r="AF553" s="77" t="s">
        <v>2706</v>
      </c>
    </row>
    <row r="554" spans="1:32" hidden="1" x14ac:dyDescent="0.3">
      <c r="A554" s="77" t="s">
        <v>3091</v>
      </c>
      <c r="B554" s="77" t="s">
        <v>248</v>
      </c>
      <c r="G554" s="77" t="s">
        <v>3077</v>
      </c>
      <c r="H554" s="77" t="s">
        <v>77</v>
      </c>
      <c r="I554" s="77" t="s">
        <v>78</v>
      </c>
      <c r="J554" s="77" t="s">
        <v>3039</v>
      </c>
      <c r="K554" s="77" t="s">
        <v>80</v>
      </c>
      <c r="L554" s="77" t="s">
        <v>244</v>
      </c>
      <c r="M554" s="77" t="s">
        <v>82</v>
      </c>
      <c r="N554" s="77" t="s">
        <v>83</v>
      </c>
      <c r="Q554" s="77" t="s">
        <v>111</v>
      </c>
      <c r="S554" s="77" t="s">
        <v>111</v>
      </c>
      <c r="U554" s="77" t="s">
        <v>85</v>
      </c>
      <c r="V554" s="77" t="s">
        <v>245</v>
      </c>
      <c r="W554" s="79">
        <v>46200.392640358798</v>
      </c>
      <c r="X554" s="77" t="s">
        <v>246</v>
      </c>
      <c r="Y554" s="78" t="s">
        <v>88</v>
      </c>
      <c r="AA554" s="77" t="s">
        <v>191</v>
      </c>
      <c r="AB554" s="77" t="s">
        <v>78</v>
      </c>
      <c r="AC554" s="77" t="s">
        <v>114</v>
      </c>
      <c r="AD554" s="77" t="s">
        <v>91</v>
      </c>
      <c r="AE554" s="77" t="s">
        <v>3078</v>
      </c>
      <c r="AF554" s="77" t="s">
        <v>2706</v>
      </c>
    </row>
    <row r="555" spans="1:32" hidden="1" x14ac:dyDescent="0.3">
      <c r="A555" s="77" t="s">
        <v>3092</v>
      </c>
      <c r="B555" s="77" t="s">
        <v>250</v>
      </c>
      <c r="G555" s="77" t="s">
        <v>3077</v>
      </c>
      <c r="H555" s="77" t="s">
        <v>77</v>
      </c>
      <c r="I555" s="77" t="s">
        <v>78</v>
      </c>
      <c r="J555" s="77" t="s">
        <v>3039</v>
      </c>
      <c r="K555" s="77" t="s">
        <v>80</v>
      </c>
      <c r="L555" s="77" t="s">
        <v>251</v>
      </c>
      <c r="M555" s="77" t="s">
        <v>82</v>
      </c>
      <c r="N555" s="77" t="s">
        <v>83</v>
      </c>
      <c r="Q555" s="77" t="s">
        <v>111</v>
      </c>
      <c r="S555" s="77" t="s">
        <v>111</v>
      </c>
      <c r="U555" s="77" t="s">
        <v>85</v>
      </c>
      <c r="V555" s="77" t="s">
        <v>252</v>
      </c>
      <c r="W555" s="79">
        <v>46214.568302511572</v>
      </c>
      <c r="X555" s="77" t="s">
        <v>253</v>
      </c>
      <c r="Y555" s="78" t="s">
        <v>101</v>
      </c>
      <c r="AA555" s="77" t="s">
        <v>191</v>
      </c>
      <c r="AB555" s="77" t="s">
        <v>78</v>
      </c>
      <c r="AC555" s="77" t="s">
        <v>114</v>
      </c>
      <c r="AD555" s="77" t="s">
        <v>102</v>
      </c>
      <c r="AE555" s="77" t="s">
        <v>3078</v>
      </c>
      <c r="AF555" s="77" t="s">
        <v>2706</v>
      </c>
    </row>
    <row r="556" spans="1:32" hidden="1" x14ac:dyDescent="0.3">
      <c r="A556" s="77" t="s">
        <v>3093</v>
      </c>
      <c r="B556" s="77" t="s">
        <v>255</v>
      </c>
      <c r="G556" s="77" t="s">
        <v>3077</v>
      </c>
      <c r="H556" s="77" t="s">
        <v>77</v>
      </c>
      <c r="I556" s="77" t="s">
        <v>78</v>
      </c>
      <c r="J556" s="77" t="s">
        <v>3039</v>
      </c>
      <c r="K556" s="77" t="s">
        <v>80</v>
      </c>
      <c r="L556" s="77" t="s">
        <v>251</v>
      </c>
      <c r="M556" s="77" t="s">
        <v>82</v>
      </c>
      <c r="N556" s="77" t="s">
        <v>83</v>
      </c>
      <c r="Q556" s="77" t="s">
        <v>111</v>
      </c>
      <c r="S556" s="77" t="s">
        <v>111</v>
      </c>
      <c r="U556" s="77" t="s">
        <v>85</v>
      </c>
      <c r="V556" s="77" t="s">
        <v>252</v>
      </c>
      <c r="W556" s="79">
        <v>46214.569515162038</v>
      </c>
      <c r="X556" s="77" t="s">
        <v>253</v>
      </c>
      <c r="Y556" s="78" t="s">
        <v>101</v>
      </c>
      <c r="AA556" s="77" t="s">
        <v>191</v>
      </c>
      <c r="AB556" s="77" t="s">
        <v>78</v>
      </c>
      <c r="AC556" s="77" t="s">
        <v>114</v>
      </c>
      <c r="AD556" s="77" t="s">
        <v>102</v>
      </c>
      <c r="AE556" s="77" t="s">
        <v>3078</v>
      </c>
      <c r="AF556" s="77" t="s">
        <v>2706</v>
      </c>
    </row>
    <row r="557" spans="1:32" hidden="1" x14ac:dyDescent="0.3">
      <c r="A557" s="77" t="s">
        <v>3094</v>
      </c>
      <c r="B557" s="77" t="s">
        <v>257</v>
      </c>
      <c r="G557" s="77" t="s">
        <v>3077</v>
      </c>
      <c r="H557" s="77" t="s">
        <v>77</v>
      </c>
      <c r="I557" s="77" t="s">
        <v>78</v>
      </c>
      <c r="J557" s="77" t="s">
        <v>3039</v>
      </c>
      <c r="K557" s="77" t="s">
        <v>80</v>
      </c>
      <c r="L557" s="77" t="s">
        <v>258</v>
      </c>
      <c r="M557" s="77" t="s">
        <v>82</v>
      </c>
      <c r="N557" s="77" t="s">
        <v>83</v>
      </c>
      <c r="Q557" s="77" t="s">
        <v>111</v>
      </c>
      <c r="S557" s="77" t="s">
        <v>111</v>
      </c>
      <c r="U557" s="77" t="s">
        <v>85</v>
      </c>
      <c r="V557" s="77" t="s">
        <v>259</v>
      </c>
      <c r="W557" s="79">
        <v>46184.221332488429</v>
      </c>
      <c r="X557" s="77" t="s">
        <v>260</v>
      </c>
      <c r="Y557" s="78" t="s">
        <v>101</v>
      </c>
      <c r="AA557" s="77" t="s">
        <v>191</v>
      </c>
      <c r="AB557" s="77" t="s">
        <v>78</v>
      </c>
      <c r="AC557" s="77" t="s">
        <v>114</v>
      </c>
      <c r="AD557" s="77" t="s">
        <v>102</v>
      </c>
      <c r="AE557" s="77" t="s">
        <v>3078</v>
      </c>
      <c r="AF557" s="77" t="s">
        <v>2706</v>
      </c>
    </row>
    <row r="558" spans="1:32" hidden="1" x14ac:dyDescent="0.3">
      <c r="A558" s="77" t="s">
        <v>3095</v>
      </c>
      <c r="B558" s="77" t="s">
        <v>262</v>
      </c>
      <c r="G558" s="77" t="s">
        <v>3077</v>
      </c>
      <c r="H558" s="77" t="s">
        <v>77</v>
      </c>
      <c r="I558" s="77" t="s">
        <v>78</v>
      </c>
      <c r="J558" s="77" t="s">
        <v>3039</v>
      </c>
      <c r="K558" s="77" t="s">
        <v>80</v>
      </c>
      <c r="L558" s="77" t="s">
        <v>258</v>
      </c>
      <c r="M558" s="77" t="s">
        <v>82</v>
      </c>
      <c r="N558" s="77" t="s">
        <v>83</v>
      </c>
      <c r="Q558" s="77" t="s">
        <v>111</v>
      </c>
      <c r="S558" s="77" t="s">
        <v>111</v>
      </c>
      <c r="U558" s="77" t="s">
        <v>85</v>
      </c>
      <c r="V558" s="77" t="s">
        <v>259</v>
      </c>
      <c r="W558" s="79">
        <v>46184.221688229169</v>
      </c>
      <c r="X558" s="77" t="s">
        <v>260</v>
      </c>
      <c r="Y558" s="78" t="s">
        <v>101</v>
      </c>
      <c r="AA558" s="77" t="s">
        <v>191</v>
      </c>
      <c r="AB558" s="77" t="s">
        <v>78</v>
      </c>
      <c r="AC558" s="77" t="s">
        <v>114</v>
      </c>
      <c r="AD558" s="77" t="s">
        <v>102</v>
      </c>
      <c r="AE558" s="77" t="s">
        <v>3078</v>
      </c>
      <c r="AF558" s="77" t="s">
        <v>2706</v>
      </c>
    </row>
    <row r="559" spans="1:32" hidden="1" x14ac:dyDescent="0.3">
      <c r="A559" s="77" t="s">
        <v>3096</v>
      </c>
      <c r="B559" s="77" t="s">
        <v>264</v>
      </c>
      <c r="G559" s="77" t="s">
        <v>3077</v>
      </c>
      <c r="H559" s="77" t="s">
        <v>77</v>
      </c>
      <c r="I559" s="77" t="s">
        <v>78</v>
      </c>
      <c r="J559" s="77" t="s">
        <v>3039</v>
      </c>
      <c r="K559" s="77" t="s">
        <v>80</v>
      </c>
      <c r="L559" s="77" t="s">
        <v>265</v>
      </c>
      <c r="M559" s="77" t="s">
        <v>82</v>
      </c>
      <c r="N559" s="77" t="s">
        <v>83</v>
      </c>
      <c r="Q559" s="77" t="s">
        <v>111</v>
      </c>
      <c r="S559" s="77" t="s">
        <v>111</v>
      </c>
      <c r="U559" s="77" t="s">
        <v>85</v>
      </c>
      <c r="V559" s="77" t="s">
        <v>211</v>
      </c>
      <c r="W559" s="79">
        <v>46214.36663271991</v>
      </c>
      <c r="X559" s="77" t="s">
        <v>212</v>
      </c>
      <c r="Y559" s="78" t="s">
        <v>88</v>
      </c>
      <c r="AA559" s="77" t="s">
        <v>191</v>
      </c>
      <c r="AB559" s="77" t="s">
        <v>78</v>
      </c>
      <c r="AC559" s="77" t="s">
        <v>114</v>
      </c>
      <c r="AD559" s="77" t="s">
        <v>91</v>
      </c>
      <c r="AE559" s="77" t="s">
        <v>3078</v>
      </c>
      <c r="AF559" s="77" t="s">
        <v>2706</v>
      </c>
    </row>
    <row r="560" spans="1:32" x14ac:dyDescent="0.3">
      <c r="A560" s="77" t="s">
        <v>3097</v>
      </c>
      <c r="B560" s="77" t="s">
        <v>267</v>
      </c>
      <c r="G560" s="77" t="s">
        <v>3077</v>
      </c>
      <c r="H560" s="77" t="s">
        <v>77</v>
      </c>
      <c r="I560" s="77" t="s">
        <v>78</v>
      </c>
      <c r="J560" s="77" t="s">
        <v>3039</v>
      </c>
      <c r="K560" s="77" t="s">
        <v>80</v>
      </c>
      <c r="L560" s="77" t="s">
        <v>268</v>
      </c>
      <c r="M560" s="77" t="s">
        <v>82</v>
      </c>
      <c r="N560" s="77" t="s">
        <v>83</v>
      </c>
      <c r="Q560" s="77" t="s">
        <v>111</v>
      </c>
      <c r="S560" s="77" t="s">
        <v>111</v>
      </c>
      <c r="U560" s="77" t="s">
        <v>85</v>
      </c>
      <c r="V560" s="80" t="s">
        <v>221</v>
      </c>
      <c r="X560" s="77" t="s">
        <v>222</v>
      </c>
      <c r="Y560" s="78" t="s">
        <v>101</v>
      </c>
      <c r="AA560" s="77" t="s">
        <v>191</v>
      </c>
      <c r="AB560" s="77" t="s">
        <v>78</v>
      </c>
      <c r="AC560" s="77" t="s">
        <v>90</v>
      </c>
      <c r="AD560" s="77" t="s">
        <v>102</v>
      </c>
      <c r="AE560" s="77" t="s">
        <v>3078</v>
      </c>
    </row>
    <row r="561" spans="1:31" x14ac:dyDescent="0.3">
      <c r="A561" s="77" t="s">
        <v>3098</v>
      </c>
      <c r="B561" s="77" t="s">
        <v>270</v>
      </c>
      <c r="G561" s="77" t="s">
        <v>3077</v>
      </c>
      <c r="H561" s="77" t="s">
        <v>77</v>
      </c>
      <c r="I561" s="77" t="s">
        <v>78</v>
      </c>
      <c r="J561" s="77" t="s">
        <v>3039</v>
      </c>
      <c r="K561" s="77" t="s">
        <v>80</v>
      </c>
      <c r="L561" s="77" t="s">
        <v>271</v>
      </c>
      <c r="M561" s="77" t="s">
        <v>82</v>
      </c>
      <c r="N561" s="77" t="s">
        <v>83</v>
      </c>
      <c r="Q561" s="77" t="s">
        <v>111</v>
      </c>
      <c r="S561" s="77" t="s">
        <v>111</v>
      </c>
      <c r="U561" s="77" t="s">
        <v>85</v>
      </c>
      <c r="V561" s="80" t="s">
        <v>272</v>
      </c>
      <c r="X561" s="77" t="s">
        <v>273</v>
      </c>
      <c r="Y561" s="78" t="s">
        <v>101</v>
      </c>
      <c r="AA561" s="77" t="s">
        <v>191</v>
      </c>
      <c r="AB561" s="77" t="s">
        <v>78</v>
      </c>
      <c r="AC561" s="77" t="s">
        <v>90</v>
      </c>
      <c r="AD561" s="77" t="s">
        <v>274</v>
      </c>
      <c r="AE561" s="77" t="s">
        <v>3078</v>
      </c>
    </row>
    <row r="562" spans="1:31" x14ac:dyDescent="0.3">
      <c r="A562" s="77" t="s">
        <v>3099</v>
      </c>
      <c r="B562" s="77" t="s">
        <v>276</v>
      </c>
      <c r="G562" s="77" t="s">
        <v>3077</v>
      </c>
      <c r="H562" s="77" t="s">
        <v>77</v>
      </c>
      <c r="I562" s="77" t="s">
        <v>78</v>
      </c>
      <c r="J562" s="77" t="s">
        <v>3039</v>
      </c>
      <c r="K562" s="77" t="s">
        <v>80</v>
      </c>
      <c r="L562" s="77" t="s">
        <v>271</v>
      </c>
      <c r="M562" s="77" t="s">
        <v>82</v>
      </c>
      <c r="N562" s="77" t="s">
        <v>83</v>
      </c>
      <c r="Q562" s="77" t="s">
        <v>111</v>
      </c>
      <c r="S562" s="77" t="s">
        <v>111</v>
      </c>
      <c r="U562" s="77" t="s">
        <v>85</v>
      </c>
      <c r="V562" s="80" t="s">
        <v>272</v>
      </c>
      <c r="X562" s="77" t="s">
        <v>273</v>
      </c>
      <c r="Y562" s="78" t="s">
        <v>101</v>
      </c>
      <c r="AA562" s="77" t="s">
        <v>191</v>
      </c>
      <c r="AB562" s="77" t="s">
        <v>78</v>
      </c>
      <c r="AC562" s="77" t="s">
        <v>90</v>
      </c>
      <c r="AD562" s="77" t="s">
        <v>274</v>
      </c>
      <c r="AE562" s="77" t="s">
        <v>3078</v>
      </c>
    </row>
    <row r="563" spans="1:31" x14ac:dyDescent="0.3">
      <c r="A563" s="77" t="s">
        <v>3100</v>
      </c>
      <c r="B563" s="77" t="s">
        <v>278</v>
      </c>
      <c r="G563" s="77" t="s">
        <v>3077</v>
      </c>
      <c r="H563" s="77" t="s">
        <v>77</v>
      </c>
      <c r="I563" s="77" t="s">
        <v>78</v>
      </c>
      <c r="J563" s="77" t="s">
        <v>3039</v>
      </c>
      <c r="K563" s="77" t="s">
        <v>80</v>
      </c>
      <c r="L563" s="77" t="s">
        <v>271</v>
      </c>
      <c r="M563" s="77" t="s">
        <v>82</v>
      </c>
      <c r="N563" s="77" t="s">
        <v>83</v>
      </c>
      <c r="Q563" s="77" t="s">
        <v>111</v>
      </c>
      <c r="S563" s="77" t="s">
        <v>111</v>
      </c>
      <c r="U563" s="77" t="s">
        <v>85</v>
      </c>
      <c r="V563" s="80" t="s">
        <v>272</v>
      </c>
      <c r="X563" s="77" t="s">
        <v>273</v>
      </c>
      <c r="Y563" s="78" t="s">
        <v>101</v>
      </c>
      <c r="AA563" s="77" t="s">
        <v>191</v>
      </c>
      <c r="AB563" s="77" t="s">
        <v>78</v>
      </c>
      <c r="AC563" s="77" t="s">
        <v>90</v>
      </c>
      <c r="AD563" s="77" t="s">
        <v>274</v>
      </c>
      <c r="AE563" s="77" t="s">
        <v>3078</v>
      </c>
    </row>
    <row r="564" spans="1:31" x14ac:dyDescent="0.3">
      <c r="A564" s="77" t="s">
        <v>3101</v>
      </c>
      <c r="B564" s="77" t="s">
        <v>280</v>
      </c>
      <c r="G564" s="77" t="s">
        <v>3077</v>
      </c>
      <c r="H564" s="77" t="s">
        <v>77</v>
      </c>
      <c r="I564" s="77" t="s">
        <v>78</v>
      </c>
      <c r="J564" s="77" t="s">
        <v>3039</v>
      </c>
      <c r="K564" s="77" t="s">
        <v>80</v>
      </c>
      <c r="L564" s="77" t="s">
        <v>271</v>
      </c>
      <c r="M564" s="77" t="s">
        <v>82</v>
      </c>
      <c r="N564" s="77" t="s">
        <v>83</v>
      </c>
      <c r="Q564" s="77" t="s">
        <v>111</v>
      </c>
      <c r="S564" s="77" t="s">
        <v>111</v>
      </c>
      <c r="U564" s="77" t="s">
        <v>85</v>
      </c>
      <c r="V564" s="80" t="s">
        <v>272</v>
      </c>
      <c r="X564" s="77" t="s">
        <v>273</v>
      </c>
      <c r="Y564" s="78" t="s">
        <v>101</v>
      </c>
      <c r="AA564" s="77" t="s">
        <v>191</v>
      </c>
      <c r="AB564" s="77" t="s">
        <v>78</v>
      </c>
      <c r="AC564" s="77" t="s">
        <v>90</v>
      </c>
      <c r="AD564" s="77" t="s">
        <v>274</v>
      </c>
      <c r="AE564" s="77" t="s">
        <v>3078</v>
      </c>
    </row>
    <row r="565" spans="1:31" x14ac:dyDescent="0.3">
      <c r="A565" s="77" t="s">
        <v>3102</v>
      </c>
      <c r="B565" s="77" t="s">
        <v>282</v>
      </c>
      <c r="G565" s="77" t="s">
        <v>3077</v>
      </c>
      <c r="H565" s="77" t="s">
        <v>77</v>
      </c>
      <c r="I565" s="77" t="s">
        <v>78</v>
      </c>
      <c r="J565" s="77" t="s">
        <v>3039</v>
      </c>
      <c r="K565" s="77" t="s">
        <v>80</v>
      </c>
      <c r="L565" s="77" t="s">
        <v>271</v>
      </c>
      <c r="M565" s="77" t="s">
        <v>82</v>
      </c>
      <c r="N565" s="77" t="s">
        <v>83</v>
      </c>
      <c r="Q565" s="77" t="s">
        <v>111</v>
      </c>
      <c r="S565" s="77" t="s">
        <v>111</v>
      </c>
      <c r="U565" s="77" t="s">
        <v>85</v>
      </c>
      <c r="V565" s="80" t="s">
        <v>272</v>
      </c>
      <c r="X565" s="77" t="s">
        <v>273</v>
      </c>
      <c r="Y565" s="78" t="s">
        <v>101</v>
      </c>
      <c r="AA565" s="77" t="s">
        <v>191</v>
      </c>
      <c r="AB565" s="77" t="s">
        <v>78</v>
      </c>
      <c r="AC565" s="77" t="s">
        <v>90</v>
      </c>
      <c r="AD565" s="77" t="s">
        <v>274</v>
      </c>
      <c r="AE565" s="77" t="s">
        <v>3078</v>
      </c>
    </row>
    <row r="566" spans="1:31" x14ac:dyDescent="0.3">
      <c r="A566" s="77" t="s">
        <v>3103</v>
      </c>
      <c r="B566" s="77" t="s">
        <v>284</v>
      </c>
      <c r="G566" s="77" t="s">
        <v>3077</v>
      </c>
      <c r="H566" s="77" t="s">
        <v>77</v>
      </c>
      <c r="I566" s="77" t="s">
        <v>78</v>
      </c>
      <c r="J566" s="77" t="s">
        <v>3039</v>
      </c>
      <c r="K566" s="77" t="s">
        <v>80</v>
      </c>
      <c r="L566" s="77" t="s">
        <v>271</v>
      </c>
      <c r="M566" s="77" t="s">
        <v>82</v>
      </c>
      <c r="N566" s="77" t="s">
        <v>83</v>
      </c>
      <c r="Q566" s="77" t="s">
        <v>111</v>
      </c>
      <c r="S566" s="77" t="s">
        <v>111</v>
      </c>
      <c r="U566" s="77" t="s">
        <v>85</v>
      </c>
      <c r="V566" s="80" t="s">
        <v>272</v>
      </c>
      <c r="X566" s="77" t="s">
        <v>273</v>
      </c>
      <c r="Y566" s="78" t="s">
        <v>101</v>
      </c>
      <c r="AA566" s="77" t="s">
        <v>191</v>
      </c>
      <c r="AB566" s="77" t="s">
        <v>78</v>
      </c>
      <c r="AC566" s="77" t="s">
        <v>90</v>
      </c>
      <c r="AD566" s="77" t="s">
        <v>274</v>
      </c>
      <c r="AE566" s="77" t="s">
        <v>3078</v>
      </c>
    </row>
    <row r="567" spans="1:31" x14ac:dyDescent="0.3">
      <c r="A567" s="77" t="s">
        <v>3104</v>
      </c>
      <c r="B567" s="77" t="s">
        <v>286</v>
      </c>
      <c r="G567" s="77" t="s">
        <v>3077</v>
      </c>
      <c r="H567" s="77" t="s">
        <v>77</v>
      </c>
      <c r="I567" s="77" t="s">
        <v>78</v>
      </c>
      <c r="J567" s="77" t="s">
        <v>3039</v>
      </c>
      <c r="K567" s="77" t="s">
        <v>80</v>
      </c>
      <c r="L567" s="77" t="s">
        <v>271</v>
      </c>
      <c r="M567" s="77" t="s">
        <v>82</v>
      </c>
      <c r="N567" s="77" t="s">
        <v>83</v>
      </c>
      <c r="Q567" s="77" t="s">
        <v>111</v>
      </c>
      <c r="S567" s="77" t="s">
        <v>111</v>
      </c>
      <c r="U567" s="77" t="s">
        <v>85</v>
      </c>
      <c r="V567" s="80" t="s">
        <v>272</v>
      </c>
      <c r="X567" s="77" t="s">
        <v>273</v>
      </c>
      <c r="Y567" s="78" t="s">
        <v>101</v>
      </c>
      <c r="AA567" s="77" t="s">
        <v>191</v>
      </c>
      <c r="AB567" s="77" t="s">
        <v>78</v>
      </c>
      <c r="AC567" s="77" t="s">
        <v>90</v>
      </c>
      <c r="AD567" s="77" t="s">
        <v>274</v>
      </c>
      <c r="AE567" s="77" t="s">
        <v>3078</v>
      </c>
    </row>
    <row r="568" spans="1:31" x14ac:dyDescent="0.3">
      <c r="A568" s="77" t="s">
        <v>3105</v>
      </c>
      <c r="B568" s="77" t="s">
        <v>288</v>
      </c>
      <c r="G568" s="77" t="s">
        <v>3077</v>
      </c>
      <c r="H568" s="77" t="s">
        <v>77</v>
      </c>
      <c r="I568" s="77" t="s">
        <v>78</v>
      </c>
      <c r="J568" s="77" t="s">
        <v>3039</v>
      </c>
      <c r="K568" s="77" t="s">
        <v>80</v>
      </c>
      <c r="L568" s="77" t="s">
        <v>271</v>
      </c>
      <c r="M568" s="77" t="s">
        <v>82</v>
      </c>
      <c r="N568" s="77" t="s">
        <v>83</v>
      </c>
      <c r="Q568" s="77" t="s">
        <v>111</v>
      </c>
      <c r="S568" s="77" t="s">
        <v>111</v>
      </c>
      <c r="U568" s="77" t="s">
        <v>85</v>
      </c>
      <c r="V568" s="80" t="s">
        <v>272</v>
      </c>
      <c r="X568" s="77" t="s">
        <v>273</v>
      </c>
      <c r="Y568" s="78" t="s">
        <v>101</v>
      </c>
      <c r="AA568" s="77" t="s">
        <v>191</v>
      </c>
      <c r="AB568" s="77" t="s">
        <v>78</v>
      </c>
      <c r="AC568" s="77" t="s">
        <v>90</v>
      </c>
      <c r="AD568" s="77" t="s">
        <v>274</v>
      </c>
      <c r="AE568" s="77" t="s">
        <v>3078</v>
      </c>
    </row>
    <row r="569" spans="1:31" x14ac:dyDescent="0.3">
      <c r="A569" s="77" t="s">
        <v>3106</v>
      </c>
      <c r="B569" s="77" t="s">
        <v>290</v>
      </c>
      <c r="G569" s="77" t="s">
        <v>3077</v>
      </c>
      <c r="H569" s="77" t="s">
        <v>77</v>
      </c>
      <c r="I569" s="77" t="s">
        <v>78</v>
      </c>
      <c r="J569" s="77" t="s">
        <v>3039</v>
      </c>
      <c r="K569" s="77" t="s">
        <v>80</v>
      </c>
      <c r="L569" s="77" t="s">
        <v>271</v>
      </c>
      <c r="M569" s="77" t="s">
        <v>82</v>
      </c>
      <c r="N569" s="77" t="s">
        <v>83</v>
      </c>
      <c r="Q569" s="77" t="s">
        <v>111</v>
      </c>
      <c r="S569" s="77" t="s">
        <v>111</v>
      </c>
      <c r="U569" s="77" t="s">
        <v>85</v>
      </c>
      <c r="V569" s="80" t="s">
        <v>272</v>
      </c>
      <c r="X569" s="77" t="s">
        <v>273</v>
      </c>
      <c r="Y569" s="78" t="s">
        <v>101</v>
      </c>
      <c r="AA569" s="77" t="s">
        <v>191</v>
      </c>
      <c r="AB569" s="77" t="s">
        <v>78</v>
      </c>
      <c r="AC569" s="77" t="s">
        <v>90</v>
      </c>
      <c r="AD569" s="77" t="s">
        <v>274</v>
      </c>
      <c r="AE569" s="77" t="s">
        <v>3078</v>
      </c>
    </row>
    <row r="570" spans="1:31" x14ac:dyDescent="0.3">
      <c r="A570" s="77" t="s">
        <v>3107</v>
      </c>
      <c r="B570" s="77" t="s">
        <v>292</v>
      </c>
      <c r="G570" s="77" t="s">
        <v>3077</v>
      </c>
      <c r="H570" s="77" t="s">
        <v>77</v>
      </c>
      <c r="I570" s="77" t="s">
        <v>78</v>
      </c>
      <c r="J570" s="77" t="s">
        <v>3039</v>
      </c>
      <c r="K570" s="77" t="s">
        <v>80</v>
      </c>
      <c r="L570" s="77" t="s">
        <v>271</v>
      </c>
      <c r="M570" s="77" t="s">
        <v>82</v>
      </c>
      <c r="N570" s="77" t="s">
        <v>83</v>
      </c>
      <c r="Q570" s="77" t="s">
        <v>111</v>
      </c>
      <c r="S570" s="77" t="s">
        <v>111</v>
      </c>
      <c r="U570" s="77" t="s">
        <v>85</v>
      </c>
      <c r="V570" s="80" t="s">
        <v>272</v>
      </c>
      <c r="X570" s="77" t="s">
        <v>273</v>
      </c>
      <c r="Y570" s="78" t="s">
        <v>101</v>
      </c>
      <c r="AA570" s="77" t="s">
        <v>191</v>
      </c>
      <c r="AB570" s="77" t="s">
        <v>78</v>
      </c>
      <c r="AC570" s="77" t="s">
        <v>90</v>
      </c>
      <c r="AD570" s="77" t="s">
        <v>274</v>
      </c>
      <c r="AE570" s="77" t="s">
        <v>3078</v>
      </c>
    </row>
    <row r="571" spans="1:31" x14ac:dyDescent="0.3">
      <c r="A571" s="77" t="s">
        <v>3108</v>
      </c>
      <c r="B571" s="77" t="s">
        <v>294</v>
      </c>
      <c r="G571" s="77" t="s">
        <v>3077</v>
      </c>
      <c r="H571" s="77" t="s">
        <v>77</v>
      </c>
      <c r="I571" s="77" t="s">
        <v>78</v>
      </c>
      <c r="J571" s="77" t="s">
        <v>3039</v>
      </c>
      <c r="K571" s="77" t="s">
        <v>80</v>
      </c>
      <c r="L571" s="77" t="s">
        <v>271</v>
      </c>
      <c r="M571" s="77" t="s">
        <v>82</v>
      </c>
      <c r="N571" s="77" t="s">
        <v>83</v>
      </c>
      <c r="Q571" s="77" t="s">
        <v>111</v>
      </c>
      <c r="S571" s="77" t="s">
        <v>111</v>
      </c>
      <c r="U571" s="77" t="s">
        <v>85</v>
      </c>
      <c r="V571" s="80" t="s">
        <v>272</v>
      </c>
      <c r="X571" s="77" t="s">
        <v>273</v>
      </c>
      <c r="Y571" s="78" t="s">
        <v>101</v>
      </c>
      <c r="AA571" s="77" t="s">
        <v>191</v>
      </c>
      <c r="AB571" s="77" t="s">
        <v>78</v>
      </c>
      <c r="AC571" s="77" t="s">
        <v>90</v>
      </c>
      <c r="AD571" s="77" t="s">
        <v>274</v>
      </c>
      <c r="AE571" s="77" t="s">
        <v>3078</v>
      </c>
    </row>
    <row r="572" spans="1:31" x14ac:dyDescent="0.3">
      <c r="A572" s="77" t="s">
        <v>3109</v>
      </c>
      <c r="B572" s="77" t="s">
        <v>296</v>
      </c>
      <c r="G572" s="77" t="s">
        <v>3077</v>
      </c>
      <c r="H572" s="77" t="s">
        <v>77</v>
      </c>
      <c r="I572" s="77" t="s">
        <v>78</v>
      </c>
      <c r="J572" s="77" t="s">
        <v>3039</v>
      </c>
      <c r="K572" s="77" t="s">
        <v>80</v>
      </c>
      <c r="L572" s="77" t="s">
        <v>271</v>
      </c>
      <c r="M572" s="77" t="s">
        <v>82</v>
      </c>
      <c r="N572" s="77" t="s">
        <v>83</v>
      </c>
      <c r="Q572" s="77" t="s">
        <v>111</v>
      </c>
      <c r="S572" s="77" t="s">
        <v>111</v>
      </c>
      <c r="U572" s="77" t="s">
        <v>85</v>
      </c>
      <c r="V572" s="80" t="s">
        <v>272</v>
      </c>
      <c r="X572" s="77" t="s">
        <v>273</v>
      </c>
      <c r="Y572" s="78" t="s">
        <v>101</v>
      </c>
      <c r="AA572" s="77" t="s">
        <v>191</v>
      </c>
      <c r="AB572" s="77" t="s">
        <v>78</v>
      </c>
      <c r="AC572" s="77" t="s">
        <v>90</v>
      </c>
      <c r="AD572" s="77" t="s">
        <v>274</v>
      </c>
      <c r="AE572" s="77" t="s">
        <v>3078</v>
      </c>
    </row>
    <row r="573" spans="1:31" x14ac:dyDescent="0.3">
      <c r="A573" s="77" t="s">
        <v>3110</v>
      </c>
      <c r="B573" s="77" t="s">
        <v>298</v>
      </c>
      <c r="G573" s="77" t="s">
        <v>3077</v>
      </c>
      <c r="H573" s="77" t="s">
        <v>77</v>
      </c>
      <c r="I573" s="77" t="s">
        <v>78</v>
      </c>
      <c r="J573" s="77" t="s">
        <v>3039</v>
      </c>
      <c r="K573" s="77" t="s">
        <v>80</v>
      </c>
      <c r="L573" s="77" t="s">
        <v>299</v>
      </c>
      <c r="M573" s="77" t="s">
        <v>82</v>
      </c>
      <c r="N573" s="77" t="s">
        <v>83</v>
      </c>
      <c r="Q573" s="77" t="s">
        <v>111</v>
      </c>
      <c r="S573" s="77" t="s">
        <v>111</v>
      </c>
      <c r="U573" s="77" t="s">
        <v>85</v>
      </c>
      <c r="V573" s="80" t="s">
        <v>272</v>
      </c>
      <c r="X573" s="77" t="s">
        <v>273</v>
      </c>
      <c r="Y573" s="78" t="s">
        <v>101</v>
      </c>
      <c r="AA573" s="77" t="s">
        <v>191</v>
      </c>
      <c r="AB573" s="77" t="s">
        <v>78</v>
      </c>
      <c r="AC573" s="77" t="s">
        <v>90</v>
      </c>
      <c r="AD573" s="77" t="s">
        <v>274</v>
      </c>
      <c r="AE573" s="77" t="s">
        <v>3078</v>
      </c>
    </row>
    <row r="574" spans="1:31" x14ac:dyDescent="0.3">
      <c r="A574" s="77" t="s">
        <v>3111</v>
      </c>
      <c r="B574" s="77" t="s">
        <v>301</v>
      </c>
      <c r="G574" s="77" t="s">
        <v>3077</v>
      </c>
      <c r="H574" s="77" t="s">
        <v>77</v>
      </c>
      <c r="I574" s="77" t="s">
        <v>78</v>
      </c>
      <c r="J574" s="77" t="s">
        <v>3039</v>
      </c>
      <c r="K574" s="77" t="s">
        <v>80</v>
      </c>
      <c r="L574" s="77" t="s">
        <v>299</v>
      </c>
      <c r="M574" s="77" t="s">
        <v>82</v>
      </c>
      <c r="N574" s="77" t="s">
        <v>83</v>
      </c>
      <c r="Q574" s="77" t="s">
        <v>111</v>
      </c>
      <c r="S574" s="77" t="s">
        <v>111</v>
      </c>
      <c r="U574" s="77" t="s">
        <v>85</v>
      </c>
      <c r="V574" s="80" t="s">
        <v>272</v>
      </c>
      <c r="X574" s="77" t="s">
        <v>273</v>
      </c>
      <c r="Y574" s="78" t="s">
        <v>101</v>
      </c>
      <c r="AA574" s="77" t="s">
        <v>191</v>
      </c>
      <c r="AB574" s="77" t="s">
        <v>78</v>
      </c>
      <c r="AC574" s="77" t="s">
        <v>90</v>
      </c>
      <c r="AD574" s="77" t="s">
        <v>274</v>
      </c>
      <c r="AE574" s="77" t="s">
        <v>3078</v>
      </c>
    </row>
    <row r="575" spans="1:31" x14ac:dyDescent="0.3">
      <c r="A575" s="77" t="s">
        <v>3112</v>
      </c>
      <c r="B575" s="77" t="s">
        <v>303</v>
      </c>
      <c r="G575" s="77" t="s">
        <v>3077</v>
      </c>
      <c r="H575" s="77" t="s">
        <v>77</v>
      </c>
      <c r="I575" s="77" t="s">
        <v>78</v>
      </c>
      <c r="J575" s="77" t="s">
        <v>3039</v>
      </c>
      <c r="K575" s="77" t="s">
        <v>80</v>
      </c>
      <c r="L575" s="77" t="s">
        <v>299</v>
      </c>
      <c r="M575" s="77" t="s">
        <v>82</v>
      </c>
      <c r="N575" s="77" t="s">
        <v>83</v>
      </c>
      <c r="Q575" s="77" t="s">
        <v>111</v>
      </c>
      <c r="S575" s="77" t="s">
        <v>111</v>
      </c>
      <c r="U575" s="77" t="s">
        <v>85</v>
      </c>
      <c r="V575" s="80" t="s">
        <v>272</v>
      </c>
      <c r="X575" s="77" t="s">
        <v>273</v>
      </c>
      <c r="Y575" s="78" t="s">
        <v>101</v>
      </c>
      <c r="AA575" s="77" t="s">
        <v>191</v>
      </c>
      <c r="AB575" s="77" t="s">
        <v>78</v>
      </c>
      <c r="AC575" s="77" t="s">
        <v>90</v>
      </c>
      <c r="AD575" s="77" t="s">
        <v>274</v>
      </c>
      <c r="AE575" s="77" t="s">
        <v>3078</v>
      </c>
    </row>
    <row r="576" spans="1:31" x14ac:dyDescent="0.3">
      <c r="A576" s="77" t="s">
        <v>3113</v>
      </c>
      <c r="B576" s="77" t="s">
        <v>305</v>
      </c>
      <c r="G576" s="77" t="s">
        <v>3077</v>
      </c>
      <c r="H576" s="77" t="s">
        <v>77</v>
      </c>
      <c r="I576" s="77" t="s">
        <v>78</v>
      </c>
      <c r="J576" s="77" t="s">
        <v>3039</v>
      </c>
      <c r="K576" s="77" t="s">
        <v>80</v>
      </c>
      <c r="L576" s="77" t="s">
        <v>299</v>
      </c>
      <c r="M576" s="77" t="s">
        <v>82</v>
      </c>
      <c r="N576" s="77" t="s">
        <v>83</v>
      </c>
      <c r="Q576" s="77" t="s">
        <v>111</v>
      </c>
      <c r="S576" s="77" t="s">
        <v>111</v>
      </c>
      <c r="U576" s="77" t="s">
        <v>85</v>
      </c>
      <c r="V576" s="80" t="s">
        <v>272</v>
      </c>
      <c r="X576" s="77" t="s">
        <v>273</v>
      </c>
      <c r="Y576" s="78" t="s">
        <v>101</v>
      </c>
      <c r="AA576" s="77" t="s">
        <v>191</v>
      </c>
      <c r="AB576" s="77" t="s">
        <v>78</v>
      </c>
      <c r="AC576" s="77" t="s">
        <v>90</v>
      </c>
      <c r="AD576" s="77" t="s">
        <v>274</v>
      </c>
      <c r="AE576" s="77" t="s">
        <v>3078</v>
      </c>
    </row>
    <row r="577" spans="1:33" x14ac:dyDescent="0.3">
      <c r="A577" s="77" t="s">
        <v>3114</v>
      </c>
      <c r="B577" s="77" t="s">
        <v>307</v>
      </c>
      <c r="G577" s="77" t="s">
        <v>3077</v>
      </c>
      <c r="H577" s="77" t="s">
        <v>77</v>
      </c>
      <c r="I577" s="77" t="s">
        <v>78</v>
      </c>
      <c r="J577" s="77" t="s">
        <v>3039</v>
      </c>
      <c r="K577" s="77" t="s">
        <v>80</v>
      </c>
      <c r="L577" s="77" t="s">
        <v>299</v>
      </c>
      <c r="M577" s="77" t="s">
        <v>82</v>
      </c>
      <c r="N577" s="77" t="s">
        <v>83</v>
      </c>
      <c r="Q577" s="77" t="s">
        <v>111</v>
      </c>
      <c r="S577" s="77" t="s">
        <v>111</v>
      </c>
      <c r="U577" s="77" t="s">
        <v>85</v>
      </c>
      <c r="V577" s="80" t="s">
        <v>272</v>
      </c>
      <c r="X577" s="77" t="s">
        <v>273</v>
      </c>
      <c r="Y577" s="78" t="s">
        <v>101</v>
      </c>
      <c r="AA577" s="77" t="s">
        <v>191</v>
      </c>
      <c r="AB577" s="77" t="s">
        <v>78</v>
      </c>
      <c r="AC577" s="77" t="s">
        <v>90</v>
      </c>
      <c r="AD577" s="77" t="s">
        <v>274</v>
      </c>
      <c r="AE577" s="77" t="s">
        <v>3078</v>
      </c>
    </row>
    <row r="578" spans="1:33" x14ac:dyDescent="0.3">
      <c r="A578" s="77" t="s">
        <v>3115</v>
      </c>
      <c r="B578" s="77" t="s">
        <v>309</v>
      </c>
      <c r="G578" s="77" t="s">
        <v>3077</v>
      </c>
      <c r="H578" s="77" t="s">
        <v>77</v>
      </c>
      <c r="I578" s="77" t="s">
        <v>78</v>
      </c>
      <c r="J578" s="77" t="s">
        <v>3039</v>
      </c>
      <c r="K578" s="77" t="s">
        <v>80</v>
      </c>
      <c r="L578" s="77" t="s">
        <v>299</v>
      </c>
      <c r="M578" s="77" t="s">
        <v>82</v>
      </c>
      <c r="N578" s="77" t="s">
        <v>83</v>
      </c>
      <c r="Q578" s="77" t="s">
        <v>111</v>
      </c>
      <c r="S578" s="77" t="s">
        <v>111</v>
      </c>
      <c r="U578" s="77" t="s">
        <v>85</v>
      </c>
      <c r="V578" s="80" t="s">
        <v>272</v>
      </c>
      <c r="X578" s="77" t="s">
        <v>273</v>
      </c>
      <c r="Y578" s="78" t="s">
        <v>101</v>
      </c>
      <c r="AA578" s="77" t="s">
        <v>191</v>
      </c>
      <c r="AB578" s="77" t="s">
        <v>78</v>
      </c>
      <c r="AC578" s="77" t="s">
        <v>90</v>
      </c>
      <c r="AD578" s="77" t="s">
        <v>274</v>
      </c>
      <c r="AE578" s="77" t="s">
        <v>3078</v>
      </c>
    </row>
    <row r="579" spans="1:33" x14ac:dyDescent="0.3">
      <c r="A579" s="77" t="s">
        <v>3116</v>
      </c>
      <c r="B579" s="77" t="s">
        <v>311</v>
      </c>
      <c r="G579" s="77" t="s">
        <v>3077</v>
      </c>
      <c r="H579" s="77" t="s">
        <v>77</v>
      </c>
      <c r="I579" s="77" t="s">
        <v>78</v>
      </c>
      <c r="J579" s="77" t="s">
        <v>3039</v>
      </c>
      <c r="K579" s="77" t="s">
        <v>80</v>
      </c>
      <c r="L579" s="77" t="s">
        <v>299</v>
      </c>
      <c r="M579" s="77" t="s">
        <v>82</v>
      </c>
      <c r="N579" s="77" t="s">
        <v>83</v>
      </c>
      <c r="Q579" s="77" t="s">
        <v>111</v>
      </c>
      <c r="S579" s="77" t="s">
        <v>111</v>
      </c>
      <c r="U579" s="77" t="s">
        <v>85</v>
      </c>
      <c r="V579" s="80" t="s">
        <v>272</v>
      </c>
      <c r="X579" s="77" t="s">
        <v>273</v>
      </c>
      <c r="Y579" s="78" t="s">
        <v>101</v>
      </c>
      <c r="AA579" s="77" t="s">
        <v>191</v>
      </c>
      <c r="AB579" s="77" t="s">
        <v>78</v>
      </c>
      <c r="AC579" s="77" t="s">
        <v>90</v>
      </c>
      <c r="AD579" s="77" t="s">
        <v>274</v>
      </c>
      <c r="AE579" s="77" t="s">
        <v>3078</v>
      </c>
    </row>
    <row r="580" spans="1:33" x14ac:dyDescent="0.3">
      <c r="A580" s="77" t="s">
        <v>3117</v>
      </c>
      <c r="B580" s="77" t="s">
        <v>313</v>
      </c>
      <c r="G580" s="77" t="s">
        <v>3077</v>
      </c>
      <c r="H580" s="77" t="s">
        <v>77</v>
      </c>
      <c r="I580" s="77" t="s">
        <v>78</v>
      </c>
      <c r="J580" s="77" t="s">
        <v>3039</v>
      </c>
      <c r="K580" s="77" t="s">
        <v>80</v>
      </c>
      <c r="L580" s="77" t="s">
        <v>299</v>
      </c>
      <c r="M580" s="77" t="s">
        <v>82</v>
      </c>
      <c r="N580" s="77" t="s">
        <v>83</v>
      </c>
      <c r="Q580" s="77" t="s">
        <v>111</v>
      </c>
      <c r="S580" s="77" t="s">
        <v>111</v>
      </c>
      <c r="U580" s="77" t="s">
        <v>85</v>
      </c>
      <c r="V580" s="80" t="s">
        <v>272</v>
      </c>
      <c r="X580" s="77" t="s">
        <v>273</v>
      </c>
      <c r="Y580" s="78" t="s">
        <v>101</v>
      </c>
      <c r="AA580" s="77" t="s">
        <v>191</v>
      </c>
      <c r="AB580" s="77" t="s">
        <v>78</v>
      </c>
      <c r="AC580" s="77" t="s">
        <v>90</v>
      </c>
      <c r="AD580" s="77" t="s">
        <v>274</v>
      </c>
      <c r="AE580" s="77" t="s">
        <v>3078</v>
      </c>
    </row>
    <row r="581" spans="1:33" x14ac:dyDescent="0.3">
      <c r="A581" s="77" t="s">
        <v>3118</v>
      </c>
      <c r="B581" s="77" t="s">
        <v>315</v>
      </c>
      <c r="G581" s="77" t="s">
        <v>3077</v>
      </c>
      <c r="H581" s="77" t="s">
        <v>77</v>
      </c>
      <c r="I581" s="77" t="s">
        <v>78</v>
      </c>
      <c r="J581" s="77" t="s">
        <v>3039</v>
      </c>
      <c r="K581" s="77" t="s">
        <v>80</v>
      </c>
      <c r="L581" s="77" t="s">
        <v>299</v>
      </c>
      <c r="M581" s="77" t="s">
        <v>82</v>
      </c>
      <c r="N581" s="77" t="s">
        <v>83</v>
      </c>
      <c r="Q581" s="77" t="s">
        <v>111</v>
      </c>
      <c r="S581" s="77" t="s">
        <v>111</v>
      </c>
      <c r="U581" s="77" t="s">
        <v>85</v>
      </c>
      <c r="V581" s="80" t="s">
        <v>272</v>
      </c>
      <c r="X581" s="77" t="s">
        <v>273</v>
      </c>
      <c r="Y581" s="78" t="s">
        <v>101</v>
      </c>
      <c r="AA581" s="77" t="s">
        <v>191</v>
      </c>
      <c r="AB581" s="77" t="s">
        <v>78</v>
      </c>
      <c r="AC581" s="77" t="s">
        <v>90</v>
      </c>
      <c r="AD581" s="77" t="s">
        <v>274</v>
      </c>
      <c r="AE581" s="77" t="s">
        <v>3078</v>
      </c>
    </row>
    <row r="582" spans="1:33" x14ac:dyDescent="0.3">
      <c r="A582" s="77" t="s">
        <v>3119</v>
      </c>
      <c r="B582" s="77" t="s">
        <v>317</v>
      </c>
      <c r="G582" s="77" t="s">
        <v>3077</v>
      </c>
      <c r="H582" s="77" t="s">
        <v>77</v>
      </c>
      <c r="I582" s="77" t="s">
        <v>78</v>
      </c>
      <c r="J582" s="77" t="s">
        <v>3039</v>
      </c>
      <c r="K582" s="77" t="s">
        <v>80</v>
      </c>
      <c r="L582" s="77" t="s">
        <v>299</v>
      </c>
      <c r="M582" s="77" t="s">
        <v>82</v>
      </c>
      <c r="N582" s="77" t="s">
        <v>83</v>
      </c>
      <c r="Q582" s="77" t="s">
        <v>111</v>
      </c>
      <c r="S582" s="77" t="s">
        <v>111</v>
      </c>
      <c r="U582" s="77" t="s">
        <v>85</v>
      </c>
      <c r="V582" s="80" t="s">
        <v>272</v>
      </c>
      <c r="X582" s="77" t="s">
        <v>273</v>
      </c>
      <c r="Y582" s="78" t="s">
        <v>101</v>
      </c>
      <c r="AA582" s="77" t="s">
        <v>191</v>
      </c>
      <c r="AB582" s="77" t="s">
        <v>78</v>
      </c>
      <c r="AC582" s="77" t="s">
        <v>90</v>
      </c>
      <c r="AD582" s="77" t="s">
        <v>274</v>
      </c>
      <c r="AE582" s="77" t="s">
        <v>3078</v>
      </c>
    </row>
    <row r="583" spans="1:33" x14ac:dyDescent="0.3">
      <c r="A583" s="77" t="s">
        <v>3120</v>
      </c>
      <c r="B583" s="77" t="s">
        <v>319</v>
      </c>
      <c r="G583" s="77" t="s">
        <v>3077</v>
      </c>
      <c r="H583" s="77" t="s">
        <v>77</v>
      </c>
      <c r="I583" s="77" t="s">
        <v>78</v>
      </c>
      <c r="J583" s="77" t="s">
        <v>3039</v>
      </c>
      <c r="K583" s="77" t="s">
        <v>80</v>
      </c>
      <c r="L583" s="77" t="s">
        <v>299</v>
      </c>
      <c r="M583" s="77" t="s">
        <v>82</v>
      </c>
      <c r="N583" s="77" t="s">
        <v>83</v>
      </c>
      <c r="Q583" s="77" t="s">
        <v>111</v>
      </c>
      <c r="S583" s="77" t="s">
        <v>111</v>
      </c>
      <c r="U583" s="77" t="s">
        <v>85</v>
      </c>
      <c r="V583" s="80" t="s">
        <v>272</v>
      </c>
      <c r="X583" s="77" t="s">
        <v>273</v>
      </c>
      <c r="Y583" s="78" t="s">
        <v>101</v>
      </c>
      <c r="AA583" s="77" t="s">
        <v>191</v>
      </c>
      <c r="AB583" s="77" t="s">
        <v>78</v>
      </c>
      <c r="AC583" s="77" t="s">
        <v>90</v>
      </c>
      <c r="AD583" s="77" t="s">
        <v>274</v>
      </c>
      <c r="AE583" s="77" t="s">
        <v>3078</v>
      </c>
    </row>
    <row r="584" spans="1:33" x14ac:dyDescent="0.3">
      <c r="A584" s="77" t="s">
        <v>3121</v>
      </c>
      <c r="B584" s="77" t="s">
        <v>321</v>
      </c>
      <c r="G584" s="77" t="s">
        <v>3077</v>
      </c>
      <c r="H584" s="77" t="s">
        <v>77</v>
      </c>
      <c r="I584" s="77" t="s">
        <v>78</v>
      </c>
      <c r="J584" s="77" t="s">
        <v>3039</v>
      </c>
      <c r="K584" s="77" t="s">
        <v>80</v>
      </c>
      <c r="L584" s="77" t="s">
        <v>299</v>
      </c>
      <c r="M584" s="77" t="s">
        <v>82</v>
      </c>
      <c r="N584" s="77" t="s">
        <v>83</v>
      </c>
      <c r="Q584" s="77" t="s">
        <v>111</v>
      </c>
      <c r="S584" s="77" t="s">
        <v>111</v>
      </c>
      <c r="U584" s="77" t="s">
        <v>85</v>
      </c>
      <c r="V584" s="80" t="s">
        <v>272</v>
      </c>
      <c r="X584" s="77" t="s">
        <v>273</v>
      </c>
      <c r="Y584" s="78" t="s">
        <v>101</v>
      </c>
      <c r="AA584" s="77" t="s">
        <v>191</v>
      </c>
      <c r="AB584" s="77" t="s">
        <v>78</v>
      </c>
      <c r="AC584" s="77" t="s">
        <v>90</v>
      </c>
      <c r="AD584" s="77" t="s">
        <v>274</v>
      </c>
      <c r="AE584" s="77" t="s">
        <v>3078</v>
      </c>
    </row>
    <row r="585" spans="1:33" x14ac:dyDescent="0.3">
      <c r="A585" s="77" t="s">
        <v>3122</v>
      </c>
      <c r="B585" s="77" t="s">
        <v>323</v>
      </c>
      <c r="G585" s="77" t="s">
        <v>3077</v>
      </c>
      <c r="H585" s="77" t="s">
        <v>77</v>
      </c>
      <c r="I585" s="77" t="s">
        <v>78</v>
      </c>
      <c r="J585" s="77" t="s">
        <v>3039</v>
      </c>
      <c r="K585" s="77" t="s">
        <v>80</v>
      </c>
      <c r="L585" s="77" t="s">
        <v>324</v>
      </c>
      <c r="M585" s="77" t="s">
        <v>82</v>
      </c>
      <c r="N585" s="77" t="s">
        <v>83</v>
      </c>
      <c r="Q585" s="77" t="s">
        <v>111</v>
      </c>
      <c r="T585" s="77" t="s">
        <v>112</v>
      </c>
      <c r="U585" s="77" t="s">
        <v>85</v>
      </c>
      <c r="V585" s="80" t="s">
        <v>325</v>
      </c>
      <c r="X585" s="77" t="s">
        <v>326</v>
      </c>
      <c r="Y585" s="78" t="s">
        <v>101</v>
      </c>
      <c r="AA585" s="77" t="s">
        <v>191</v>
      </c>
      <c r="AB585" s="77" t="s">
        <v>78</v>
      </c>
      <c r="AC585" s="77" t="s">
        <v>90</v>
      </c>
      <c r="AD585" s="77" t="s">
        <v>327</v>
      </c>
      <c r="AE585" s="77" t="s">
        <v>3078</v>
      </c>
      <c r="AG585" s="77" t="s">
        <v>112</v>
      </c>
    </row>
    <row r="586" spans="1:33" hidden="1" x14ac:dyDescent="0.3">
      <c r="A586" s="77" t="s">
        <v>3123</v>
      </c>
      <c r="B586" s="77" t="s">
        <v>329</v>
      </c>
      <c r="G586" s="77" t="s">
        <v>3077</v>
      </c>
      <c r="H586" s="77" t="s">
        <v>77</v>
      </c>
      <c r="I586" s="77" t="s">
        <v>78</v>
      </c>
      <c r="J586" s="77" t="s">
        <v>3039</v>
      </c>
      <c r="K586" s="77" t="s">
        <v>80</v>
      </c>
      <c r="L586" s="77" t="s">
        <v>330</v>
      </c>
      <c r="M586" s="77" t="s">
        <v>82</v>
      </c>
      <c r="N586" s="77" t="s">
        <v>83</v>
      </c>
      <c r="Q586" s="77" t="s">
        <v>111</v>
      </c>
      <c r="T586" s="77" t="s">
        <v>112</v>
      </c>
      <c r="U586" s="77" t="s">
        <v>85</v>
      </c>
      <c r="V586" s="77" t="s">
        <v>331</v>
      </c>
      <c r="W586" s="79">
        <v>46200.393459224535</v>
      </c>
      <c r="X586" s="77" t="s">
        <v>332</v>
      </c>
      <c r="Y586" s="78" t="s">
        <v>88</v>
      </c>
      <c r="AA586" s="77" t="s">
        <v>191</v>
      </c>
      <c r="AB586" s="77" t="s">
        <v>78</v>
      </c>
      <c r="AC586" s="77" t="s">
        <v>114</v>
      </c>
      <c r="AD586" s="77" t="s">
        <v>91</v>
      </c>
      <c r="AE586" s="77" t="s">
        <v>3078</v>
      </c>
      <c r="AF586" s="77" t="s">
        <v>2706</v>
      </c>
      <c r="AG586" s="77" t="s">
        <v>112</v>
      </c>
    </row>
    <row r="587" spans="1:33" hidden="1" x14ac:dyDescent="0.3">
      <c r="A587" s="77" t="s">
        <v>3124</v>
      </c>
      <c r="B587" s="77" t="s">
        <v>334</v>
      </c>
      <c r="G587" s="77" t="s">
        <v>3077</v>
      </c>
      <c r="H587" s="77" t="s">
        <v>77</v>
      </c>
      <c r="I587" s="77" t="s">
        <v>78</v>
      </c>
      <c r="J587" s="77" t="s">
        <v>3039</v>
      </c>
      <c r="K587" s="77" t="s">
        <v>80</v>
      </c>
      <c r="L587" s="77" t="s">
        <v>330</v>
      </c>
      <c r="M587" s="77" t="s">
        <v>82</v>
      </c>
      <c r="N587" s="77" t="s">
        <v>83</v>
      </c>
      <c r="Q587" s="77" t="s">
        <v>111</v>
      </c>
      <c r="T587" s="77" t="s">
        <v>112</v>
      </c>
      <c r="U587" s="77" t="s">
        <v>85</v>
      </c>
      <c r="V587" s="77" t="s">
        <v>331</v>
      </c>
      <c r="W587" s="79">
        <v>46200.39427769676</v>
      </c>
      <c r="X587" s="77" t="s">
        <v>332</v>
      </c>
      <c r="Y587" s="78" t="s">
        <v>88</v>
      </c>
      <c r="AA587" s="77" t="s">
        <v>191</v>
      </c>
      <c r="AB587" s="77" t="s">
        <v>78</v>
      </c>
      <c r="AC587" s="77" t="s">
        <v>114</v>
      </c>
      <c r="AD587" s="77" t="s">
        <v>91</v>
      </c>
      <c r="AE587" s="77" t="s">
        <v>3078</v>
      </c>
      <c r="AF587" s="77" t="s">
        <v>2706</v>
      </c>
      <c r="AG587" s="77" t="s">
        <v>112</v>
      </c>
    </row>
    <row r="588" spans="1:33" hidden="1" x14ac:dyDescent="0.3">
      <c r="A588" s="77" t="s">
        <v>3125</v>
      </c>
      <c r="B588" s="77" t="s">
        <v>336</v>
      </c>
      <c r="G588" s="77" t="s">
        <v>3077</v>
      </c>
      <c r="H588" s="77" t="s">
        <v>77</v>
      </c>
      <c r="I588" s="77" t="s">
        <v>78</v>
      </c>
      <c r="J588" s="77" t="s">
        <v>3039</v>
      </c>
      <c r="K588" s="77" t="s">
        <v>80</v>
      </c>
      <c r="L588" s="77" t="s">
        <v>337</v>
      </c>
      <c r="M588" s="77" t="s">
        <v>82</v>
      </c>
      <c r="N588" s="77" t="s">
        <v>83</v>
      </c>
      <c r="Q588" s="77" t="s">
        <v>111</v>
      </c>
      <c r="T588" s="77" t="s">
        <v>112</v>
      </c>
      <c r="U588" s="77" t="s">
        <v>85</v>
      </c>
      <c r="V588" s="77" t="s">
        <v>331</v>
      </c>
      <c r="W588" s="79">
        <v>46200.363906979168</v>
      </c>
      <c r="X588" s="77" t="s">
        <v>332</v>
      </c>
      <c r="Y588" s="78" t="s">
        <v>88</v>
      </c>
      <c r="AA588" s="77" t="s">
        <v>191</v>
      </c>
      <c r="AB588" s="77" t="s">
        <v>78</v>
      </c>
      <c r="AC588" s="77" t="s">
        <v>114</v>
      </c>
      <c r="AD588" s="77" t="s">
        <v>91</v>
      </c>
      <c r="AE588" s="77" t="s">
        <v>3078</v>
      </c>
      <c r="AF588" s="77" t="s">
        <v>2706</v>
      </c>
      <c r="AG588" s="77" t="s">
        <v>112</v>
      </c>
    </row>
    <row r="589" spans="1:33" hidden="1" x14ac:dyDescent="0.3">
      <c r="A589" s="77" t="s">
        <v>3126</v>
      </c>
      <c r="B589" s="77" t="s">
        <v>339</v>
      </c>
      <c r="G589" s="77" t="s">
        <v>3077</v>
      </c>
      <c r="H589" s="77" t="s">
        <v>77</v>
      </c>
      <c r="I589" s="77" t="s">
        <v>78</v>
      </c>
      <c r="J589" s="77" t="s">
        <v>3039</v>
      </c>
      <c r="K589" s="77" t="s">
        <v>80</v>
      </c>
      <c r="L589" s="77" t="s">
        <v>340</v>
      </c>
      <c r="M589" s="77" t="s">
        <v>82</v>
      </c>
      <c r="N589" s="77" t="s">
        <v>83</v>
      </c>
      <c r="Q589" s="77" t="s">
        <v>111</v>
      </c>
      <c r="T589" s="77" t="s">
        <v>112</v>
      </c>
      <c r="U589" s="77" t="s">
        <v>85</v>
      </c>
      <c r="V589" s="77" t="s">
        <v>341</v>
      </c>
      <c r="W589" s="79">
        <v>46200.370302627314</v>
      </c>
      <c r="X589" s="77" t="s">
        <v>342</v>
      </c>
      <c r="Y589" s="78" t="s">
        <v>88</v>
      </c>
      <c r="AA589" s="77" t="s">
        <v>191</v>
      </c>
      <c r="AB589" s="77" t="s">
        <v>78</v>
      </c>
      <c r="AC589" s="77" t="s">
        <v>114</v>
      </c>
      <c r="AD589" s="77" t="s">
        <v>91</v>
      </c>
      <c r="AE589" s="77" t="s">
        <v>3078</v>
      </c>
      <c r="AF589" s="77" t="s">
        <v>2706</v>
      </c>
      <c r="AG589" s="77" t="s">
        <v>112</v>
      </c>
    </row>
    <row r="590" spans="1:33" hidden="1" x14ac:dyDescent="0.3">
      <c r="A590" s="77" t="s">
        <v>3127</v>
      </c>
      <c r="B590" s="77" t="s">
        <v>344</v>
      </c>
      <c r="G590" s="77" t="s">
        <v>3077</v>
      </c>
      <c r="H590" s="77" t="s">
        <v>77</v>
      </c>
      <c r="I590" s="77" t="s">
        <v>78</v>
      </c>
      <c r="J590" s="77" t="s">
        <v>3039</v>
      </c>
      <c r="K590" s="77" t="s">
        <v>80</v>
      </c>
      <c r="L590" s="77" t="s">
        <v>340</v>
      </c>
      <c r="M590" s="77" t="s">
        <v>82</v>
      </c>
      <c r="N590" s="77" t="s">
        <v>83</v>
      </c>
      <c r="Q590" s="77" t="s">
        <v>111</v>
      </c>
      <c r="T590" s="77" t="s">
        <v>112</v>
      </c>
      <c r="U590" s="77" t="s">
        <v>85</v>
      </c>
      <c r="V590" s="77" t="s">
        <v>341</v>
      </c>
      <c r="W590" s="79">
        <v>46200.371430358799</v>
      </c>
      <c r="X590" s="77" t="s">
        <v>342</v>
      </c>
      <c r="Y590" s="78" t="s">
        <v>88</v>
      </c>
      <c r="AA590" s="77" t="s">
        <v>191</v>
      </c>
      <c r="AB590" s="77" t="s">
        <v>78</v>
      </c>
      <c r="AC590" s="77" t="s">
        <v>114</v>
      </c>
      <c r="AD590" s="77" t="s">
        <v>91</v>
      </c>
      <c r="AE590" s="77" t="s">
        <v>3078</v>
      </c>
      <c r="AF590" s="77" t="s">
        <v>2706</v>
      </c>
      <c r="AG590" s="77" t="s">
        <v>112</v>
      </c>
    </row>
    <row r="591" spans="1:33" hidden="1" x14ac:dyDescent="0.3">
      <c r="A591" s="77" t="s">
        <v>3128</v>
      </c>
      <c r="B591" s="77" t="s">
        <v>346</v>
      </c>
      <c r="G591" s="77" t="s">
        <v>3077</v>
      </c>
      <c r="H591" s="77" t="s">
        <v>77</v>
      </c>
      <c r="I591" s="77" t="s">
        <v>78</v>
      </c>
      <c r="J591" s="77" t="s">
        <v>3039</v>
      </c>
      <c r="K591" s="77" t="s">
        <v>80</v>
      </c>
      <c r="L591" s="77" t="s">
        <v>340</v>
      </c>
      <c r="M591" s="77" t="s">
        <v>82</v>
      </c>
      <c r="N591" s="77" t="s">
        <v>83</v>
      </c>
      <c r="Q591" s="77" t="s">
        <v>111</v>
      </c>
      <c r="T591" s="77" t="s">
        <v>112</v>
      </c>
      <c r="U591" s="77" t="s">
        <v>85</v>
      </c>
      <c r="V591" s="77" t="s">
        <v>341</v>
      </c>
      <c r="W591" s="79">
        <v>46200.395088043981</v>
      </c>
      <c r="X591" s="77" t="s">
        <v>342</v>
      </c>
      <c r="Y591" s="78" t="s">
        <v>88</v>
      </c>
      <c r="AA591" s="77" t="s">
        <v>191</v>
      </c>
      <c r="AB591" s="77" t="s">
        <v>78</v>
      </c>
      <c r="AC591" s="77" t="s">
        <v>114</v>
      </c>
      <c r="AD591" s="77" t="s">
        <v>91</v>
      </c>
      <c r="AE591" s="77" t="s">
        <v>3078</v>
      </c>
      <c r="AF591" s="77" t="s">
        <v>2706</v>
      </c>
      <c r="AG591" s="77" t="s">
        <v>112</v>
      </c>
    </row>
    <row r="592" spans="1:33" hidden="1" x14ac:dyDescent="0.3">
      <c r="A592" s="77" t="s">
        <v>3129</v>
      </c>
      <c r="B592" s="77" t="s">
        <v>348</v>
      </c>
      <c r="G592" s="77" t="s">
        <v>3077</v>
      </c>
      <c r="H592" s="77" t="s">
        <v>77</v>
      </c>
      <c r="I592" s="77" t="s">
        <v>78</v>
      </c>
      <c r="J592" s="77" t="s">
        <v>3039</v>
      </c>
      <c r="K592" s="77" t="s">
        <v>80</v>
      </c>
      <c r="L592" s="77" t="s">
        <v>349</v>
      </c>
      <c r="M592" s="77" t="s">
        <v>82</v>
      </c>
      <c r="N592" s="77" t="s">
        <v>83</v>
      </c>
      <c r="Q592" s="77" t="s">
        <v>111</v>
      </c>
      <c r="T592" s="77" t="s">
        <v>112</v>
      </c>
      <c r="U592" s="77" t="s">
        <v>85</v>
      </c>
      <c r="V592" s="77" t="s">
        <v>341</v>
      </c>
      <c r="W592" s="79">
        <v>46200.36918159722</v>
      </c>
      <c r="X592" s="77" t="s">
        <v>342</v>
      </c>
      <c r="Y592" s="78" t="s">
        <v>88</v>
      </c>
      <c r="AA592" s="77" t="s">
        <v>191</v>
      </c>
      <c r="AB592" s="77" t="s">
        <v>78</v>
      </c>
      <c r="AC592" s="77" t="s">
        <v>114</v>
      </c>
      <c r="AD592" s="77" t="s">
        <v>91</v>
      </c>
      <c r="AE592" s="77" t="s">
        <v>3078</v>
      </c>
      <c r="AF592" s="77" t="s">
        <v>2706</v>
      </c>
      <c r="AG592" s="77" t="s">
        <v>112</v>
      </c>
    </row>
    <row r="593" spans="1:33" hidden="1" x14ac:dyDescent="0.3">
      <c r="A593" s="77" t="s">
        <v>3130</v>
      </c>
      <c r="B593" s="77" t="s">
        <v>351</v>
      </c>
      <c r="G593" s="77" t="s">
        <v>3077</v>
      </c>
      <c r="H593" s="77" t="s">
        <v>77</v>
      </c>
      <c r="I593" s="77" t="s">
        <v>78</v>
      </c>
      <c r="J593" s="77" t="s">
        <v>3039</v>
      </c>
      <c r="K593" s="77" t="s">
        <v>80</v>
      </c>
      <c r="L593" s="77" t="s">
        <v>352</v>
      </c>
      <c r="M593" s="77" t="s">
        <v>82</v>
      </c>
      <c r="N593" s="77" t="s">
        <v>83</v>
      </c>
      <c r="Q593" s="77" t="s">
        <v>111</v>
      </c>
      <c r="T593" s="77" t="s">
        <v>112</v>
      </c>
      <c r="U593" s="77" t="s">
        <v>85</v>
      </c>
      <c r="V593" s="80" t="s">
        <v>86</v>
      </c>
      <c r="W593" s="79">
        <v>46192.195247025462</v>
      </c>
      <c r="X593" s="77" t="s">
        <v>87</v>
      </c>
      <c r="Y593" s="78" t="s">
        <v>88</v>
      </c>
      <c r="AA593" s="77" t="s">
        <v>191</v>
      </c>
      <c r="AB593" s="77" t="s">
        <v>78</v>
      </c>
      <c r="AC593" s="77" t="s">
        <v>114</v>
      </c>
      <c r="AD593" s="77" t="s">
        <v>91</v>
      </c>
      <c r="AE593" s="77" t="s">
        <v>3078</v>
      </c>
      <c r="AF593" s="77" t="s">
        <v>2706</v>
      </c>
      <c r="AG593" s="77" t="s">
        <v>112</v>
      </c>
    </row>
    <row r="594" spans="1:33" hidden="1" x14ac:dyDescent="0.3">
      <c r="A594" s="77" t="s">
        <v>3131</v>
      </c>
      <c r="B594" s="77" t="s">
        <v>354</v>
      </c>
      <c r="G594" s="77" t="s">
        <v>3077</v>
      </c>
      <c r="H594" s="77" t="s">
        <v>77</v>
      </c>
      <c r="I594" s="77" t="s">
        <v>78</v>
      </c>
      <c r="J594" s="77" t="s">
        <v>3039</v>
      </c>
      <c r="K594" s="77" t="s">
        <v>80</v>
      </c>
      <c r="L594" s="77" t="s">
        <v>355</v>
      </c>
      <c r="M594" s="77" t="s">
        <v>82</v>
      </c>
      <c r="N594" s="77" t="s">
        <v>83</v>
      </c>
      <c r="Q594" s="77" t="s">
        <v>111</v>
      </c>
      <c r="T594" s="77" t="s">
        <v>112</v>
      </c>
      <c r="U594" s="77" t="s">
        <v>85</v>
      </c>
      <c r="V594" s="77" t="s">
        <v>95</v>
      </c>
      <c r="W594" s="79">
        <v>46192.195537928237</v>
      </c>
      <c r="X594" s="77" t="s">
        <v>96</v>
      </c>
      <c r="Y594" s="78" t="s">
        <v>88</v>
      </c>
      <c r="AA594" s="77" t="s">
        <v>191</v>
      </c>
      <c r="AB594" s="77" t="s">
        <v>78</v>
      </c>
      <c r="AC594" s="77" t="s">
        <v>114</v>
      </c>
      <c r="AD594" s="77" t="s">
        <v>91</v>
      </c>
      <c r="AE594" s="77" t="s">
        <v>3078</v>
      </c>
      <c r="AF594" s="77" t="s">
        <v>2706</v>
      </c>
      <c r="AG594" s="77" t="s">
        <v>112</v>
      </c>
    </row>
    <row r="595" spans="1:33" x14ac:dyDescent="0.3">
      <c r="A595" s="77" t="s">
        <v>3132</v>
      </c>
      <c r="B595" s="77" t="s">
        <v>357</v>
      </c>
      <c r="G595" s="77" t="s">
        <v>3077</v>
      </c>
      <c r="H595" s="77" t="s">
        <v>77</v>
      </c>
      <c r="I595" s="77" t="s">
        <v>78</v>
      </c>
      <c r="J595" s="77" t="s">
        <v>3039</v>
      </c>
      <c r="K595" s="77" t="s">
        <v>80</v>
      </c>
      <c r="L595" s="77" t="s">
        <v>358</v>
      </c>
      <c r="M595" s="77" t="s">
        <v>82</v>
      </c>
      <c r="N595" s="77" t="s">
        <v>83</v>
      </c>
      <c r="Q595" s="77" t="s">
        <v>111</v>
      </c>
      <c r="T595" s="77" t="s">
        <v>112</v>
      </c>
      <c r="U595" s="77" t="s">
        <v>85</v>
      </c>
      <c r="V595" s="80" t="s">
        <v>99</v>
      </c>
      <c r="X595" s="77" t="s">
        <v>100</v>
      </c>
      <c r="Y595" s="78" t="s">
        <v>101</v>
      </c>
      <c r="AA595" s="77" t="s">
        <v>191</v>
      </c>
      <c r="AB595" s="77" t="s">
        <v>78</v>
      </c>
      <c r="AC595" s="77" t="s">
        <v>90</v>
      </c>
      <c r="AD595" s="77" t="s">
        <v>102</v>
      </c>
      <c r="AE595" s="77" t="s">
        <v>3078</v>
      </c>
      <c r="AG595" s="77" t="s">
        <v>112</v>
      </c>
    </row>
    <row r="596" spans="1:33" x14ac:dyDescent="0.3">
      <c r="A596" s="77" t="s">
        <v>3133</v>
      </c>
      <c r="B596" s="77" t="s">
        <v>360</v>
      </c>
      <c r="G596" s="77" t="s">
        <v>3077</v>
      </c>
      <c r="H596" s="77" t="s">
        <v>77</v>
      </c>
      <c r="I596" s="77" t="s">
        <v>78</v>
      </c>
      <c r="J596" s="77" t="s">
        <v>3039</v>
      </c>
      <c r="K596" s="77" t="s">
        <v>80</v>
      </c>
      <c r="L596" s="77" t="s">
        <v>361</v>
      </c>
      <c r="M596" s="77" t="s">
        <v>82</v>
      </c>
      <c r="N596" s="77" t="s">
        <v>83</v>
      </c>
      <c r="Q596" s="77" t="s">
        <v>111</v>
      </c>
      <c r="T596" s="77" t="s">
        <v>112</v>
      </c>
      <c r="U596" s="77" t="s">
        <v>85</v>
      </c>
      <c r="V596" s="80" t="s">
        <v>105</v>
      </c>
      <c r="X596" s="77" t="s">
        <v>106</v>
      </c>
      <c r="Y596" s="78" t="s">
        <v>101</v>
      </c>
      <c r="AA596" s="77" t="s">
        <v>191</v>
      </c>
      <c r="AB596" s="77" t="s">
        <v>78</v>
      </c>
      <c r="AC596" s="77" t="s">
        <v>90</v>
      </c>
      <c r="AD596" s="77" t="s">
        <v>102</v>
      </c>
      <c r="AE596" s="77" t="s">
        <v>3078</v>
      </c>
      <c r="AG596" s="77" t="s">
        <v>112</v>
      </c>
    </row>
    <row r="597" spans="1:33" x14ac:dyDescent="0.3">
      <c r="A597" s="77" t="s">
        <v>3134</v>
      </c>
      <c r="B597" s="77" t="s">
        <v>363</v>
      </c>
      <c r="G597" s="77" t="s">
        <v>3077</v>
      </c>
      <c r="H597" s="77" t="s">
        <v>77</v>
      </c>
      <c r="I597" s="77" t="s">
        <v>78</v>
      </c>
      <c r="J597" s="77" t="s">
        <v>3039</v>
      </c>
      <c r="K597" s="77" t="s">
        <v>80</v>
      </c>
      <c r="L597" s="77" t="s">
        <v>364</v>
      </c>
      <c r="M597" s="77" t="s">
        <v>82</v>
      </c>
      <c r="N597" s="77" t="s">
        <v>83</v>
      </c>
      <c r="Q597" s="77" t="s">
        <v>111</v>
      </c>
      <c r="T597" s="77" t="s">
        <v>112</v>
      </c>
      <c r="U597" s="77" t="s">
        <v>85</v>
      </c>
      <c r="V597" s="80" t="s">
        <v>365</v>
      </c>
      <c r="X597" s="77" t="s">
        <v>366</v>
      </c>
      <c r="Y597" s="78" t="s">
        <v>88</v>
      </c>
      <c r="AA597" s="77" t="s">
        <v>191</v>
      </c>
      <c r="AB597" s="77" t="s">
        <v>78</v>
      </c>
      <c r="AC597" s="77" t="s">
        <v>90</v>
      </c>
      <c r="AD597" s="77" t="s">
        <v>91</v>
      </c>
      <c r="AE597" s="77" t="s">
        <v>3078</v>
      </c>
      <c r="AG597" s="77" t="s">
        <v>112</v>
      </c>
    </row>
    <row r="598" spans="1:33" x14ac:dyDescent="0.3">
      <c r="A598" s="77" t="s">
        <v>3135</v>
      </c>
      <c r="B598" s="77" t="s">
        <v>368</v>
      </c>
      <c r="G598" s="77" t="s">
        <v>3077</v>
      </c>
      <c r="H598" s="77" t="s">
        <v>77</v>
      </c>
      <c r="I598" s="77" t="s">
        <v>78</v>
      </c>
      <c r="J598" s="77" t="s">
        <v>3039</v>
      </c>
      <c r="K598" s="77" t="s">
        <v>80</v>
      </c>
      <c r="L598" s="77" t="s">
        <v>369</v>
      </c>
      <c r="M598" s="77" t="s">
        <v>82</v>
      </c>
      <c r="N598" s="77" t="s">
        <v>83</v>
      </c>
      <c r="Q598" s="77" t="s">
        <v>111</v>
      </c>
      <c r="T598" s="77" t="s">
        <v>112</v>
      </c>
      <c r="U598" s="77" t="s">
        <v>85</v>
      </c>
      <c r="V598" s="80" t="s">
        <v>370</v>
      </c>
      <c r="X598" s="77" t="s">
        <v>371</v>
      </c>
      <c r="Y598" s="78" t="s">
        <v>88</v>
      </c>
      <c r="AA598" s="77" t="s">
        <v>191</v>
      </c>
      <c r="AB598" s="77" t="s">
        <v>78</v>
      </c>
      <c r="AC598" s="77" t="s">
        <v>90</v>
      </c>
      <c r="AD598" s="77" t="s">
        <v>91</v>
      </c>
      <c r="AE598" s="77" t="s">
        <v>3078</v>
      </c>
      <c r="AG598" s="77" t="s">
        <v>112</v>
      </c>
    </row>
    <row r="599" spans="1:33" x14ac:dyDescent="0.3">
      <c r="A599" s="77" t="s">
        <v>3136</v>
      </c>
      <c r="B599" s="77" t="s">
        <v>373</v>
      </c>
      <c r="G599" s="77" t="s">
        <v>3077</v>
      </c>
      <c r="H599" s="77" t="s">
        <v>77</v>
      </c>
      <c r="I599" s="77" t="s">
        <v>78</v>
      </c>
      <c r="J599" s="77" t="s">
        <v>3039</v>
      </c>
      <c r="K599" s="77" t="s">
        <v>80</v>
      </c>
      <c r="L599" s="77" t="s">
        <v>374</v>
      </c>
      <c r="M599" s="77" t="s">
        <v>82</v>
      </c>
      <c r="N599" s="77" t="s">
        <v>83</v>
      </c>
      <c r="Q599" s="77" t="s">
        <v>111</v>
      </c>
      <c r="T599" s="77" t="s">
        <v>112</v>
      </c>
      <c r="U599" s="77" t="s">
        <v>85</v>
      </c>
      <c r="V599" s="80" t="s">
        <v>375</v>
      </c>
      <c r="X599" s="77" t="s">
        <v>376</v>
      </c>
      <c r="Y599" s="78" t="s">
        <v>101</v>
      </c>
      <c r="AA599" s="77" t="s">
        <v>191</v>
      </c>
      <c r="AB599" s="77" t="s">
        <v>78</v>
      </c>
      <c r="AC599" s="77" t="s">
        <v>90</v>
      </c>
      <c r="AD599" s="77" t="s">
        <v>102</v>
      </c>
      <c r="AE599" s="77" t="s">
        <v>3078</v>
      </c>
      <c r="AG599" s="77" t="s">
        <v>112</v>
      </c>
    </row>
    <row r="600" spans="1:33" x14ac:dyDescent="0.3">
      <c r="A600" s="77" t="s">
        <v>3137</v>
      </c>
      <c r="B600" s="77" t="s">
        <v>378</v>
      </c>
      <c r="G600" s="77" t="s">
        <v>3077</v>
      </c>
      <c r="H600" s="77" t="s">
        <v>77</v>
      </c>
      <c r="I600" s="77" t="s">
        <v>78</v>
      </c>
      <c r="J600" s="77" t="s">
        <v>3039</v>
      </c>
      <c r="K600" s="77" t="s">
        <v>80</v>
      </c>
      <c r="L600" s="77" t="s">
        <v>379</v>
      </c>
      <c r="M600" s="77" t="s">
        <v>82</v>
      </c>
      <c r="N600" s="77" t="s">
        <v>83</v>
      </c>
      <c r="Q600" s="77" t="s">
        <v>111</v>
      </c>
      <c r="T600" s="77" t="s">
        <v>112</v>
      </c>
      <c r="U600" s="77" t="s">
        <v>85</v>
      </c>
      <c r="V600" s="80" t="s">
        <v>380</v>
      </c>
      <c r="X600" s="77" t="s">
        <v>381</v>
      </c>
      <c r="Y600" s="78" t="s">
        <v>101</v>
      </c>
      <c r="AA600" s="77" t="s">
        <v>191</v>
      </c>
      <c r="AB600" s="77" t="s">
        <v>78</v>
      </c>
      <c r="AC600" s="77" t="s">
        <v>90</v>
      </c>
      <c r="AD600" s="77" t="s">
        <v>102</v>
      </c>
      <c r="AE600" s="77" t="s">
        <v>3078</v>
      </c>
      <c r="AG600" s="77" t="s">
        <v>112</v>
      </c>
    </row>
    <row r="601" spans="1:33" hidden="1" x14ac:dyDescent="0.3">
      <c r="A601" s="77" t="s">
        <v>3138</v>
      </c>
      <c r="B601" s="77" t="s">
        <v>383</v>
      </c>
      <c r="G601" s="77" t="s">
        <v>3077</v>
      </c>
      <c r="H601" s="77" t="s">
        <v>77</v>
      </c>
      <c r="I601" s="77" t="s">
        <v>78</v>
      </c>
      <c r="J601" s="77" t="s">
        <v>3039</v>
      </c>
      <c r="K601" s="77" t="s">
        <v>80</v>
      </c>
      <c r="L601" s="77" t="s">
        <v>384</v>
      </c>
      <c r="M601" s="77" t="s">
        <v>82</v>
      </c>
      <c r="N601" s="77" t="s">
        <v>83</v>
      </c>
      <c r="Q601" s="77" t="s">
        <v>111</v>
      </c>
      <c r="T601" s="77" t="s">
        <v>112</v>
      </c>
      <c r="U601" s="77" t="s">
        <v>85</v>
      </c>
      <c r="V601" s="80" t="s">
        <v>86</v>
      </c>
      <c r="W601" s="79">
        <v>46184.222067511575</v>
      </c>
      <c r="X601" s="77" t="s">
        <v>87</v>
      </c>
      <c r="Y601" s="78" t="s">
        <v>88</v>
      </c>
      <c r="AA601" s="77" t="s">
        <v>191</v>
      </c>
      <c r="AB601" s="77" t="s">
        <v>78</v>
      </c>
      <c r="AC601" s="77" t="s">
        <v>114</v>
      </c>
      <c r="AD601" s="77" t="s">
        <v>91</v>
      </c>
      <c r="AE601" s="77" t="s">
        <v>3078</v>
      </c>
      <c r="AF601" s="77" t="s">
        <v>2706</v>
      </c>
      <c r="AG601" s="77" t="s">
        <v>112</v>
      </c>
    </row>
    <row r="602" spans="1:33" hidden="1" x14ac:dyDescent="0.3">
      <c r="A602" s="77" t="s">
        <v>3139</v>
      </c>
      <c r="B602" s="77" t="s">
        <v>386</v>
      </c>
      <c r="G602" s="77" t="s">
        <v>3077</v>
      </c>
      <c r="H602" s="77" t="s">
        <v>77</v>
      </c>
      <c r="I602" s="77" t="s">
        <v>78</v>
      </c>
      <c r="J602" s="77" t="s">
        <v>3039</v>
      </c>
      <c r="K602" s="77" t="s">
        <v>80</v>
      </c>
      <c r="L602" s="77" t="s">
        <v>387</v>
      </c>
      <c r="M602" s="77" t="s">
        <v>82</v>
      </c>
      <c r="N602" s="77" t="s">
        <v>83</v>
      </c>
      <c r="Q602" s="77" t="s">
        <v>111</v>
      </c>
      <c r="T602" s="77" t="s">
        <v>112</v>
      </c>
      <c r="U602" s="77" t="s">
        <v>85</v>
      </c>
      <c r="V602" s="77" t="s">
        <v>95</v>
      </c>
      <c r="W602" s="79">
        <v>46207.494130868057</v>
      </c>
      <c r="X602" s="77" t="s">
        <v>96</v>
      </c>
      <c r="Y602" s="78" t="s">
        <v>88</v>
      </c>
      <c r="AA602" s="77" t="s">
        <v>191</v>
      </c>
      <c r="AB602" s="77" t="s">
        <v>78</v>
      </c>
      <c r="AC602" s="77" t="s">
        <v>114</v>
      </c>
      <c r="AD602" s="77" t="s">
        <v>91</v>
      </c>
      <c r="AE602" s="77" t="s">
        <v>3078</v>
      </c>
      <c r="AF602" s="77" t="s">
        <v>2706</v>
      </c>
      <c r="AG602" s="77" t="s">
        <v>112</v>
      </c>
    </row>
    <row r="603" spans="1:33" x14ac:dyDescent="0.3">
      <c r="A603" s="77" t="s">
        <v>3140</v>
      </c>
      <c r="B603" s="77" t="s">
        <v>389</v>
      </c>
      <c r="G603" s="77" t="s">
        <v>3077</v>
      </c>
      <c r="H603" s="77" t="s">
        <v>77</v>
      </c>
      <c r="I603" s="77" t="s">
        <v>78</v>
      </c>
      <c r="J603" s="77" t="s">
        <v>3039</v>
      </c>
      <c r="K603" s="77" t="s">
        <v>80</v>
      </c>
      <c r="L603" s="77" t="s">
        <v>390</v>
      </c>
      <c r="M603" s="77" t="s">
        <v>82</v>
      </c>
      <c r="N603" s="77" t="s">
        <v>83</v>
      </c>
      <c r="Q603" s="77" t="s">
        <v>111</v>
      </c>
      <c r="T603" s="77" t="s">
        <v>112</v>
      </c>
      <c r="U603" s="77" t="s">
        <v>85</v>
      </c>
      <c r="V603" s="80" t="s">
        <v>99</v>
      </c>
      <c r="X603" s="77" t="s">
        <v>100</v>
      </c>
      <c r="Y603" s="78" t="s">
        <v>101</v>
      </c>
      <c r="AA603" s="77" t="s">
        <v>191</v>
      </c>
      <c r="AB603" s="77" t="s">
        <v>78</v>
      </c>
      <c r="AC603" s="77" t="s">
        <v>90</v>
      </c>
      <c r="AD603" s="77" t="s">
        <v>102</v>
      </c>
      <c r="AE603" s="77" t="s">
        <v>3078</v>
      </c>
      <c r="AG603" s="77" t="s">
        <v>112</v>
      </c>
    </row>
    <row r="604" spans="1:33" hidden="1" x14ac:dyDescent="0.3">
      <c r="A604" s="77" t="s">
        <v>3141</v>
      </c>
      <c r="B604" s="77" t="s">
        <v>392</v>
      </c>
      <c r="G604" s="77" t="s">
        <v>3077</v>
      </c>
      <c r="H604" s="77" t="s">
        <v>77</v>
      </c>
      <c r="I604" s="77" t="s">
        <v>78</v>
      </c>
      <c r="J604" s="77" t="s">
        <v>3039</v>
      </c>
      <c r="K604" s="77" t="s">
        <v>80</v>
      </c>
      <c r="L604" s="77" t="s">
        <v>393</v>
      </c>
      <c r="M604" s="77" t="s">
        <v>82</v>
      </c>
      <c r="N604" s="77" t="s">
        <v>83</v>
      </c>
      <c r="Q604" s="77" t="s">
        <v>111</v>
      </c>
      <c r="T604" s="77" t="s">
        <v>112</v>
      </c>
      <c r="U604" s="77" t="s">
        <v>85</v>
      </c>
      <c r="V604" s="77" t="s">
        <v>105</v>
      </c>
      <c r="W604" s="79">
        <v>46192.21666273148</v>
      </c>
      <c r="X604" s="77" t="s">
        <v>106</v>
      </c>
      <c r="Y604" s="78" t="s">
        <v>101</v>
      </c>
      <c r="AA604" s="77" t="s">
        <v>191</v>
      </c>
      <c r="AB604" s="77" t="s">
        <v>78</v>
      </c>
      <c r="AC604" s="77" t="s">
        <v>114</v>
      </c>
      <c r="AD604" s="77" t="s">
        <v>102</v>
      </c>
      <c r="AE604" s="77" t="s">
        <v>3078</v>
      </c>
      <c r="AF604" s="77" t="s">
        <v>2706</v>
      </c>
      <c r="AG604" s="77" t="s">
        <v>112</v>
      </c>
    </row>
    <row r="605" spans="1:33" hidden="1" x14ac:dyDescent="0.3">
      <c r="A605" s="77" t="s">
        <v>3142</v>
      </c>
      <c r="B605" s="77" t="s">
        <v>395</v>
      </c>
      <c r="G605" s="77" t="s">
        <v>3077</v>
      </c>
      <c r="H605" s="77" t="s">
        <v>77</v>
      </c>
      <c r="I605" s="77" t="s">
        <v>78</v>
      </c>
      <c r="J605" s="77" t="s">
        <v>3039</v>
      </c>
      <c r="K605" s="77" t="s">
        <v>80</v>
      </c>
      <c r="L605" s="77" t="s">
        <v>396</v>
      </c>
      <c r="M605" s="77" t="s">
        <v>82</v>
      </c>
      <c r="N605" s="77" t="s">
        <v>83</v>
      </c>
      <c r="Q605" s="77" t="s">
        <v>111</v>
      </c>
      <c r="T605" s="77" t="s">
        <v>112</v>
      </c>
      <c r="U605" s="77" t="s">
        <v>85</v>
      </c>
      <c r="V605" s="80" t="s">
        <v>86</v>
      </c>
      <c r="W605" s="79">
        <v>46178.324430671295</v>
      </c>
      <c r="X605" s="77" t="s">
        <v>87</v>
      </c>
      <c r="Y605" s="78" t="s">
        <v>88</v>
      </c>
      <c r="AA605" s="77" t="s">
        <v>191</v>
      </c>
      <c r="AB605" s="77" t="s">
        <v>78</v>
      </c>
      <c r="AC605" s="77" t="s">
        <v>114</v>
      </c>
      <c r="AD605" s="77" t="s">
        <v>91</v>
      </c>
      <c r="AE605" s="77" t="s">
        <v>3078</v>
      </c>
      <c r="AF605" s="77" t="s">
        <v>2706</v>
      </c>
      <c r="AG605" s="77" t="s">
        <v>112</v>
      </c>
    </row>
    <row r="606" spans="1:33" hidden="1" x14ac:dyDescent="0.3">
      <c r="A606" s="77" t="s">
        <v>3143</v>
      </c>
      <c r="B606" s="77" t="s">
        <v>398</v>
      </c>
      <c r="G606" s="77" t="s">
        <v>3077</v>
      </c>
      <c r="H606" s="77" t="s">
        <v>77</v>
      </c>
      <c r="I606" s="77" t="s">
        <v>78</v>
      </c>
      <c r="J606" s="77" t="s">
        <v>3039</v>
      </c>
      <c r="K606" s="77" t="s">
        <v>80</v>
      </c>
      <c r="L606" s="77" t="s">
        <v>396</v>
      </c>
      <c r="M606" s="77" t="s">
        <v>82</v>
      </c>
      <c r="N606" s="77" t="s">
        <v>83</v>
      </c>
      <c r="Q606" s="77" t="s">
        <v>111</v>
      </c>
      <c r="T606" s="77" t="s">
        <v>112</v>
      </c>
      <c r="U606" s="77" t="s">
        <v>85</v>
      </c>
      <c r="V606" s="80" t="s">
        <v>86</v>
      </c>
      <c r="W606" s="79">
        <v>46178.325840509257</v>
      </c>
      <c r="X606" s="77" t="s">
        <v>87</v>
      </c>
      <c r="Y606" s="78" t="s">
        <v>88</v>
      </c>
      <c r="AA606" s="77" t="s">
        <v>191</v>
      </c>
      <c r="AB606" s="77" t="s">
        <v>78</v>
      </c>
      <c r="AC606" s="77" t="s">
        <v>114</v>
      </c>
      <c r="AD606" s="77" t="s">
        <v>91</v>
      </c>
      <c r="AE606" s="77" t="s">
        <v>3078</v>
      </c>
      <c r="AF606" s="77" t="s">
        <v>2706</v>
      </c>
      <c r="AG606" s="77" t="s">
        <v>112</v>
      </c>
    </row>
    <row r="607" spans="1:33" hidden="1" x14ac:dyDescent="0.3">
      <c r="A607" s="77" t="s">
        <v>3144</v>
      </c>
      <c r="B607" s="77" t="s">
        <v>400</v>
      </c>
      <c r="G607" s="77" t="s">
        <v>3077</v>
      </c>
      <c r="H607" s="77" t="s">
        <v>77</v>
      </c>
      <c r="I607" s="77" t="s">
        <v>78</v>
      </c>
      <c r="J607" s="77" t="s">
        <v>3039</v>
      </c>
      <c r="K607" s="77" t="s">
        <v>80</v>
      </c>
      <c r="L607" s="77" t="s">
        <v>396</v>
      </c>
      <c r="M607" s="77" t="s">
        <v>82</v>
      </c>
      <c r="N607" s="77" t="s">
        <v>83</v>
      </c>
      <c r="Q607" s="77" t="s">
        <v>111</v>
      </c>
      <c r="T607" s="77" t="s">
        <v>112</v>
      </c>
      <c r="U607" s="77" t="s">
        <v>85</v>
      </c>
      <c r="V607" s="80" t="s">
        <v>86</v>
      </c>
      <c r="W607" s="79">
        <v>46207.494745370372</v>
      </c>
      <c r="X607" s="77" t="s">
        <v>87</v>
      </c>
      <c r="Y607" s="78" t="s">
        <v>88</v>
      </c>
      <c r="AA607" s="77" t="s">
        <v>191</v>
      </c>
      <c r="AB607" s="77" t="s">
        <v>78</v>
      </c>
      <c r="AC607" s="77" t="s">
        <v>114</v>
      </c>
      <c r="AD607" s="77" t="s">
        <v>91</v>
      </c>
      <c r="AE607" s="77" t="s">
        <v>3078</v>
      </c>
      <c r="AF607" s="77" t="s">
        <v>2706</v>
      </c>
      <c r="AG607" s="77" t="s">
        <v>112</v>
      </c>
    </row>
    <row r="608" spans="1:33" hidden="1" x14ac:dyDescent="0.3">
      <c r="A608" s="77" t="s">
        <v>3145</v>
      </c>
      <c r="B608" s="77" t="s">
        <v>402</v>
      </c>
      <c r="G608" s="77" t="s">
        <v>3077</v>
      </c>
      <c r="H608" s="77" t="s">
        <v>77</v>
      </c>
      <c r="I608" s="77" t="s">
        <v>78</v>
      </c>
      <c r="J608" s="77" t="s">
        <v>3039</v>
      </c>
      <c r="K608" s="77" t="s">
        <v>80</v>
      </c>
      <c r="L608" s="77" t="s">
        <v>396</v>
      </c>
      <c r="M608" s="77" t="s">
        <v>82</v>
      </c>
      <c r="N608" s="77" t="s">
        <v>83</v>
      </c>
      <c r="Q608" s="77" t="s">
        <v>111</v>
      </c>
      <c r="T608" s="77" t="s">
        <v>112</v>
      </c>
      <c r="U608" s="77" t="s">
        <v>85</v>
      </c>
      <c r="V608" s="80" t="s">
        <v>86</v>
      </c>
      <c r="W608" s="79">
        <v>46179.195530243058</v>
      </c>
      <c r="X608" s="77" t="s">
        <v>87</v>
      </c>
      <c r="Y608" s="78" t="s">
        <v>88</v>
      </c>
      <c r="AA608" s="77" t="s">
        <v>191</v>
      </c>
      <c r="AB608" s="77" t="s">
        <v>78</v>
      </c>
      <c r="AC608" s="77" t="s">
        <v>114</v>
      </c>
      <c r="AD608" s="77" t="s">
        <v>91</v>
      </c>
      <c r="AE608" s="77" t="s">
        <v>3078</v>
      </c>
      <c r="AF608" s="77" t="s">
        <v>2706</v>
      </c>
      <c r="AG608" s="77" t="s">
        <v>112</v>
      </c>
    </row>
    <row r="609" spans="1:33" hidden="1" x14ac:dyDescent="0.3">
      <c r="A609" s="77" t="s">
        <v>3146</v>
      </c>
      <c r="B609" s="77" t="s">
        <v>404</v>
      </c>
      <c r="G609" s="77" t="s">
        <v>3077</v>
      </c>
      <c r="H609" s="77" t="s">
        <v>77</v>
      </c>
      <c r="I609" s="77" t="s">
        <v>78</v>
      </c>
      <c r="J609" s="77" t="s">
        <v>3039</v>
      </c>
      <c r="K609" s="77" t="s">
        <v>80</v>
      </c>
      <c r="L609" s="77" t="s">
        <v>396</v>
      </c>
      <c r="M609" s="77" t="s">
        <v>82</v>
      </c>
      <c r="N609" s="77" t="s">
        <v>83</v>
      </c>
      <c r="Q609" s="77" t="s">
        <v>111</v>
      </c>
      <c r="T609" s="77" t="s">
        <v>112</v>
      </c>
      <c r="U609" s="77" t="s">
        <v>85</v>
      </c>
      <c r="V609" s="80" t="s">
        <v>86</v>
      </c>
      <c r="W609" s="79">
        <v>46207.495193171293</v>
      </c>
      <c r="X609" s="77" t="s">
        <v>87</v>
      </c>
      <c r="Y609" s="78" t="s">
        <v>88</v>
      </c>
      <c r="AA609" s="77" t="s">
        <v>191</v>
      </c>
      <c r="AB609" s="77" t="s">
        <v>78</v>
      </c>
      <c r="AC609" s="77" t="s">
        <v>114</v>
      </c>
      <c r="AD609" s="77" t="s">
        <v>91</v>
      </c>
      <c r="AE609" s="77" t="s">
        <v>3078</v>
      </c>
      <c r="AF609" s="77" t="s">
        <v>2706</v>
      </c>
      <c r="AG609" s="77" t="s">
        <v>112</v>
      </c>
    </row>
    <row r="610" spans="1:33" hidden="1" x14ac:dyDescent="0.3">
      <c r="A610" s="77" t="s">
        <v>3147</v>
      </c>
      <c r="B610" s="77" t="s">
        <v>406</v>
      </c>
      <c r="G610" s="77" t="s">
        <v>3077</v>
      </c>
      <c r="H610" s="77" t="s">
        <v>77</v>
      </c>
      <c r="I610" s="77" t="s">
        <v>78</v>
      </c>
      <c r="J610" s="77" t="s">
        <v>3039</v>
      </c>
      <c r="K610" s="77" t="s">
        <v>80</v>
      </c>
      <c r="L610" s="77" t="s">
        <v>396</v>
      </c>
      <c r="M610" s="77" t="s">
        <v>82</v>
      </c>
      <c r="N610" s="77" t="s">
        <v>83</v>
      </c>
      <c r="Q610" s="77" t="s">
        <v>111</v>
      </c>
      <c r="T610" s="77" t="s">
        <v>112</v>
      </c>
      <c r="U610" s="77" t="s">
        <v>85</v>
      </c>
      <c r="V610" s="80" t="s">
        <v>86</v>
      </c>
      <c r="W610" s="79">
        <v>46207.495670335651</v>
      </c>
      <c r="X610" s="77" t="s">
        <v>87</v>
      </c>
      <c r="Y610" s="78" t="s">
        <v>88</v>
      </c>
      <c r="AA610" s="77" t="s">
        <v>191</v>
      </c>
      <c r="AB610" s="77" t="s">
        <v>78</v>
      </c>
      <c r="AC610" s="77" t="s">
        <v>114</v>
      </c>
      <c r="AD610" s="77" t="s">
        <v>91</v>
      </c>
      <c r="AE610" s="77" t="s">
        <v>3078</v>
      </c>
      <c r="AF610" s="77" t="s">
        <v>2706</v>
      </c>
      <c r="AG610" s="77" t="s">
        <v>112</v>
      </c>
    </row>
    <row r="611" spans="1:33" hidden="1" x14ac:dyDescent="0.3">
      <c r="A611" s="77" t="s">
        <v>3148</v>
      </c>
      <c r="B611" s="77" t="s">
        <v>408</v>
      </c>
      <c r="G611" s="77" t="s">
        <v>3077</v>
      </c>
      <c r="H611" s="77" t="s">
        <v>77</v>
      </c>
      <c r="I611" s="77" t="s">
        <v>78</v>
      </c>
      <c r="J611" s="77" t="s">
        <v>3039</v>
      </c>
      <c r="K611" s="77" t="s">
        <v>80</v>
      </c>
      <c r="L611" s="77" t="s">
        <v>409</v>
      </c>
      <c r="M611" s="77" t="s">
        <v>82</v>
      </c>
      <c r="N611" s="77" t="s">
        <v>83</v>
      </c>
      <c r="Q611" s="77" t="s">
        <v>111</v>
      </c>
      <c r="T611" s="77" t="s">
        <v>112</v>
      </c>
      <c r="U611" s="77" t="s">
        <v>85</v>
      </c>
      <c r="V611" s="80" t="s">
        <v>86</v>
      </c>
      <c r="W611" s="79">
        <v>46207.496180289352</v>
      </c>
      <c r="X611" s="77" t="s">
        <v>87</v>
      </c>
      <c r="Y611" s="78" t="s">
        <v>88</v>
      </c>
      <c r="AA611" s="77" t="s">
        <v>191</v>
      </c>
      <c r="AB611" s="77" t="s">
        <v>78</v>
      </c>
      <c r="AC611" s="77" t="s">
        <v>114</v>
      </c>
      <c r="AD611" s="77" t="s">
        <v>91</v>
      </c>
      <c r="AE611" s="77" t="s">
        <v>3078</v>
      </c>
      <c r="AF611" s="77" t="s">
        <v>2706</v>
      </c>
      <c r="AG611" s="77" t="s">
        <v>112</v>
      </c>
    </row>
    <row r="612" spans="1:33" hidden="1" x14ac:dyDescent="0.3">
      <c r="A612" s="77" t="s">
        <v>3149</v>
      </c>
      <c r="B612" s="77" t="s">
        <v>411</v>
      </c>
      <c r="G612" s="77" t="s">
        <v>3077</v>
      </c>
      <c r="H612" s="77" t="s">
        <v>77</v>
      </c>
      <c r="I612" s="77" t="s">
        <v>78</v>
      </c>
      <c r="J612" s="77" t="s">
        <v>3039</v>
      </c>
      <c r="K612" s="77" t="s">
        <v>80</v>
      </c>
      <c r="L612" s="77" t="s">
        <v>409</v>
      </c>
      <c r="M612" s="77" t="s">
        <v>82</v>
      </c>
      <c r="N612" s="77" t="s">
        <v>83</v>
      </c>
      <c r="Q612" s="77" t="s">
        <v>111</v>
      </c>
      <c r="T612" s="77" t="s">
        <v>112</v>
      </c>
      <c r="U612" s="77" t="s">
        <v>85</v>
      </c>
      <c r="V612" s="80" t="s">
        <v>86</v>
      </c>
      <c r="W612" s="79">
        <v>46207.497786192129</v>
      </c>
      <c r="X612" s="77" t="s">
        <v>87</v>
      </c>
      <c r="Y612" s="78" t="s">
        <v>88</v>
      </c>
      <c r="AA612" s="77" t="s">
        <v>191</v>
      </c>
      <c r="AB612" s="77" t="s">
        <v>78</v>
      </c>
      <c r="AC612" s="77" t="s">
        <v>114</v>
      </c>
      <c r="AD612" s="77" t="s">
        <v>91</v>
      </c>
      <c r="AE612" s="77" t="s">
        <v>3078</v>
      </c>
      <c r="AF612" s="77" t="s">
        <v>2706</v>
      </c>
      <c r="AG612" s="77" t="s">
        <v>112</v>
      </c>
    </row>
    <row r="613" spans="1:33" hidden="1" x14ac:dyDescent="0.3">
      <c r="A613" s="77" t="s">
        <v>3150</v>
      </c>
      <c r="B613" s="77" t="s">
        <v>413</v>
      </c>
      <c r="G613" s="77" t="s">
        <v>3077</v>
      </c>
      <c r="H613" s="77" t="s">
        <v>77</v>
      </c>
      <c r="I613" s="77" t="s">
        <v>78</v>
      </c>
      <c r="J613" s="77" t="s">
        <v>3039</v>
      </c>
      <c r="K613" s="77" t="s">
        <v>80</v>
      </c>
      <c r="L613" s="77" t="s">
        <v>409</v>
      </c>
      <c r="M613" s="77" t="s">
        <v>82</v>
      </c>
      <c r="N613" s="77" t="s">
        <v>83</v>
      </c>
      <c r="Q613" s="77" t="s">
        <v>111</v>
      </c>
      <c r="T613" s="77" t="s">
        <v>112</v>
      </c>
      <c r="U613" s="77" t="s">
        <v>85</v>
      </c>
      <c r="V613" s="80" t="s">
        <v>86</v>
      </c>
      <c r="W613" s="79">
        <v>46207.498479548609</v>
      </c>
      <c r="X613" s="77" t="s">
        <v>87</v>
      </c>
      <c r="Y613" s="78" t="s">
        <v>88</v>
      </c>
      <c r="AA613" s="77" t="s">
        <v>191</v>
      </c>
      <c r="AB613" s="77" t="s">
        <v>78</v>
      </c>
      <c r="AC613" s="77" t="s">
        <v>114</v>
      </c>
      <c r="AD613" s="77" t="s">
        <v>91</v>
      </c>
      <c r="AE613" s="77" t="s">
        <v>3078</v>
      </c>
      <c r="AF613" s="77" t="s">
        <v>2706</v>
      </c>
      <c r="AG613" s="77" t="s">
        <v>112</v>
      </c>
    </row>
    <row r="614" spans="1:33" hidden="1" x14ac:dyDescent="0.3">
      <c r="A614" s="77" t="s">
        <v>3151</v>
      </c>
      <c r="B614" s="77" t="s">
        <v>415</v>
      </c>
      <c r="G614" s="77" t="s">
        <v>3077</v>
      </c>
      <c r="H614" s="77" t="s">
        <v>77</v>
      </c>
      <c r="I614" s="77" t="s">
        <v>78</v>
      </c>
      <c r="J614" s="77" t="s">
        <v>3039</v>
      </c>
      <c r="K614" s="77" t="s">
        <v>80</v>
      </c>
      <c r="L614" s="77" t="s">
        <v>409</v>
      </c>
      <c r="M614" s="77" t="s">
        <v>82</v>
      </c>
      <c r="N614" s="77" t="s">
        <v>83</v>
      </c>
      <c r="Q614" s="77" t="s">
        <v>111</v>
      </c>
      <c r="T614" s="77" t="s">
        <v>112</v>
      </c>
      <c r="U614" s="77" t="s">
        <v>85</v>
      </c>
      <c r="V614" s="80" t="s">
        <v>86</v>
      </c>
      <c r="W614" s="79">
        <v>46207.499070405094</v>
      </c>
      <c r="X614" s="77" t="s">
        <v>87</v>
      </c>
      <c r="Y614" s="78" t="s">
        <v>88</v>
      </c>
      <c r="AA614" s="77" t="s">
        <v>191</v>
      </c>
      <c r="AB614" s="77" t="s">
        <v>78</v>
      </c>
      <c r="AC614" s="77" t="s">
        <v>114</v>
      </c>
      <c r="AD614" s="77" t="s">
        <v>91</v>
      </c>
      <c r="AE614" s="77" t="s">
        <v>3078</v>
      </c>
      <c r="AF614" s="77" t="s">
        <v>2706</v>
      </c>
      <c r="AG614" s="77" t="s">
        <v>112</v>
      </c>
    </row>
    <row r="615" spans="1:33" hidden="1" x14ac:dyDescent="0.3">
      <c r="A615" s="77" t="s">
        <v>3152</v>
      </c>
      <c r="B615" s="77" t="s">
        <v>417</v>
      </c>
      <c r="G615" s="77" t="s">
        <v>3077</v>
      </c>
      <c r="H615" s="77" t="s">
        <v>77</v>
      </c>
      <c r="I615" s="77" t="s">
        <v>78</v>
      </c>
      <c r="J615" s="77" t="s">
        <v>3039</v>
      </c>
      <c r="K615" s="77" t="s">
        <v>80</v>
      </c>
      <c r="L615" s="77" t="s">
        <v>409</v>
      </c>
      <c r="M615" s="77" t="s">
        <v>82</v>
      </c>
      <c r="N615" s="77" t="s">
        <v>83</v>
      </c>
      <c r="Q615" s="77" t="s">
        <v>111</v>
      </c>
      <c r="T615" s="77" t="s">
        <v>112</v>
      </c>
      <c r="U615" s="77" t="s">
        <v>85</v>
      </c>
      <c r="V615" s="80" t="s">
        <v>86</v>
      </c>
      <c r="W615" s="79">
        <v>46207.499522418984</v>
      </c>
      <c r="X615" s="77" t="s">
        <v>87</v>
      </c>
      <c r="Y615" s="78" t="s">
        <v>88</v>
      </c>
      <c r="AA615" s="77" t="s">
        <v>191</v>
      </c>
      <c r="AB615" s="77" t="s">
        <v>78</v>
      </c>
      <c r="AC615" s="77" t="s">
        <v>114</v>
      </c>
      <c r="AD615" s="77" t="s">
        <v>91</v>
      </c>
      <c r="AE615" s="77" t="s">
        <v>3078</v>
      </c>
      <c r="AF615" s="77" t="s">
        <v>2706</v>
      </c>
      <c r="AG615" s="77" t="s">
        <v>112</v>
      </c>
    </row>
    <row r="616" spans="1:33" hidden="1" x14ac:dyDescent="0.3">
      <c r="A616" s="77" t="s">
        <v>3153</v>
      </c>
      <c r="B616" s="77" t="s">
        <v>419</v>
      </c>
      <c r="G616" s="77" t="s">
        <v>3077</v>
      </c>
      <c r="H616" s="77" t="s">
        <v>77</v>
      </c>
      <c r="I616" s="77" t="s">
        <v>78</v>
      </c>
      <c r="J616" s="77" t="s">
        <v>3039</v>
      </c>
      <c r="K616" s="77" t="s">
        <v>80</v>
      </c>
      <c r="L616" s="77" t="s">
        <v>409</v>
      </c>
      <c r="M616" s="77" t="s">
        <v>82</v>
      </c>
      <c r="N616" s="77" t="s">
        <v>83</v>
      </c>
      <c r="Q616" s="77" t="s">
        <v>111</v>
      </c>
      <c r="T616" s="77" t="s">
        <v>112</v>
      </c>
      <c r="U616" s="77" t="s">
        <v>85</v>
      </c>
      <c r="V616" s="80" t="s">
        <v>86</v>
      </c>
      <c r="W616" s="79">
        <v>46207.500046145833</v>
      </c>
      <c r="X616" s="77" t="s">
        <v>87</v>
      </c>
      <c r="Y616" s="78" t="s">
        <v>88</v>
      </c>
      <c r="AA616" s="77" t="s">
        <v>191</v>
      </c>
      <c r="AB616" s="77" t="s">
        <v>78</v>
      </c>
      <c r="AC616" s="77" t="s">
        <v>114</v>
      </c>
      <c r="AD616" s="77" t="s">
        <v>91</v>
      </c>
      <c r="AE616" s="77" t="s">
        <v>3078</v>
      </c>
      <c r="AF616" s="77" t="s">
        <v>2706</v>
      </c>
      <c r="AG616" s="77" t="s">
        <v>112</v>
      </c>
    </row>
    <row r="617" spans="1:33" hidden="1" x14ac:dyDescent="0.3">
      <c r="A617" s="77" t="s">
        <v>3154</v>
      </c>
      <c r="B617" s="77" t="s">
        <v>421</v>
      </c>
      <c r="G617" s="77" t="s">
        <v>3077</v>
      </c>
      <c r="H617" s="77" t="s">
        <v>77</v>
      </c>
      <c r="I617" s="77" t="s">
        <v>78</v>
      </c>
      <c r="J617" s="77" t="s">
        <v>3039</v>
      </c>
      <c r="K617" s="77" t="s">
        <v>80</v>
      </c>
      <c r="L617" s="77" t="s">
        <v>422</v>
      </c>
      <c r="M617" s="77" t="s">
        <v>82</v>
      </c>
      <c r="N617" s="77" t="s">
        <v>83</v>
      </c>
      <c r="Q617" s="77" t="s">
        <v>111</v>
      </c>
      <c r="T617" s="77" t="s">
        <v>112</v>
      </c>
      <c r="U617" s="77" t="s">
        <v>85</v>
      </c>
      <c r="V617" s="77" t="s">
        <v>95</v>
      </c>
      <c r="W617" s="79">
        <v>46207.50060702546</v>
      </c>
      <c r="X617" s="77" t="s">
        <v>96</v>
      </c>
      <c r="Y617" s="78" t="s">
        <v>88</v>
      </c>
      <c r="AA617" s="77" t="s">
        <v>191</v>
      </c>
      <c r="AB617" s="77" t="s">
        <v>78</v>
      </c>
      <c r="AC617" s="77" t="s">
        <v>114</v>
      </c>
      <c r="AD617" s="77" t="s">
        <v>91</v>
      </c>
      <c r="AE617" s="77" t="s">
        <v>3078</v>
      </c>
      <c r="AF617" s="77" t="s">
        <v>2706</v>
      </c>
      <c r="AG617" s="77" t="s">
        <v>112</v>
      </c>
    </row>
    <row r="618" spans="1:33" hidden="1" x14ac:dyDescent="0.3">
      <c r="A618" s="77" t="s">
        <v>3155</v>
      </c>
      <c r="B618" s="77" t="s">
        <v>424</v>
      </c>
      <c r="G618" s="77" t="s">
        <v>3077</v>
      </c>
      <c r="H618" s="77" t="s">
        <v>77</v>
      </c>
      <c r="I618" s="77" t="s">
        <v>78</v>
      </c>
      <c r="J618" s="77" t="s">
        <v>3039</v>
      </c>
      <c r="K618" s="77" t="s">
        <v>80</v>
      </c>
      <c r="L618" s="77" t="s">
        <v>422</v>
      </c>
      <c r="M618" s="77" t="s">
        <v>82</v>
      </c>
      <c r="N618" s="77" t="s">
        <v>83</v>
      </c>
      <c r="Q618" s="77" t="s">
        <v>111</v>
      </c>
      <c r="T618" s="77" t="s">
        <v>112</v>
      </c>
      <c r="U618" s="77" t="s">
        <v>85</v>
      </c>
      <c r="V618" s="77" t="s">
        <v>95</v>
      </c>
      <c r="W618" s="79">
        <v>46207.501135034719</v>
      </c>
      <c r="X618" s="77" t="s">
        <v>96</v>
      </c>
      <c r="Y618" s="78" t="s">
        <v>88</v>
      </c>
      <c r="AA618" s="77" t="s">
        <v>191</v>
      </c>
      <c r="AB618" s="77" t="s">
        <v>78</v>
      </c>
      <c r="AC618" s="77" t="s">
        <v>114</v>
      </c>
      <c r="AD618" s="77" t="s">
        <v>91</v>
      </c>
      <c r="AE618" s="77" t="s">
        <v>3078</v>
      </c>
      <c r="AF618" s="77" t="s">
        <v>2706</v>
      </c>
      <c r="AG618" s="77" t="s">
        <v>112</v>
      </c>
    </row>
    <row r="619" spans="1:33" hidden="1" x14ac:dyDescent="0.3">
      <c r="A619" s="77" t="s">
        <v>3156</v>
      </c>
      <c r="B619" s="77" t="s">
        <v>426</v>
      </c>
      <c r="G619" s="77" t="s">
        <v>3077</v>
      </c>
      <c r="H619" s="77" t="s">
        <v>77</v>
      </c>
      <c r="I619" s="77" t="s">
        <v>78</v>
      </c>
      <c r="J619" s="77" t="s">
        <v>3039</v>
      </c>
      <c r="K619" s="77" t="s">
        <v>80</v>
      </c>
      <c r="L619" s="77" t="s">
        <v>422</v>
      </c>
      <c r="M619" s="77" t="s">
        <v>82</v>
      </c>
      <c r="N619" s="77" t="s">
        <v>83</v>
      </c>
      <c r="Q619" s="77" t="s">
        <v>111</v>
      </c>
      <c r="T619" s="77" t="s">
        <v>112</v>
      </c>
      <c r="U619" s="77" t="s">
        <v>85</v>
      </c>
      <c r="V619" s="77" t="s">
        <v>95</v>
      </c>
      <c r="W619" s="79">
        <v>46207.501670219906</v>
      </c>
      <c r="X619" s="77" t="s">
        <v>96</v>
      </c>
      <c r="Y619" s="78" t="s">
        <v>88</v>
      </c>
      <c r="AA619" s="77" t="s">
        <v>191</v>
      </c>
      <c r="AB619" s="77" t="s">
        <v>78</v>
      </c>
      <c r="AC619" s="77" t="s">
        <v>114</v>
      </c>
      <c r="AD619" s="77" t="s">
        <v>91</v>
      </c>
      <c r="AE619" s="77" t="s">
        <v>3078</v>
      </c>
      <c r="AF619" s="77" t="s">
        <v>2706</v>
      </c>
      <c r="AG619" s="77" t="s">
        <v>112</v>
      </c>
    </row>
    <row r="620" spans="1:33" hidden="1" x14ac:dyDescent="0.3">
      <c r="A620" s="77" t="s">
        <v>3157</v>
      </c>
      <c r="B620" s="77" t="s">
        <v>428</v>
      </c>
      <c r="G620" s="77" t="s">
        <v>3077</v>
      </c>
      <c r="H620" s="77" t="s">
        <v>77</v>
      </c>
      <c r="I620" s="77" t="s">
        <v>78</v>
      </c>
      <c r="J620" s="77" t="s">
        <v>3039</v>
      </c>
      <c r="K620" s="77" t="s">
        <v>80</v>
      </c>
      <c r="L620" s="77" t="s">
        <v>422</v>
      </c>
      <c r="M620" s="77" t="s">
        <v>82</v>
      </c>
      <c r="N620" s="77" t="s">
        <v>83</v>
      </c>
      <c r="Q620" s="77" t="s">
        <v>111</v>
      </c>
      <c r="T620" s="77" t="s">
        <v>112</v>
      </c>
      <c r="U620" s="77" t="s">
        <v>85</v>
      </c>
      <c r="V620" s="77" t="s">
        <v>95</v>
      </c>
      <c r="W620" s="79">
        <v>46207.502216168985</v>
      </c>
      <c r="X620" s="77" t="s">
        <v>96</v>
      </c>
      <c r="Y620" s="78" t="s">
        <v>88</v>
      </c>
      <c r="AA620" s="77" t="s">
        <v>191</v>
      </c>
      <c r="AB620" s="77" t="s">
        <v>78</v>
      </c>
      <c r="AC620" s="77" t="s">
        <v>114</v>
      </c>
      <c r="AD620" s="77" t="s">
        <v>91</v>
      </c>
      <c r="AE620" s="77" t="s">
        <v>3078</v>
      </c>
      <c r="AF620" s="77" t="s">
        <v>2706</v>
      </c>
      <c r="AG620" s="77" t="s">
        <v>112</v>
      </c>
    </row>
    <row r="621" spans="1:33" hidden="1" x14ac:dyDescent="0.3">
      <c r="A621" s="77" t="s">
        <v>3158</v>
      </c>
      <c r="B621" s="77" t="s">
        <v>430</v>
      </c>
      <c r="G621" s="77" t="s">
        <v>3077</v>
      </c>
      <c r="H621" s="77" t="s">
        <v>77</v>
      </c>
      <c r="I621" s="77" t="s">
        <v>78</v>
      </c>
      <c r="J621" s="77" t="s">
        <v>3039</v>
      </c>
      <c r="K621" s="77" t="s">
        <v>80</v>
      </c>
      <c r="L621" s="77" t="s">
        <v>422</v>
      </c>
      <c r="M621" s="77" t="s">
        <v>82</v>
      </c>
      <c r="N621" s="77" t="s">
        <v>83</v>
      </c>
      <c r="Q621" s="77" t="s">
        <v>111</v>
      </c>
      <c r="T621" s="77" t="s">
        <v>112</v>
      </c>
      <c r="U621" s="77" t="s">
        <v>85</v>
      </c>
      <c r="V621" s="77" t="s">
        <v>95</v>
      </c>
      <c r="W621" s="79">
        <v>46207.502665312502</v>
      </c>
      <c r="X621" s="77" t="s">
        <v>96</v>
      </c>
      <c r="Y621" s="78" t="s">
        <v>88</v>
      </c>
      <c r="AA621" s="77" t="s">
        <v>191</v>
      </c>
      <c r="AB621" s="77" t="s">
        <v>78</v>
      </c>
      <c r="AC621" s="77" t="s">
        <v>114</v>
      </c>
      <c r="AD621" s="77" t="s">
        <v>91</v>
      </c>
      <c r="AE621" s="77" t="s">
        <v>3078</v>
      </c>
      <c r="AF621" s="77" t="s">
        <v>2706</v>
      </c>
      <c r="AG621" s="77" t="s">
        <v>112</v>
      </c>
    </row>
    <row r="622" spans="1:33" hidden="1" x14ac:dyDescent="0.3">
      <c r="A622" s="77" t="s">
        <v>3159</v>
      </c>
      <c r="B622" s="77" t="s">
        <v>432</v>
      </c>
      <c r="G622" s="77" t="s">
        <v>3077</v>
      </c>
      <c r="H622" s="77" t="s">
        <v>77</v>
      </c>
      <c r="I622" s="77" t="s">
        <v>78</v>
      </c>
      <c r="J622" s="77" t="s">
        <v>3039</v>
      </c>
      <c r="K622" s="77" t="s">
        <v>80</v>
      </c>
      <c r="L622" s="77" t="s">
        <v>422</v>
      </c>
      <c r="M622" s="77" t="s">
        <v>82</v>
      </c>
      <c r="N622" s="77" t="s">
        <v>83</v>
      </c>
      <c r="Q622" s="77" t="s">
        <v>111</v>
      </c>
      <c r="T622" s="77" t="s">
        <v>112</v>
      </c>
      <c r="U622" s="77" t="s">
        <v>85</v>
      </c>
      <c r="V622" s="77" t="s">
        <v>95</v>
      </c>
      <c r="W622" s="79">
        <v>46207.503258877317</v>
      </c>
      <c r="X622" s="77" t="s">
        <v>96</v>
      </c>
      <c r="Y622" s="78" t="s">
        <v>88</v>
      </c>
      <c r="AA622" s="77" t="s">
        <v>191</v>
      </c>
      <c r="AB622" s="77" t="s">
        <v>78</v>
      </c>
      <c r="AC622" s="77" t="s">
        <v>114</v>
      </c>
      <c r="AD622" s="77" t="s">
        <v>91</v>
      </c>
      <c r="AE622" s="77" t="s">
        <v>3078</v>
      </c>
      <c r="AF622" s="77" t="s">
        <v>2706</v>
      </c>
      <c r="AG622" s="77" t="s">
        <v>112</v>
      </c>
    </row>
    <row r="623" spans="1:33" hidden="1" x14ac:dyDescent="0.3">
      <c r="A623" s="77" t="s">
        <v>3160</v>
      </c>
      <c r="B623" s="77" t="s">
        <v>434</v>
      </c>
      <c r="G623" s="77" t="s">
        <v>3077</v>
      </c>
      <c r="H623" s="77" t="s">
        <v>77</v>
      </c>
      <c r="I623" s="77" t="s">
        <v>78</v>
      </c>
      <c r="J623" s="77" t="s">
        <v>3039</v>
      </c>
      <c r="K623" s="77" t="s">
        <v>80</v>
      </c>
      <c r="L623" s="77" t="s">
        <v>435</v>
      </c>
      <c r="M623" s="77" t="s">
        <v>82</v>
      </c>
      <c r="N623" s="77" t="s">
        <v>83</v>
      </c>
      <c r="Q623" s="77" t="s">
        <v>111</v>
      </c>
      <c r="T623" s="77" t="s">
        <v>112</v>
      </c>
      <c r="U623" s="77" t="s">
        <v>85</v>
      </c>
      <c r="V623" s="77" t="s">
        <v>95</v>
      </c>
      <c r="W623" s="79">
        <v>46207.503756597223</v>
      </c>
      <c r="X623" s="77" t="s">
        <v>96</v>
      </c>
      <c r="Y623" s="78" t="s">
        <v>88</v>
      </c>
      <c r="AA623" s="77" t="s">
        <v>191</v>
      </c>
      <c r="AB623" s="77" t="s">
        <v>78</v>
      </c>
      <c r="AC623" s="77" t="s">
        <v>114</v>
      </c>
      <c r="AD623" s="77" t="s">
        <v>91</v>
      </c>
      <c r="AE623" s="77" t="s">
        <v>3078</v>
      </c>
      <c r="AF623" s="77" t="s">
        <v>2706</v>
      </c>
      <c r="AG623" s="77" t="s">
        <v>112</v>
      </c>
    </row>
    <row r="624" spans="1:33" hidden="1" x14ac:dyDescent="0.3">
      <c r="A624" s="77" t="s">
        <v>3161</v>
      </c>
      <c r="B624" s="77" t="s">
        <v>437</v>
      </c>
      <c r="G624" s="77" t="s">
        <v>3077</v>
      </c>
      <c r="H624" s="77" t="s">
        <v>77</v>
      </c>
      <c r="I624" s="77" t="s">
        <v>78</v>
      </c>
      <c r="J624" s="77" t="s">
        <v>3039</v>
      </c>
      <c r="K624" s="77" t="s">
        <v>80</v>
      </c>
      <c r="L624" s="77" t="s">
        <v>435</v>
      </c>
      <c r="M624" s="77" t="s">
        <v>82</v>
      </c>
      <c r="N624" s="77" t="s">
        <v>83</v>
      </c>
      <c r="Q624" s="77" t="s">
        <v>111</v>
      </c>
      <c r="T624" s="77" t="s">
        <v>112</v>
      </c>
      <c r="U624" s="77" t="s">
        <v>85</v>
      </c>
      <c r="V624" s="77" t="s">
        <v>95</v>
      </c>
      <c r="W624" s="79">
        <v>46207.504400891201</v>
      </c>
      <c r="X624" s="77" t="s">
        <v>96</v>
      </c>
      <c r="Y624" s="78" t="s">
        <v>88</v>
      </c>
      <c r="AA624" s="77" t="s">
        <v>191</v>
      </c>
      <c r="AB624" s="77" t="s">
        <v>78</v>
      </c>
      <c r="AC624" s="77" t="s">
        <v>114</v>
      </c>
      <c r="AD624" s="77" t="s">
        <v>91</v>
      </c>
      <c r="AE624" s="77" t="s">
        <v>3078</v>
      </c>
      <c r="AF624" s="77" t="s">
        <v>2706</v>
      </c>
      <c r="AG624" s="77" t="s">
        <v>112</v>
      </c>
    </row>
    <row r="625" spans="1:33" hidden="1" x14ac:dyDescent="0.3">
      <c r="A625" s="77" t="s">
        <v>3162</v>
      </c>
      <c r="B625" s="77" t="s">
        <v>439</v>
      </c>
      <c r="G625" s="77" t="s">
        <v>3077</v>
      </c>
      <c r="H625" s="77" t="s">
        <v>77</v>
      </c>
      <c r="I625" s="77" t="s">
        <v>78</v>
      </c>
      <c r="J625" s="77" t="s">
        <v>3039</v>
      </c>
      <c r="K625" s="77" t="s">
        <v>80</v>
      </c>
      <c r="L625" s="77" t="s">
        <v>435</v>
      </c>
      <c r="M625" s="77" t="s">
        <v>82</v>
      </c>
      <c r="N625" s="77" t="s">
        <v>83</v>
      </c>
      <c r="Q625" s="77" t="s">
        <v>111</v>
      </c>
      <c r="T625" s="77" t="s">
        <v>112</v>
      </c>
      <c r="U625" s="77" t="s">
        <v>85</v>
      </c>
      <c r="V625" s="77" t="s">
        <v>95</v>
      </c>
      <c r="W625" s="79">
        <v>46207.504897071762</v>
      </c>
      <c r="X625" s="77" t="s">
        <v>96</v>
      </c>
      <c r="Y625" s="78" t="s">
        <v>88</v>
      </c>
      <c r="AA625" s="77" t="s">
        <v>191</v>
      </c>
      <c r="AB625" s="77" t="s">
        <v>78</v>
      </c>
      <c r="AC625" s="77" t="s">
        <v>114</v>
      </c>
      <c r="AD625" s="77" t="s">
        <v>91</v>
      </c>
      <c r="AE625" s="77" t="s">
        <v>3078</v>
      </c>
      <c r="AF625" s="77" t="s">
        <v>2706</v>
      </c>
      <c r="AG625" s="77" t="s">
        <v>112</v>
      </c>
    </row>
    <row r="626" spans="1:33" hidden="1" x14ac:dyDescent="0.3">
      <c r="A626" s="77" t="s">
        <v>3163</v>
      </c>
      <c r="B626" s="77" t="s">
        <v>441</v>
      </c>
      <c r="G626" s="77" t="s">
        <v>3077</v>
      </c>
      <c r="H626" s="77" t="s">
        <v>77</v>
      </c>
      <c r="I626" s="77" t="s">
        <v>78</v>
      </c>
      <c r="J626" s="77" t="s">
        <v>3039</v>
      </c>
      <c r="K626" s="77" t="s">
        <v>80</v>
      </c>
      <c r="L626" s="77" t="s">
        <v>435</v>
      </c>
      <c r="M626" s="77" t="s">
        <v>82</v>
      </c>
      <c r="N626" s="77" t="s">
        <v>83</v>
      </c>
      <c r="Q626" s="77" t="s">
        <v>111</v>
      </c>
      <c r="T626" s="77" t="s">
        <v>112</v>
      </c>
      <c r="U626" s="77" t="s">
        <v>85</v>
      </c>
      <c r="V626" s="77" t="s">
        <v>95</v>
      </c>
      <c r="W626" s="79">
        <v>46207.505504629633</v>
      </c>
      <c r="X626" s="77" t="s">
        <v>96</v>
      </c>
      <c r="Y626" s="78" t="s">
        <v>88</v>
      </c>
      <c r="AA626" s="77" t="s">
        <v>191</v>
      </c>
      <c r="AB626" s="77" t="s">
        <v>78</v>
      </c>
      <c r="AC626" s="77" t="s">
        <v>114</v>
      </c>
      <c r="AD626" s="77" t="s">
        <v>91</v>
      </c>
      <c r="AE626" s="77" t="s">
        <v>3078</v>
      </c>
      <c r="AF626" s="77" t="s">
        <v>2706</v>
      </c>
      <c r="AG626" s="77" t="s">
        <v>112</v>
      </c>
    </row>
    <row r="627" spans="1:33" hidden="1" x14ac:dyDescent="0.3">
      <c r="A627" s="77" t="s">
        <v>3164</v>
      </c>
      <c r="B627" s="77" t="s">
        <v>443</v>
      </c>
      <c r="G627" s="77" t="s">
        <v>3077</v>
      </c>
      <c r="H627" s="77" t="s">
        <v>77</v>
      </c>
      <c r="I627" s="77" t="s">
        <v>78</v>
      </c>
      <c r="J627" s="77" t="s">
        <v>3039</v>
      </c>
      <c r="K627" s="77" t="s">
        <v>80</v>
      </c>
      <c r="L627" s="77" t="s">
        <v>435</v>
      </c>
      <c r="M627" s="77" t="s">
        <v>82</v>
      </c>
      <c r="N627" s="77" t="s">
        <v>83</v>
      </c>
      <c r="Q627" s="77" t="s">
        <v>111</v>
      </c>
      <c r="T627" s="77" t="s">
        <v>112</v>
      </c>
      <c r="U627" s="77" t="s">
        <v>85</v>
      </c>
      <c r="V627" s="77" t="s">
        <v>95</v>
      </c>
      <c r="W627" s="79">
        <v>46207.506075034726</v>
      </c>
      <c r="X627" s="77" t="s">
        <v>96</v>
      </c>
      <c r="Y627" s="78" t="s">
        <v>88</v>
      </c>
      <c r="AA627" s="77" t="s">
        <v>191</v>
      </c>
      <c r="AB627" s="77" t="s">
        <v>78</v>
      </c>
      <c r="AC627" s="77" t="s">
        <v>114</v>
      </c>
      <c r="AD627" s="77" t="s">
        <v>91</v>
      </c>
      <c r="AE627" s="77" t="s">
        <v>3078</v>
      </c>
      <c r="AF627" s="77" t="s">
        <v>2706</v>
      </c>
      <c r="AG627" s="77" t="s">
        <v>112</v>
      </c>
    </row>
    <row r="628" spans="1:33" hidden="1" x14ac:dyDescent="0.3">
      <c r="A628" s="77" t="s">
        <v>3165</v>
      </c>
      <c r="B628" s="77" t="s">
        <v>445</v>
      </c>
      <c r="G628" s="77" t="s">
        <v>3077</v>
      </c>
      <c r="H628" s="77" t="s">
        <v>77</v>
      </c>
      <c r="I628" s="77" t="s">
        <v>78</v>
      </c>
      <c r="J628" s="77" t="s">
        <v>3039</v>
      </c>
      <c r="K628" s="77" t="s">
        <v>80</v>
      </c>
      <c r="L628" s="77" t="s">
        <v>435</v>
      </c>
      <c r="M628" s="77" t="s">
        <v>82</v>
      </c>
      <c r="N628" s="77" t="s">
        <v>83</v>
      </c>
      <c r="Q628" s="77" t="s">
        <v>111</v>
      </c>
      <c r="T628" s="77" t="s">
        <v>112</v>
      </c>
      <c r="U628" s="77" t="s">
        <v>85</v>
      </c>
      <c r="V628" s="77" t="s">
        <v>95</v>
      </c>
      <c r="W628" s="79">
        <v>46192.196469178241</v>
      </c>
      <c r="X628" s="77" t="s">
        <v>96</v>
      </c>
      <c r="Y628" s="78" t="s">
        <v>88</v>
      </c>
      <c r="AA628" s="77" t="s">
        <v>191</v>
      </c>
      <c r="AB628" s="77" t="s">
        <v>78</v>
      </c>
      <c r="AC628" s="77" t="s">
        <v>114</v>
      </c>
      <c r="AD628" s="77" t="s">
        <v>91</v>
      </c>
      <c r="AE628" s="77" t="s">
        <v>3078</v>
      </c>
      <c r="AF628" s="77" t="s">
        <v>2706</v>
      </c>
      <c r="AG628" s="77" t="s">
        <v>112</v>
      </c>
    </row>
    <row r="629" spans="1:33" x14ac:dyDescent="0.3">
      <c r="A629" s="77" t="s">
        <v>3166</v>
      </c>
      <c r="B629" s="77" t="s">
        <v>447</v>
      </c>
      <c r="G629" s="77" t="s">
        <v>3077</v>
      </c>
      <c r="H629" s="77" t="s">
        <v>77</v>
      </c>
      <c r="I629" s="77" t="s">
        <v>78</v>
      </c>
      <c r="J629" s="77" t="s">
        <v>3039</v>
      </c>
      <c r="K629" s="77" t="s">
        <v>80</v>
      </c>
      <c r="L629" s="77" t="s">
        <v>448</v>
      </c>
      <c r="M629" s="77" t="s">
        <v>82</v>
      </c>
      <c r="N629" s="77" t="s">
        <v>83</v>
      </c>
      <c r="Q629" s="77" t="s">
        <v>111</v>
      </c>
      <c r="T629" s="77" t="s">
        <v>112</v>
      </c>
      <c r="U629" s="77" t="s">
        <v>85</v>
      </c>
      <c r="V629" s="80" t="s">
        <v>99</v>
      </c>
      <c r="X629" s="77" t="s">
        <v>100</v>
      </c>
      <c r="Y629" s="78" t="s">
        <v>101</v>
      </c>
      <c r="AA629" s="77" t="s">
        <v>191</v>
      </c>
      <c r="AB629" s="77" t="s">
        <v>78</v>
      </c>
      <c r="AC629" s="77" t="s">
        <v>90</v>
      </c>
      <c r="AD629" s="77" t="s">
        <v>102</v>
      </c>
      <c r="AE629" s="77" t="s">
        <v>3078</v>
      </c>
      <c r="AG629" s="77" t="s">
        <v>112</v>
      </c>
    </row>
    <row r="630" spans="1:33" x14ac:dyDescent="0.3">
      <c r="A630" s="77" t="s">
        <v>3167</v>
      </c>
      <c r="B630" s="77" t="s">
        <v>450</v>
      </c>
      <c r="G630" s="77" t="s">
        <v>3077</v>
      </c>
      <c r="H630" s="77" t="s">
        <v>77</v>
      </c>
      <c r="I630" s="77" t="s">
        <v>78</v>
      </c>
      <c r="J630" s="77" t="s">
        <v>3039</v>
      </c>
      <c r="K630" s="77" t="s">
        <v>80</v>
      </c>
      <c r="L630" s="77" t="s">
        <v>448</v>
      </c>
      <c r="M630" s="77" t="s">
        <v>82</v>
      </c>
      <c r="N630" s="77" t="s">
        <v>83</v>
      </c>
      <c r="Q630" s="77" t="s">
        <v>111</v>
      </c>
      <c r="T630" s="77" t="s">
        <v>112</v>
      </c>
      <c r="U630" s="77" t="s">
        <v>85</v>
      </c>
      <c r="V630" s="80" t="s">
        <v>99</v>
      </c>
      <c r="X630" s="77" t="s">
        <v>100</v>
      </c>
      <c r="Y630" s="78" t="s">
        <v>101</v>
      </c>
      <c r="AA630" s="77" t="s">
        <v>191</v>
      </c>
      <c r="AB630" s="77" t="s">
        <v>78</v>
      </c>
      <c r="AC630" s="77" t="s">
        <v>90</v>
      </c>
      <c r="AD630" s="77" t="s">
        <v>102</v>
      </c>
      <c r="AE630" s="77" t="s">
        <v>3078</v>
      </c>
      <c r="AG630" s="77" t="s">
        <v>112</v>
      </c>
    </row>
    <row r="631" spans="1:33" x14ac:dyDescent="0.3">
      <c r="A631" s="77" t="s">
        <v>3168</v>
      </c>
      <c r="B631" s="77" t="s">
        <v>452</v>
      </c>
      <c r="G631" s="77" t="s">
        <v>3077</v>
      </c>
      <c r="H631" s="77" t="s">
        <v>77</v>
      </c>
      <c r="I631" s="77" t="s">
        <v>78</v>
      </c>
      <c r="J631" s="77" t="s">
        <v>3039</v>
      </c>
      <c r="K631" s="77" t="s">
        <v>80</v>
      </c>
      <c r="L631" s="77" t="s">
        <v>448</v>
      </c>
      <c r="M631" s="77" t="s">
        <v>82</v>
      </c>
      <c r="N631" s="77" t="s">
        <v>83</v>
      </c>
      <c r="Q631" s="77" t="s">
        <v>111</v>
      </c>
      <c r="T631" s="77" t="s">
        <v>112</v>
      </c>
      <c r="U631" s="77" t="s">
        <v>85</v>
      </c>
      <c r="V631" s="80" t="s">
        <v>99</v>
      </c>
      <c r="X631" s="77" t="s">
        <v>100</v>
      </c>
      <c r="Y631" s="78" t="s">
        <v>101</v>
      </c>
      <c r="AA631" s="77" t="s">
        <v>191</v>
      </c>
      <c r="AB631" s="77" t="s">
        <v>78</v>
      </c>
      <c r="AC631" s="77" t="s">
        <v>90</v>
      </c>
      <c r="AD631" s="77" t="s">
        <v>102</v>
      </c>
      <c r="AE631" s="77" t="s">
        <v>3078</v>
      </c>
      <c r="AG631" s="77" t="s">
        <v>112</v>
      </c>
    </row>
    <row r="632" spans="1:33" x14ac:dyDescent="0.3">
      <c r="A632" s="77" t="s">
        <v>3169</v>
      </c>
      <c r="B632" s="77" t="s">
        <v>454</v>
      </c>
      <c r="G632" s="77" t="s">
        <v>3077</v>
      </c>
      <c r="H632" s="77" t="s">
        <v>77</v>
      </c>
      <c r="I632" s="77" t="s">
        <v>78</v>
      </c>
      <c r="J632" s="77" t="s">
        <v>3039</v>
      </c>
      <c r="K632" s="77" t="s">
        <v>80</v>
      </c>
      <c r="L632" s="77" t="s">
        <v>448</v>
      </c>
      <c r="M632" s="77" t="s">
        <v>82</v>
      </c>
      <c r="N632" s="77" t="s">
        <v>83</v>
      </c>
      <c r="Q632" s="77" t="s">
        <v>111</v>
      </c>
      <c r="T632" s="77" t="s">
        <v>112</v>
      </c>
      <c r="U632" s="77" t="s">
        <v>85</v>
      </c>
      <c r="V632" s="80" t="s">
        <v>99</v>
      </c>
      <c r="X632" s="77" t="s">
        <v>100</v>
      </c>
      <c r="Y632" s="78" t="s">
        <v>101</v>
      </c>
      <c r="AA632" s="77" t="s">
        <v>191</v>
      </c>
      <c r="AB632" s="77" t="s">
        <v>78</v>
      </c>
      <c r="AC632" s="77" t="s">
        <v>90</v>
      </c>
      <c r="AD632" s="77" t="s">
        <v>102</v>
      </c>
      <c r="AE632" s="77" t="s">
        <v>3078</v>
      </c>
      <c r="AG632" s="77" t="s">
        <v>112</v>
      </c>
    </row>
    <row r="633" spans="1:33" x14ac:dyDescent="0.3">
      <c r="A633" s="77" t="s">
        <v>3170</v>
      </c>
      <c r="B633" s="77" t="s">
        <v>456</v>
      </c>
      <c r="G633" s="77" t="s">
        <v>3077</v>
      </c>
      <c r="H633" s="77" t="s">
        <v>77</v>
      </c>
      <c r="I633" s="77" t="s">
        <v>78</v>
      </c>
      <c r="J633" s="77" t="s">
        <v>3039</v>
      </c>
      <c r="K633" s="77" t="s">
        <v>80</v>
      </c>
      <c r="L633" s="77" t="s">
        <v>448</v>
      </c>
      <c r="M633" s="77" t="s">
        <v>82</v>
      </c>
      <c r="N633" s="77" t="s">
        <v>83</v>
      </c>
      <c r="Q633" s="77" t="s">
        <v>111</v>
      </c>
      <c r="T633" s="77" t="s">
        <v>112</v>
      </c>
      <c r="U633" s="77" t="s">
        <v>85</v>
      </c>
      <c r="V633" s="80" t="s">
        <v>99</v>
      </c>
      <c r="X633" s="77" t="s">
        <v>100</v>
      </c>
      <c r="Y633" s="78" t="s">
        <v>101</v>
      </c>
      <c r="AA633" s="77" t="s">
        <v>191</v>
      </c>
      <c r="AB633" s="77" t="s">
        <v>78</v>
      </c>
      <c r="AC633" s="77" t="s">
        <v>90</v>
      </c>
      <c r="AD633" s="77" t="s">
        <v>102</v>
      </c>
      <c r="AE633" s="77" t="s">
        <v>3078</v>
      </c>
      <c r="AG633" s="77" t="s">
        <v>112</v>
      </c>
    </row>
    <row r="634" spans="1:33" x14ac:dyDescent="0.3">
      <c r="A634" s="77" t="s">
        <v>3171</v>
      </c>
      <c r="B634" s="77" t="s">
        <v>458</v>
      </c>
      <c r="G634" s="77" t="s">
        <v>3077</v>
      </c>
      <c r="H634" s="77" t="s">
        <v>77</v>
      </c>
      <c r="I634" s="77" t="s">
        <v>78</v>
      </c>
      <c r="J634" s="77" t="s">
        <v>3039</v>
      </c>
      <c r="K634" s="77" t="s">
        <v>80</v>
      </c>
      <c r="L634" s="77" t="s">
        <v>448</v>
      </c>
      <c r="M634" s="77" t="s">
        <v>82</v>
      </c>
      <c r="N634" s="77" t="s">
        <v>83</v>
      </c>
      <c r="Q634" s="77" t="s">
        <v>111</v>
      </c>
      <c r="T634" s="77" t="s">
        <v>112</v>
      </c>
      <c r="U634" s="77" t="s">
        <v>85</v>
      </c>
      <c r="V634" s="80" t="s">
        <v>99</v>
      </c>
      <c r="X634" s="77" t="s">
        <v>100</v>
      </c>
      <c r="Y634" s="78" t="s">
        <v>101</v>
      </c>
      <c r="AA634" s="77" t="s">
        <v>191</v>
      </c>
      <c r="AB634" s="77" t="s">
        <v>78</v>
      </c>
      <c r="AC634" s="77" t="s">
        <v>90</v>
      </c>
      <c r="AD634" s="77" t="s">
        <v>102</v>
      </c>
      <c r="AE634" s="77" t="s">
        <v>3078</v>
      </c>
      <c r="AG634" s="77" t="s">
        <v>112</v>
      </c>
    </row>
    <row r="635" spans="1:33" x14ac:dyDescent="0.3">
      <c r="A635" s="77" t="s">
        <v>3172</v>
      </c>
      <c r="B635" s="77" t="s">
        <v>460</v>
      </c>
      <c r="G635" s="77" t="s">
        <v>3077</v>
      </c>
      <c r="H635" s="77" t="s">
        <v>77</v>
      </c>
      <c r="I635" s="77" t="s">
        <v>78</v>
      </c>
      <c r="J635" s="77" t="s">
        <v>3039</v>
      </c>
      <c r="K635" s="77" t="s">
        <v>80</v>
      </c>
      <c r="L635" s="77" t="s">
        <v>461</v>
      </c>
      <c r="M635" s="77" t="s">
        <v>82</v>
      </c>
      <c r="N635" s="77" t="s">
        <v>83</v>
      </c>
      <c r="Q635" s="77" t="s">
        <v>111</v>
      </c>
      <c r="T635" s="77" t="s">
        <v>112</v>
      </c>
      <c r="U635" s="77" t="s">
        <v>85</v>
      </c>
      <c r="V635" s="80" t="s">
        <v>99</v>
      </c>
      <c r="X635" s="77" t="s">
        <v>100</v>
      </c>
      <c r="Y635" s="78" t="s">
        <v>101</v>
      </c>
      <c r="AA635" s="77" t="s">
        <v>191</v>
      </c>
      <c r="AB635" s="77" t="s">
        <v>78</v>
      </c>
      <c r="AC635" s="77" t="s">
        <v>90</v>
      </c>
      <c r="AD635" s="77" t="s">
        <v>102</v>
      </c>
      <c r="AE635" s="77" t="s">
        <v>3078</v>
      </c>
      <c r="AG635" s="77" t="s">
        <v>112</v>
      </c>
    </row>
    <row r="636" spans="1:33" x14ac:dyDescent="0.3">
      <c r="A636" s="77" t="s">
        <v>3173</v>
      </c>
      <c r="B636" s="77" t="s">
        <v>463</v>
      </c>
      <c r="G636" s="77" t="s">
        <v>3077</v>
      </c>
      <c r="H636" s="77" t="s">
        <v>77</v>
      </c>
      <c r="I636" s="77" t="s">
        <v>78</v>
      </c>
      <c r="J636" s="77" t="s">
        <v>3039</v>
      </c>
      <c r="K636" s="77" t="s">
        <v>80</v>
      </c>
      <c r="L636" s="77" t="s">
        <v>461</v>
      </c>
      <c r="M636" s="77" t="s">
        <v>82</v>
      </c>
      <c r="N636" s="77" t="s">
        <v>83</v>
      </c>
      <c r="Q636" s="77" t="s">
        <v>111</v>
      </c>
      <c r="T636" s="77" t="s">
        <v>112</v>
      </c>
      <c r="U636" s="77" t="s">
        <v>85</v>
      </c>
      <c r="V636" s="80" t="s">
        <v>99</v>
      </c>
      <c r="X636" s="77" t="s">
        <v>100</v>
      </c>
      <c r="Y636" s="78" t="s">
        <v>101</v>
      </c>
      <c r="AA636" s="77" t="s">
        <v>191</v>
      </c>
      <c r="AB636" s="77" t="s">
        <v>78</v>
      </c>
      <c r="AC636" s="77" t="s">
        <v>90</v>
      </c>
      <c r="AD636" s="77" t="s">
        <v>102</v>
      </c>
      <c r="AE636" s="77" t="s">
        <v>3078</v>
      </c>
      <c r="AG636" s="77" t="s">
        <v>112</v>
      </c>
    </row>
    <row r="637" spans="1:33" x14ac:dyDescent="0.3">
      <c r="A637" s="77" t="s">
        <v>3174</v>
      </c>
      <c r="B637" s="77" t="s">
        <v>465</v>
      </c>
      <c r="G637" s="77" t="s">
        <v>3077</v>
      </c>
      <c r="H637" s="77" t="s">
        <v>77</v>
      </c>
      <c r="I637" s="77" t="s">
        <v>78</v>
      </c>
      <c r="J637" s="77" t="s">
        <v>3039</v>
      </c>
      <c r="K637" s="77" t="s">
        <v>80</v>
      </c>
      <c r="L637" s="77" t="s">
        <v>461</v>
      </c>
      <c r="M637" s="77" t="s">
        <v>82</v>
      </c>
      <c r="N637" s="77" t="s">
        <v>83</v>
      </c>
      <c r="Q637" s="77" t="s">
        <v>111</v>
      </c>
      <c r="T637" s="77" t="s">
        <v>112</v>
      </c>
      <c r="U637" s="77" t="s">
        <v>85</v>
      </c>
      <c r="V637" s="80" t="s">
        <v>99</v>
      </c>
      <c r="X637" s="77" t="s">
        <v>100</v>
      </c>
      <c r="Y637" s="78" t="s">
        <v>101</v>
      </c>
      <c r="AA637" s="77" t="s">
        <v>191</v>
      </c>
      <c r="AB637" s="77" t="s">
        <v>78</v>
      </c>
      <c r="AC637" s="77" t="s">
        <v>90</v>
      </c>
      <c r="AD637" s="77" t="s">
        <v>102</v>
      </c>
      <c r="AE637" s="77" t="s">
        <v>3078</v>
      </c>
      <c r="AG637" s="77" t="s">
        <v>112</v>
      </c>
    </row>
    <row r="638" spans="1:33" x14ac:dyDescent="0.3">
      <c r="A638" s="77" t="s">
        <v>3175</v>
      </c>
      <c r="B638" s="77" t="s">
        <v>467</v>
      </c>
      <c r="G638" s="77" t="s">
        <v>3077</v>
      </c>
      <c r="H638" s="77" t="s">
        <v>77</v>
      </c>
      <c r="I638" s="77" t="s">
        <v>78</v>
      </c>
      <c r="J638" s="77" t="s">
        <v>3039</v>
      </c>
      <c r="K638" s="77" t="s">
        <v>80</v>
      </c>
      <c r="L638" s="77" t="s">
        <v>461</v>
      </c>
      <c r="M638" s="77" t="s">
        <v>82</v>
      </c>
      <c r="N638" s="77" t="s">
        <v>83</v>
      </c>
      <c r="Q638" s="77" t="s">
        <v>111</v>
      </c>
      <c r="T638" s="77" t="s">
        <v>112</v>
      </c>
      <c r="U638" s="77" t="s">
        <v>85</v>
      </c>
      <c r="V638" s="80" t="s">
        <v>99</v>
      </c>
      <c r="X638" s="77" t="s">
        <v>100</v>
      </c>
      <c r="Y638" s="78" t="s">
        <v>101</v>
      </c>
      <c r="AA638" s="77" t="s">
        <v>191</v>
      </c>
      <c r="AB638" s="77" t="s">
        <v>78</v>
      </c>
      <c r="AC638" s="77" t="s">
        <v>90</v>
      </c>
      <c r="AD638" s="77" t="s">
        <v>102</v>
      </c>
      <c r="AE638" s="77" t="s">
        <v>3078</v>
      </c>
      <c r="AG638" s="77" t="s">
        <v>112</v>
      </c>
    </row>
    <row r="639" spans="1:33" x14ac:dyDescent="0.3">
      <c r="A639" s="77" t="s">
        <v>3176</v>
      </c>
      <c r="B639" s="77" t="s">
        <v>469</v>
      </c>
      <c r="G639" s="77" t="s">
        <v>3077</v>
      </c>
      <c r="H639" s="77" t="s">
        <v>77</v>
      </c>
      <c r="I639" s="77" t="s">
        <v>78</v>
      </c>
      <c r="J639" s="77" t="s">
        <v>3039</v>
      </c>
      <c r="K639" s="77" t="s">
        <v>80</v>
      </c>
      <c r="L639" s="77" t="s">
        <v>461</v>
      </c>
      <c r="M639" s="77" t="s">
        <v>82</v>
      </c>
      <c r="N639" s="77" t="s">
        <v>83</v>
      </c>
      <c r="Q639" s="77" t="s">
        <v>111</v>
      </c>
      <c r="T639" s="77" t="s">
        <v>112</v>
      </c>
      <c r="U639" s="77" t="s">
        <v>85</v>
      </c>
      <c r="V639" s="80" t="s">
        <v>99</v>
      </c>
      <c r="X639" s="77" t="s">
        <v>100</v>
      </c>
      <c r="Y639" s="78" t="s">
        <v>101</v>
      </c>
      <c r="AA639" s="77" t="s">
        <v>191</v>
      </c>
      <c r="AB639" s="77" t="s">
        <v>78</v>
      </c>
      <c r="AC639" s="77" t="s">
        <v>90</v>
      </c>
      <c r="AD639" s="77" t="s">
        <v>102</v>
      </c>
      <c r="AE639" s="77" t="s">
        <v>3078</v>
      </c>
      <c r="AG639" s="77" t="s">
        <v>112</v>
      </c>
    </row>
    <row r="640" spans="1:33" x14ac:dyDescent="0.3">
      <c r="A640" s="77" t="s">
        <v>3177</v>
      </c>
      <c r="B640" s="77" t="s">
        <v>471</v>
      </c>
      <c r="G640" s="77" t="s">
        <v>3077</v>
      </c>
      <c r="H640" s="77" t="s">
        <v>77</v>
      </c>
      <c r="I640" s="77" t="s">
        <v>78</v>
      </c>
      <c r="J640" s="77" t="s">
        <v>3039</v>
      </c>
      <c r="K640" s="77" t="s">
        <v>80</v>
      </c>
      <c r="L640" s="77" t="s">
        <v>461</v>
      </c>
      <c r="M640" s="77" t="s">
        <v>82</v>
      </c>
      <c r="N640" s="77" t="s">
        <v>83</v>
      </c>
      <c r="Q640" s="77" t="s">
        <v>111</v>
      </c>
      <c r="T640" s="77" t="s">
        <v>112</v>
      </c>
      <c r="U640" s="77" t="s">
        <v>85</v>
      </c>
      <c r="V640" s="80" t="s">
        <v>99</v>
      </c>
      <c r="X640" s="77" t="s">
        <v>100</v>
      </c>
      <c r="Y640" s="78" t="s">
        <v>101</v>
      </c>
      <c r="AA640" s="77" t="s">
        <v>191</v>
      </c>
      <c r="AB640" s="77" t="s">
        <v>78</v>
      </c>
      <c r="AC640" s="77" t="s">
        <v>90</v>
      </c>
      <c r="AD640" s="77" t="s">
        <v>102</v>
      </c>
      <c r="AE640" s="77" t="s">
        <v>3078</v>
      </c>
      <c r="AG640" s="77" t="s">
        <v>112</v>
      </c>
    </row>
    <row r="641" spans="1:33" x14ac:dyDescent="0.3">
      <c r="A641" s="77" t="s">
        <v>3178</v>
      </c>
      <c r="B641" s="77" t="s">
        <v>473</v>
      </c>
      <c r="G641" s="77" t="s">
        <v>3077</v>
      </c>
      <c r="H641" s="77" t="s">
        <v>77</v>
      </c>
      <c r="I641" s="77" t="s">
        <v>78</v>
      </c>
      <c r="J641" s="77" t="s">
        <v>3039</v>
      </c>
      <c r="K641" s="77" t="s">
        <v>80</v>
      </c>
      <c r="L641" s="77" t="s">
        <v>474</v>
      </c>
      <c r="M641" s="77" t="s">
        <v>82</v>
      </c>
      <c r="N641" s="77" t="s">
        <v>83</v>
      </c>
      <c r="Q641" s="77" t="s">
        <v>111</v>
      </c>
      <c r="T641" s="77" t="s">
        <v>112</v>
      </c>
      <c r="U641" s="77" t="s">
        <v>85</v>
      </c>
      <c r="V641" s="80" t="s">
        <v>105</v>
      </c>
      <c r="X641" s="77" t="s">
        <v>106</v>
      </c>
      <c r="Y641" s="78" t="s">
        <v>101</v>
      </c>
      <c r="AA641" s="77" t="s">
        <v>191</v>
      </c>
      <c r="AB641" s="77" t="s">
        <v>78</v>
      </c>
      <c r="AC641" s="77" t="s">
        <v>90</v>
      </c>
      <c r="AD641" s="77" t="s">
        <v>102</v>
      </c>
      <c r="AE641" s="77" t="s">
        <v>3078</v>
      </c>
      <c r="AG641" s="77" t="s">
        <v>112</v>
      </c>
    </row>
    <row r="642" spans="1:33" x14ac:dyDescent="0.3">
      <c r="A642" s="77" t="s">
        <v>3179</v>
      </c>
      <c r="B642" s="77" t="s">
        <v>476</v>
      </c>
      <c r="G642" s="77" t="s">
        <v>3077</v>
      </c>
      <c r="H642" s="77" t="s">
        <v>77</v>
      </c>
      <c r="I642" s="77" t="s">
        <v>78</v>
      </c>
      <c r="J642" s="77" t="s">
        <v>3039</v>
      </c>
      <c r="K642" s="77" t="s">
        <v>80</v>
      </c>
      <c r="L642" s="77" t="s">
        <v>474</v>
      </c>
      <c r="M642" s="77" t="s">
        <v>82</v>
      </c>
      <c r="N642" s="77" t="s">
        <v>83</v>
      </c>
      <c r="Q642" s="77" t="s">
        <v>111</v>
      </c>
      <c r="T642" s="77" t="s">
        <v>112</v>
      </c>
      <c r="U642" s="77" t="s">
        <v>85</v>
      </c>
      <c r="V642" s="80" t="s">
        <v>105</v>
      </c>
      <c r="X642" s="77" t="s">
        <v>106</v>
      </c>
      <c r="Y642" s="78" t="s">
        <v>101</v>
      </c>
      <c r="AA642" s="77" t="s">
        <v>191</v>
      </c>
      <c r="AB642" s="77" t="s">
        <v>78</v>
      </c>
      <c r="AC642" s="77" t="s">
        <v>90</v>
      </c>
      <c r="AD642" s="77" t="s">
        <v>102</v>
      </c>
      <c r="AE642" s="77" t="s">
        <v>3078</v>
      </c>
      <c r="AG642" s="77" t="s">
        <v>112</v>
      </c>
    </row>
    <row r="643" spans="1:33" x14ac:dyDescent="0.3">
      <c r="A643" s="77" t="s">
        <v>3180</v>
      </c>
      <c r="B643" s="77" t="s">
        <v>478</v>
      </c>
      <c r="G643" s="77" t="s">
        <v>3077</v>
      </c>
      <c r="H643" s="77" t="s">
        <v>77</v>
      </c>
      <c r="I643" s="77" t="s">
        <v>78</v>
      </c>
      <c r="J643" s="77" t="s">
        <v>3039</v>
      </c>
      <c r="K643" s="77" t="s">
        <v>80</v>
      </c>
      <c r="L643" s="77" t="s">
        <v>474</v>
      </c>
      <c r="M643" s="77" t="s">
        <v>82</v>
      </c>
      <c r="N643" s="77" t="s">
        <v>83</v>
      </c>
      <c r="Q643" s="77" t="s">
        <v>111</v>
      </c>
      <c r="T643" s="77" t="s">
        <v>112</v>
      </c>
      <c r="U643" s="77" t="s">
        <v>85</v>
      </c>
      <c r="V643" s="80" t="s">
        <v>105</v>
      </c>
      <c r="X643" s="77" t="s">
        <v>106</v>
      </c>
      <c r="Y643" s="78" t="s">
        <v>101</v>
      </c>
      <c r="AA643" s="77" t="s">
        <v>191</v>
      </c>
      <c r="AB643" s="77" t="s">
        <v>78</v>
      </c>
      <c r="AC643" s="77" t="s">
        <v>90</v>
      </c>
      <c r="AD643" s="77" t="s">
        <v>102</v>
      </c>
      <c r="AE643" s="77" t="s">
        <v>3078</v>
      </c>
      <c r="AG643" s="77" t="s">
        <v>112</v>
      </c>
    </row>
    <row r="644" spans="1:33" x14ac:dyDescent="0.3">
      <c r="A644" s="77" t="s">
        <v>3181</v>
      </c>
      <c r="B644" s="77" t="s">
        <v>480</v>
      </c>
      <c r="G644" s="77" t="s">
        <v>3077</v>
      </c>
      <c r="H644" s="77" t="s">
        <v>77</v>
      </c>
      <c r="I644" s="77" t="s">
        <v>78</v>
      </c>
      <c r="J644" s="77" t="s">
        <v>3039</v>
      </c>
      <c r="K644" s="77" t="s">
        <v>80</v>
      </c>
      <c r="L644" s="77" t="s">
        <v>474</v>
      </c>
      <c r="M644" s="77" t="s">
        <v>82</v>
      </c>
      <c r="N644" s="77" t="s">
        <v>83</v>
      </c>
      <c r="Q644" s="77" t="s">
        <v>111</v>
      </c>
      <c r="T644" s="77" t="s">
        <v>112</v>
      </c>
      <c r="U644" s="77" t="s">
        <v>85</v>
      </c>
      <c r="V644" s="80" t="s">
        <v>105</v>
      </c>
      <c r="X644" s="77" t="s">
        <v>106</v>
      </c>
      <c r="Y644" s="78" t="s">
        <v>101</v>
      </c>
      <c r="AA644" s="77" t="s">
        <v>191</v>
      </c>
      <c r="AB644" s="77" t="s">
        <v>78</v>
      </c>
      <c r="AC644" s="77" t="s">
        <v>90</v>
      </c>
      <c r="AD644" s="77" t="s">
        <v>102</v>
      </c>
      <c r="AE644" s="77" t="s">
        <v>3078</v>
      </c>
      <c r="AG644" s="77" t="s">
        <v>112</v>
      </c>
    </row>
    <row r="645" spans="1:33" x14ac:dyDescent="0.3">
      <c r="A645" s="77" t="s">
        <v>3182</v>
      </c>
      <c r="B645" s="77" t="s">
        <v>482</v>
      </c>
      <c r="G645" s="77" t="s">
        <v>3077</v>
      </c>
      <c r="H645" s="77" t="s">
        <v>77</v>
      </c>
      <c r="I645" s="77" t="s">
        <v>78</v>
      </c>
      <c r="J645" s="77" t="s">
        <v>3039</v>
      </c>
      <c r="K645" s="77" t="s">
        <v>80</v>
      </c>
      <c r="L645" s="77" t="s">
        <v>474</v>
      </c>
      <c r="M645" s="77" t="s">
        <v>82</v>
      </c>
      <c r="N645" s="77" t="s">
        <v>83</v>
      </c>
      <c r="Q645" s="77" t="s">
        <v>111</v>
      </c>
      <c r="T645" s="77" t="s">
        <v>112</v>
      </c>
      <c r="U645" s="77" t="s">
        <v>85</v>
      </c>
      <c r="V645" s="80" t="s">
        <v>105</v>
      </c>
      <c r="X645" s="77" t="s">
        <v>106</v>
      </c>
      <c r="Y645" s="78" t="s">
        <v>101</v>
      </c>
      <c r="AA645" s="77" t="s">
        <v>191</v>
      </c>
      <c r="AB645" s="77" t="s">
        <v>78</v>
      </c>
      <c r="AC645" s="77" t="s">
        <v>90</v>
      </c>
      <c r="AD645" s="77" t="s">
        <v>102</v>
      </c>
      <c r="AE645" s="77" t="s">
        <v>3078</v>
      </c>
      <c r="AG645" s="77" t="s">
        <v>112</v>
      </c>
    </row>
    <row r="646" spans="1:33" x14ac:dyDescent="0.3">
      <c r="A646" s="77" t="s">
        <v>3183</v>
      </c>
      <c r="B646" s="77" t="s">
        <v>484</v>
      </c>
      <c r="G646" s="77" t="s">
        <v>3077</v>
      </c>
      <c r="H646" s="77" t="s">
        <v>77</v>
      </c>
      <c r="I646" s="77" t="s">
        <v>78</v>
      </c>
      <c r="J646" s="77" t="s">
        <v>3039</v>
      </c>
      <c r="K646" s="77" t="s">
        <v>80</v>
      </c>
      <c r="L646" s="77" t="s">
        <v>474</v>
      </c>
      <c r="M646" s="77" t="s">
        <v>82</v>
      </c>
      <c r="N646" s="77" t="s">
        <v>83</v>
      </c>
      <c r="Q646" s="77" t="s">
        <v>111</v>
      </c>
      <c r="T646" s="77" t="s">
        <v>112</v>
      </c>
      <c r="U646" s="77" t="s">
        <v>85</v>
      </c>
      <c r="V646" s="80" t="s">
        <v>105</v>
      </c>
      <c r="X646" s="77" t="s">
        <v>106</v>
      </c>
      <c r="Y646" s="78" t="s">
        <v>101</v>
      </c>
      <c r="AA646" s="77" t="s">
        <v>191</v>
      </c>
      <c r="AB646" s="77" t="s">
        <v>78</v>
      </c>
      <c r="AC646" s="77" t="s">
        <v>90</v>
      </c>
      <c r="AD646" s="77" t="s">
        <v>102</v>
      </c>
      <c r="AE646" s="77" t="s">
        <v>3078</v>
      </c>
      <c r="AG646" s="77" t="s">
        <v>112</v>
      </c>
    </row>
    <row r="647" spans="1:33" x14ac:dyDescent="0.3">
      <c r="A647" s="77" t="s">
        <v>3184</v>
      </c>
      <c r="B647" s="77" t="s">
        <v>486</v>
      </c>
      <c r="G647" s="77" t="s">
        <v>3077</v>
      </c>
      <c r="H647" s="77" t="s">
        <v>77</v>
      </c>
      <c r="I647" s="77" t="s">
        <v>78</v>
      </c>
      <c r="J647" s="77" t="s">
        <v>3039</v>
      </c>
      <c r="K647" s="77" t="s">
        <v>80</v>
      </c>
      <c r="L647" s="77" t="s">
        <v>487</v>
      </c>
      <c r="M647" s="77" t="s">
        <v>82</v>
      </c>
      <c r="N647" s="77" t="s">
        <v>83</v>
      </c>
      <c r="Q647" s="77" t="s">
        <v>111</v>
      </c>
      <c r="T647" s="77" t="s">
        <v>112</v>
      </c>
      <c r="U647" s="77" t="s">
        <v>85</v>
      </c>
      <c r="V647" s="80" t="s">
        <v>105</v>
      </c>
      <c r="X647" s="77" t="s">
        <v>106</v>
      </c>
      <c r="Y647" s="78" t="s">
        <v>101</v>
      </c>
      <c r="AA647" s="77" t="s">
        <v>191</v>
      </c>
      <c r="AB647" s="77" t="s">
        <v>78</v>
      </c>
      <c r="AC647" s="77" t="s">
        <v>90</v>
      </c>
      <c r="AD647" s="77" t="s">
        <v>102</v>
      </c>
      <c r="AE647" s="77" t="s">
        <v>3078</v>
      </c>
      <c r="AG647" s="77" t="s">
        <v>112</v>
      </c>
    </row>
    <row r="648" spans="1:33" x14ac:dyDescent="0.3">
      <c r="A648" s="77" t="s">
        <v>3185</v>
      </c>
      <c r="B648" s="77" t="s">
        <v>489</v>
      </c>
      <c r="G648" s="77" t="s">
        <v>3077</v>
      </c>
      <c r="H648" s="77" t="s">
        <v>77</v>
      </c>
      <c r="I648" s="77" t="s">
        <v>78</v>
      </c>
      <c r="J648" s="77" t="s">
        <v>3039</v>
      </c>
      <c r="K648" s="77" t="s">
        <v>80</v>
      </c>
      <c r="L648" s="77" t="s">
        <v>487</v>
      </c>
      <c r="M648" s="77" t="s">
        <v>82</v>
      </c>
      <c r="N648" s="77" t="s">
        <v>83</v>
      </c>
      <c r="Q648" s="77" t="s">
        <v>111</v>
      </c>
      <c r="T648" s="77" t="s">
        <v>112</v>
      </c>
      <c r="U648" s="77" t="s">
        <v>85</v>
      </c>
      <c r="V648" s="80" t="s">
        <v>105</v>
      </c>
      <c r="X648" s="77" t="s">
        <v>106</v>
      </c>
      <c r="Y648" s="78" t="s">
        <v>101</v>
      </c>
      <c r="AA648" s="77" t="s">
        <v>191</v>
      </c>
      <c r="AB648" s="77" t="s">
        <v>78</v>
      </c>
      <c r="AC648" s="77" t="s">
        <v>90</v>
      </c>
      <c r="AD648" s="77" t="s">
        <v>102</v>
      </c>
      <c r="AE648" s="77" t="s">
        <v>3078</v>
      </c>
      <c r="AG648" s="77" t="s">
        <v>112</v>
      </c>
    </row>
    <row r="649" spans="1:33" x14ac:dyDescent="0.3">
      <c r="A649" s="77" t="s">
        <v>3186</v>
      </c>
      <c r="B649" s="77" t="s">
        <v>491</v>
      </c>
      <c r="G649" s="77" t="s">
        <v>3077</v>
      </c>
      <c r="H649" s="77" t="s">
        <v>77</v>
      </c>
      <c r="I649" s="77" t="s">
        <v>78</v>
      </c>
      <c r="J649" s="77" t="s">
        <v>3039</v>
      </c>
      <c r="K649" s="77" t="s">
        <v>80</v>
      </c>
      <c r="L649" s="77" t="s">
        <v>487</v>
      </c>
      <c r="M649" s="77" t="s">
        <v>82</v>
      </c>
      <c r="N649" s="77" t="s">
        <v>83</v>
      </c>
      <c r="Q649" s="77" t="s">
        <v>111</v>
      </c>
      <c r="T649" s="77" t="s">
        <v>112</v>
      </c>
      <c r="U649" s="77" t="s">
        <v>85</v>
      </c>
      <c r="V649" s="80" t="s">
        <v>105</v>
      </c>
      <c r="X649" s="77" t="s">
        <v>106</v>
      </c>
      <c r="Y649" s="78" t="s">
        <v>101</v>
      </c>
      <c r="AA649" s="77" t="s">
        <v>191</v>
      </c>
      <c r="AB649" s="77" t="s">
        <v>78</v>
      </c>
      <c r="AC649" s="77" t="s">
        <v>90</v>
      </c>
      <c r="AD649" s="77" t="s">
        <v>102</v>
      </c>
      <c r="AE649" s="77" t="s">
        <v>3078</v>
      </c>
      <c r="AG649" s="77" t="s">
        <v>112</v>
      </c>
    </row>
    <row r="650" spans="1:33" x14ac:dyDescent="0.3">
      <c r="A650" s="77" t="s">
        <v>3187</v>
      </c>
      <c r="B650" s="77" t="s">
        <v>493</v>
      </c>
      <c r="G650" s="77" t="s">
        <v>3077</v>
      </c>
      <c r="H650" s="77" t="s">
        <v>77</v>
      </c>
      <c r="I650" s="77" t="s">
        <v>78</v>
      </c>
      <c r="J650" s="77" t="s">
        <v>3039</v>
      </c>
      <c r="K650" s="77" t="s">
        <v>80</v>
      </c>
      <c r="L650" s="77" t="s">
        <v>487</v>
      </c>
      <c r="M650" s="77" t="s">
        <v>82</v>
      </c>
      <c r="N650" s="77" t="s">
        <v>83</v>
      </c>
      <c r="Q650" s="77" t="s">
        <v>111</v>
      </c>
      <c r="T650" s="77" t="s">
        <v>112</v>
      </c>
      <c r="U650" s="77" t="s">
        <v>85</v>
      </c>
      <c r="V650" s="80" t="s">
        <v>105</v>
      </c>
      <c r="X650" s="77" t="s">
        <v>106</v>
      </c>
      <c r="Y650" s="78" t="s">
        <v>101</v>
      </c>
      <c r="AA650" s="77" t="s">
        <v>191</v>
      </c>
      <c r="AB650" s="77" t="s">
        <v>78</v>
      </c>
      <c r="AC650" s="77" t="s">
        <v>90</v>
      </c>
      <c r="AD650" s="77" t="s">
        <v>102</v>
      </c>
      <c r="AE650" s="77" t="s">
        <v>3078</v>
      </c>
      <c r="AG650" s="77" t="s">
        <v>112</v>
      </c>
    </row>
    <row r="651" spans="1:33" x14ac:dyDescent="0.3">
      <c r="A651" s="77" t="s">
        <v>3188</v>
      </c>
      <c r="B651" s="77" t="s">
        <v>495</v>
      </c>
      <c r="G651" s="77" t="s">
        <v>3077</v>
      </c>
      <c r="H651" s="77" t="s">
        <v>77</v>
      </c>
      <c r="I651" s="77" t="s">
        <v>78</v>
      </c>
      <c r="J651" s="77" t="s">
        <v>3039</v>
      </c>
      <c r="K651" s="77" t="s">
        <v>80</v>
      </c>
      <c r="L651" s="77" t="s">
        <v>487</v>
      </c>
      <c r="M651" s="77" t="s">
        <v>82</v>
      </c>
      <c r="N651" s="77" t="s">
        <v>83</v>
      </c>
      <c r="Q651" s="77" t="s">
        <v>111</v>
      </c>
      <c r="T651" s="77" t="s">
        <v>112</v>
      </c>
      <c r="U651" s="77" t="s">
        <v>85</v>
      </c>
      <c r="V651" s="80" t="s">
        <v>105</v>
      </c>
      <c r="X651" s="77" t="s">
        <v>106</v>
      </c>
      <c r="Y651" s="78" t="s">
        <v>101</v>
      </c>
      <c r="AA651" s="77" t="s">
        <v>191</v>
      </c>
      <c r="AB651" s="77" t="s">
        <v>78</v>
      </c>
      <c r="AC651" s="77" t="s">
        <v>90</v>
      </c>
      <c r="AD651" s="77" t="s">
        <v>102</v>
      </c>
      <c r="AE651" s="77" t="s">
        <v>3078</v>
      </c>
      <c r="AG651" s="77" t="s">
        <v>112</v>
      </c>
    </row>
    <row r="652" spans="1:33" x14ac:dyDescent="0.3">
      <c r="A652" s="77" t="s">
        <v>3189</v>
      </c>
      <c r="B652" s="77" t="s">
        <v>497</v>
      </c>
      <c r="G652" s="77" t="s">
        <v>3077</v>
      </c>
      <c r="H652" s="77" t="s">
        <v>77</v>
      </c>
      <c r="I652" s="77" t="s">
        <v>78</v>
      </c>
      <c r="J652" s="77" t="s">
        <v>3039</v>
      </c>
      <c r="K652" s="77" t="s">
        <v>80</v>
      </c>
      <c r="L652" s="77" t="s">
        <v>487</v>
      </c>
      <c r="M652" s="77" t="s">
        <v>82</v>
      </c>
      <c r="N652" s="77" t="s">
        <v>83</v>
      </c>
      <c r="Q652" s="77" t="s">
        <v>111</v>
      </c>
      <c r="T652" s="77" t="s">
        <v>112</v>
      </c>
      <c r="U652" s="77" t="s">
        <v>85</v>
      </c>
      <c r="V652" s="80" t="s">
        <v>105</v>
      </c>
      <c r="X652" s="77" t="s">
        <v>106</v>
      </c>
      <c r="Y652" s="78" t="s">
        <v>101</v>
      </c>
      <c r="AA652" s="77" t="s">
        <v>191</v>
      </c>
      <c r="AB652" s="77" t="s">
        <v>78</v>
      </c>
      <c r="AC652" s="77" t="s">
        <v>90</v>
      </c>
      <c r="AD652" s="77" t="s">
        <v>102</v>
      </c>
      <c r="AE652" s="77" t="s">
        <v>3078</v>
      </c>
      <c r="AG652" s="77" t="s">
        <v>112</v>
      </c>
    </row>
    <row r="653" spans="1:33" hidden="1" x14ac:dyDescent="0.3">
      <c r="A653" s="77" t="s">
        <v>3190</v>
      </c>
      <c r="B653" s="77" t="s">
        <v>499</v>
      </c>
      <c r="G653" s="77" t="s">
        <v>3077</v>
      </c>
      <c r="H653" s="77" t="s">
        <v>77</v>
      </c>
      <c r="I653" s="77" t="s">
        <v>78</v>
      </c>
      <c r="J653" s="77" t="s">
        <v>3039</v>
      </c>
      <c r="K653" s="77" t="s">
        <v>80</v>
      </c>
      <c r="L653" s="77" t="s">
        <v>500</v>
      </c>
      <c r="M653" s="77" t="s">
        <v>82</v>
      </c>
      <c r="N653" s="77" t="s">
        <v>83</v>
      </c>
      <c r="Q653" s="77" t="s">
        <v>111</v>
      </c>
      <c r="T653" s="77" t="s">
        <v>112</v>
      </c>
      <c r="U653" s="77" t="s">
        <v>85</v>
      </c>
      <c r="V653" s="77" t="s">
        <v>231</v>
      </c>
      <c r="W653" s="79">
        <v>46179.195998263887</v>
      </c>
      <c r="X653" s="77" t="s">
        <v>232</v>
      </c>
      <c r="Y653" s="78" t="s">
        <v>88</v>
      </c>
      <c r="AA653" s="77" t="s">
        <v>191</v>
      </c>
      <c r="AB653" s="77" t="s">
        <v>78</v>
      </c>
      <c r="AC653" s="77" t="s">
        <v>114</v>
      </c>
      <c r="AD653" s="77" t="s">
        <v>91</v>
      </c>
      <c r="AE653" s="77" t="s">
        <v>3078</v>
      </c>
      <c r="AF653" s="77" t="s">
        <v>2706</v>
      </c>
      <c r="AG653" s="77" t="s">
        <v>112</v>
      </c>
    </row>
    <row r="654" spans="1:33" hidden="1" x14ac:dyDescent="0.3">
      <c r="A654" s="77" t="s">
        <v>3191</v>
      </c>
      <c r="B654" s="77" t="s">
        <v>502</v>
      </c>
      <c r="G654" s="77" t="s">
        <v>3077</v>
      </c>
      <c r="H654" s="77" t="s">
        <v>77</v>
      </c>
      <c r="I654" s="77" t="s">
        <v>78</v>
      </c>
      <c r="J654" s="77" t="s">
        <v>3039</v>
      </c>
      <c r="K654" s="77" t="s">
        <v>80</v>
      </c>
      <c r="L654" s="77" t="s">
        <v>503</v>
      </c>
      <c r="M654" s="77" t="s">
        <v>82</v>
      </c>
      <c r="N654" s="77" t="s">
        <v>83</v>
      </c>
      <c r="Q654" s="77" t="s">
        <v>111</v>
      </c>
      <c r="T654" s="77" t="s">
        <v>112</v>
      </c>
      <c r="U654" s="77" t="s">
        <v>85</v>
      </c>
      <c r="V654" s="77" t="s">
        <v>231</v>
      </c>
      <c r="W654" s="79">
        <v>46192.353257256946</v>
      </c>
      <c r="X654" s="77" t="s">
        <v>232</v>
      </c>
      <c r="Y654" s="78" t="s">
        <v>88</v>
      </c>
      <c r="AA654" s="77" t="s">
        <v>191</v>
      </c>
      <c r="AB654" s="77" t="s">
        <v>78</v>
      </c>
      <c r="AC654" s="77" t="s">
        <v>114</v>
      </c>
      <c r="AD654" s="77" t="s">
        <v>91</v>
      </c>
      <c r="AE654" s="77" t="s">
        <v>3078</v>
      </c>
      <c r="AF654" s="77" t="s">
        <v>2706</v>
      </c>
      <c r="AG654" s="77" t="s">
        <v>112</v>
      </c>
    </row>
    <row r="655" spans="1:33" hidden="1" x14ac:dyDescent="0.3">
      <c r="A655" s="77" t="s">
        <v>3192</v>
      </c>
      <c r="B655" s="77" t="s">
        <v>505</v>
      </c>
      <c r="G655" s="77" t="s">
        <v>3077</v>
      </c>
      <c r="H655" s="77" t="s">
        <v>77</v>
      </c>
      <c r="I655" s="77" t="s">
        <v>78</v>
      </c>
      <c r="J655" s="77" t="s">
        <v>3039</v>
      </c>
      <c r="K655" s="77" t="s">
        <v>80</v>
      </c>
      <c r="L655" s="77" t="s">
        <v>506</v>
      </c>
      <c r="M655" s="77" t="s">
        <v>82</v>
      </c>
      <c r="N655" s="77" t="s">
        <v>83</v>
      </c>
      <c r="Q655" s="77" t="s">
        <v>111</v>
      </c>
      <c r="T655" s="77" t="s">
        <v>112</v>
      </c>
      <c r="U655" s="77" t="s">
        <v>85</v>
      </c>
      <c r="V655" s="80" t="s">
        <v>507</v>
      </c>
      <c r="W655" s="79">
        <v>46184.44536258102</v>
      </c>
      <c r="X655" s="77" t="s">
        <v>508</v>
      </c>
      <c r="Y655" s="78" t="s">
        <v>88</v>
      </c>
      <c r="AA655" s="77" t="s">
        <v>191</v>
      </c>
      <c r="AB655" s="77" t="s">
        <v>78</v>
      </c>
      <c r="AC655" s="77" t="s">
        <v>114</v>
      </c>
      <c r="AD655" s="77" t="s">
        <v>91</v>
      </c>
      <c r="AE655" s="77" t="s">
        <v>3078</v>
      </c>
      <c r="AF655" s="77" t="s">
        <v>2706</v>
      </c>
      <c r="AG655" s="77" t="s">
        <v>112</v>
      </c>
    </row>
    <row r="656" spans="1:33" hidden="1" x14ac:dyDescent="0.3">
      <c r="A656" s="77" t="s">
        <v>3193</v>
      </c>
      <c r="B656" s="77" t="s">
        <v>510</v>
      </c>
      <c r="G656" s="77" t="s">
        <v>3077</v>
      </c>
      <c r="H656" s="77" t="s">
        <v>77</v>
      </c>
      <c r="I656" s="77" t="s">
        <v>78</v>
      </c>
      <c r="J656" s="77" t="s">
        <v>3039</v>
      </c>
      <c r="K656" s="77" t="s">
        <v>80</v>
      </c>
      <c r="L656" s="77" t="s">
        <v>506</v>
      </c>
      <c r="M656" s="77" t="s">
        <v>82</v>
      </c>
      <c r="N656" s="77" t="s">
        <v>83</v>
      </c>
      <c r="Q656" s="77" t="s">
        <v>111</v>
      </c>
      <c r="T656" s="77" t="s">
        <v>112</v>
      </c>
      <c r="U656" s="77" t="s">
        <v>85</v>
      </c>
      <c r="V656" s="80" t="s">
        <v>507</v>
      </c>
      <c r="W656" s="79">
        <v>46184.445931793984</v>
      </c>
      <c r="X656" s="77" t="s">
        <v>508</v>
      </c>
      <c r="Y656" s="78" t="s">
        <v>88</v>
      </c>
      <c r="AA656" s="77" t="s">
        <v>191</v>
      </c>
      <c r="AB656" s="77" t="s">
        <v>78</v>
      </c>
      <c r="AC656" s="77" t="s">
        <v>114</v>
      </c>
      <c r="AD656" s="77" t="s">
        <v>91</v>
      </c>
      <c r="AE656" s="77" t="s">
        <v>3078</v>
      </c>
      <c r="AF656" s="77" t="s">
        <v>2706</v>
      </c>
      <c r="AG656" s="77" t="s">
        <v>112</v>
      </c>
    </row>
    <row r="657" spans="1:33" hidden="1" x14ac:dyDescent="0.3">
      <c r="A657" s="77" t="s">
        <v>3194</v>
      </c>
      <c r="B657" s="77" t="s">
        <v>512</v>
      </c>
      <c r="G657" s="77" t="s">
        <v>3077</v>
      </c>
      <c r="H657" s="77" t="s">
        <v>77</v>
      </c>
      <c r="I657" s="77" t="s">
        <v>78</v>
      </c>
      <c r="J657" s="77" t="s">
        <v>3039</v>
      </c>
      <c r="K657" s="77" t="s">
        <v>80</v>
      </c>
      <c r="L657" s="77" t="s">
        <v>513</v>
      </c>
      <c r="M657" s="77" t="s">
        <v>82</v>
      </c>
      <c r="N657" s="77" t="s">
        <v>83</v>
      </c>
      <c r="Q657" s="77" t="s">
        <v>111</v>
      </c>
      <c r="T657" s="77" t="s">
        <v>112</v>
      </c>
      <c r="U657" s="77" t="s">
        <v>85</v>
      </c>
      <c r="V657" s="77" t="s">
        <v>514</v>
      </c>
      <c r="W657" s="79">
        <v>46184.446282870369</v>
      </c>
      <c r="X657" s="77" t="s">
        <v>515</v>
      </c>
      <c r="Y657" s="78" t="s">
        <v>88</v>
      </c>
      <c r="AA657" s="77" t="s">
        <v>191</v>
      </c>
      <c r="AB657" s="77" t="s">
        <v>78</v>
      </c>
      <c r="AC657" s="77" t="s">
        <v>114</v>
      </c>
      <c r="AD657" s="77" t="s">
        <v>91</v>
      </c>
      <c r="AE657" s="77" t="s">
        <v>3078</v>
      </c>
      <c r="AF657" s="77" t="s">
        <v>2706</v>
      </c>
      <c r="AG657" s="77" t="s">
        <v>112</v>
      </c>
    </row>
    <row r="658" spans="1:33" hidden="1" x14ac:dyDescent="0.3">
      <c r="A658" s="77" t="s">
        <v>3195</v>
      </c>
      <c r="B658" s="77" t="s">
        <v>517</v>
      </c>
      <c r="G658" s="77" t="s">
        <v>3077</v>
      </c>
      <c r="H658" s="77" t="s">
        <v>77</v>
      </c>
      <c r="I658" s="77" t="s">
        <v>78</v>
      </c>
      <c r="J658" s="77" t="s">
        <v>3039</v>
      </c>
      <c r="K658" s="77" t="s">
        <v>80</v>
      </c>
      <c r="L658" s="77" t="s">
        <v>513</v>
      </c>
      <c r="M658" s="77" t="s">
        <v>82</v>
      </c>
      <c r="N658" s="77" t="s">
        <v>83</v>
      </c>
      <c r="Q658" s="77" t="s">
        <v>111</v>
      </c>
      <c r="T658" s="77" t="s">
        <v>112</v>
      </c>
      <c r="U658" s="77" t="s">
        <v>85</v>
      </c>
      <c r="V658" s="77" t="s">
        <v>514</v>
      </c>
      <c r="W658" s="79">
        <v>46184.44668695602</v>
      </c>
      <c r="X658" s="77" t="s">
        <v>515</v>
      </c>
      <c r="Y658" s="78" t="s">
        <v>88</v>
      </c>
      <c r="AA658" s="77" t="s">
        <v>191</v>
      </c>
      <c r="AB658" s="77" t="s">
        <v>78</v>
      </c>
      <c r="AC658" s="77" t="s">
        <v>114</v>
      </c>
      <c r="AD658" s="77" t="s">
        <v>91</v>
      </c>
      <c r="AE658" s="77" t="s">
        <v>3078</v>
      </c>
      <c r="AF658" s="77" t="s">
        <v>2706</v>
      </c>
      <c r="AG658" s="77" t="s">
        <v>112</v>
      </c>
    </row>
    <row r="659" spans="1:33" hidden="1" x14ac:dyDescent="0.3">
      <c r="A659" s="77" t="s">
        <v>3196</v>
      </c>
      <c r="B659" s="77" t="s">
        <v>519</v>
      </c>
      <c r="G659" s="77" t="s">
        <v>3077</v>
      </c>
      <c r="H659" s="77" t="s">
        <v>77</v>
      </c>
      <c r="I659" s="77" t="s">
        <v>78</v>
      </c>
      <c r="J659" s="77" t="s">
        <v>3039</v>
      </c>
      <c r="K659" s="77" t="s">
        <v>80</v>
      </c>
      <c r="L659" s="77" t="s">
        <v>520</v>
      </c>
      <c r="M659" s="77" t="s">
        <v>82</v>
      </c>
      <c r="N659" s="77" t="s">
        <v>83</v>
      </c>
      <c r="Q659" s="77" t="s">
        <v>111</v>
      </c>
      <c r="T659" s="77" t="s">
        <v>112</v>
      </c>
      <c r="U659" s="77" t="s">
        <v>85</v>
      </c>
      <c r="V659" s="77" t="s">
        <v>521</v>
      </c>
      <c r="W659" s="79">
        <v>46214.318997719907</v>
      </c>
      <c r="X659" s="77" t="s">
        <v>522</v>
      </c>
      <c r="Y659" s="78" t="s">
        <v>101</v>
      </c>
      <c r="AA659" s="77" t="s">
        <v>191</v>
      </c>
      <c r="AB659" s="77" t="s">
        <v>78</v>
      </c>
      <c r="AC659" s="77" t="s">
        <v>114</v>
      </c>
      <c r="AD659" s="77" t="s">
        <v>102</v>
      </c>
      <c r="AE659" s="77" t="s">
        <v>3078</v>
      </c>
      <c r="AF659" s="77" t="s">
        <v>2706</v>
      </c>
      <c r="AG659" s="77" t="s">
        <v>112</v>
      </c>
    </row>
    <row r="660" spans="1:33" hidden="1" x14ac:dyDescent="0.3">
      <c r="A660" s="77" t="s">
        <v>3197</v>
      </c>
      <c r="B660" s="77" t="s">
        <v>524</v>
      </c>
      <c r="G660" s="77" t="s">
        <v>3077</v>
      </c>
      <c r="H660" s="77" t="s">
        <v>77</v>
      </c>
      <c r="I660" s="77" t="s">
        <v>78</v>
      </c>
      <c r="J660" s="77" t="s">
        <v>3039</v>
      </c>
      <c r="K660" s="77" t="s">
        <v>80</v>
      </c>
      <c r="L660" s="77" t="s">
        <v>520</v>
      </c>
      <c r="M660" s="77" t="s">
        <v>82</v>
      </c>
      <c r="N660" s="77" t="s">
        <v>83</v>
      </c>
      <c r="Q660" s="77" t="s">
        <v>111</v>
      </c>
      <c r="T660" s="77" t="s">
        <v>112</v>
      </c>
      <c r="U660" s="77" t="s">
        <v>85</v>
      </c>
      <c r="V660" s="77" t="s">
        <v>521</v>
      </c>
      <c r="W660" s="79">
        <v>46214.335150960651</v>
      </c>
      <c r="X660" s="77" t="s">
        <v>522</v>
      </c>
      <c r="Y660" s="78" t="s">
        <v>101</v>
      </c>
      <c r="AA660" s="77" t="s">
        <v>191</v>
      </c>
      <c r="AB660" s="77" t="s">
        <v>78</v>
      </c>
      <c r="AC660" s="77" t="s">
        <v>114</v>
      </c>
      <c r="AD660" s="77" t="s">
        <v>102</v>
      </c>
      <c r="AE660" s="77" t="s">
        <v>3078</v>
      </c>
      <c r="AF660" s="77" t="s">
        <v>2706</v>
      </c>
      <c r="AG660" s="77" t="s">
        <v>112</v>
      </c>
    </row>
    <row r="661" spans="1:33" hidden="1" x14ac:dyDescent="0.3">
      <c r="A661" s="77" t="s">
        <v>3198</v>
      </c>
      <c r="B661" s="77" t="s">
        <v>526</v>
      </c>
      <c r="G661" s="77" t="s">
        <v>3077</v>
      </c>
      <c r="H661" s="77" t="s">
        <v>77</v>
      </c>
      <c r="I661" s="77" t="s">
        <v>78</v>
      </c>
      <c r="J661" s="77" t="s">
        <v>3039</v>
      </c>
      <c r="K661" s="77" t="s">
        <v>80</v>
      </c>
      <c r="L661" s="77" t="s">
        <v>527</v>
      </c>
      <c r="M661" s="77" t="s">
        <v>82</v>
      </c>
      <c r="N661" s="77" t="s">
        <v>83</v>
      </c>
      <c r="Q661" s="77" t="s">
        <v>111</v>
      </c>
      <c r="T661" s="77" t="s">
        <v>112</v>
      </c>
      <c r="U661" s="77" t="s">
        <v>85</v>
      </c>
      <c r="V661" s="77" t="s">
        <v>528</v>
      </c>
      <c r="W661" s="79">
        <v>46184.447213692132</v>
      </c>
      <c r="X661" s="77" t="s">
        <v>529</v>
      </c>
      <c r="Y661" s="78" t="s">
        <v>101</v>
      </c>
      <c r="AA661" s="77" t="s">
        <v>191</v>
      </c>
      <c r="AB661" s="77" t="s">
        <v>78</v>
      </c>
      <c r="AC661" s="77" t="s">
        <v>114</v>
      </c>
      <c r="AD661" s="77" t="s">
        <v>102</v>
      </c>
      <c r="AE661" s="77" t="s">
        <v>3078</v>
      </c>
      <c r="AF661" s="77" t="s">
        <v>2706</v>
      </c>
      <c r="AG661" s="77" t="s">
        <v>112</v>
      </c>
    </row>
    <row r="662" spans="1:33" hidden="1" x14ac:dyDescent="0.3">
      <c r="A662" s="77" t="s">
        <v>3199</v>
      </c>
      <c r="B662" s="77" t="s">
        <v>531</v>
      </c>
      <c r="G662" s="77" t="s">
        <v>3077</v>
      </c>
      <c r="H662" s="77" t="s">
        <v>77</v>
      </c>
      <c r="I662" s="77" t="s">
        <v>78</v>
      </c>
      <c r="J662" s="77" t="s">
        <v>3039</v>
      </c>
      <c r="K662" s="77" t="s">
        <v>80</v>
      </c>
      <c r="L662" s="77" t="s">
        <v>527</v>
      </c>
      <c r="M662" s="77" t="s">
        <v>82</v>
      </c>
      <c r="N662" s="77" t="s">
        <v>83</v>
      </c>
      <c r="Q662" s="77" t="s">
        <v>111</v>
      </c>
      <c r="T662" s="77" t="s">
        <v>112</v>
      </c>
      <c r="U662" s="77" t="s">
        <v>85</v>
      </c>
      <c r="V662" s="77" t="s">
        <v>528</v>
      </c>
      <c r="W662" s="79">
        <v>46184.447654166666</v>
      </c>
      <c r="X662" s="77" t="s">
        <v>529</v>
      </c>
      <c r="Y662" s="78" t="s">
        <v>101</v>
      </c>
      <c r="AA662" s="77" t="s">
        <v>191</v>
      </c>
      <c r="AB662" s="77" t="s">
        <v>78</v>
      </c>
      <c r="AC662" s="77" t="s">
        <v>114</v>
      </c>
      <c r="AD662" s="77" t="s">
        <v>102</v>
      </c>
      <c r="AE662" s="77" t="s">
        <v>3078</v>
      </c>
      <c r="AF662" s="77" t="s">
        <v>2706</v>
      </c>
      <c r="AG662" s="77" t="s">
        <v>112</v>
      </c>
    </row>
    <row r="663" spans="1:33" hidden="1" x14ac:dyDescent="0.3">
      <c r="A663" s="77" t="s">
        <v>3200</v>
      </c>
      <c r="B663" s="77" t="s">
        <v>533</v>
      </c>
      <c r="G663" s="77" t="s">
        <v>3077</v>
      </c>
      <c r="H663" s="77" t="s">
        <v>77</v>
      </c>
      <c r="I663" s="77" t="s">
        <v>78</v>
      </c>
      <c r="J663" s="77" t="s">
        <v>3039</v>
      </c>
      <c r="K663" s="77" t="s">
        <v>80</v>
      </c>
      <c r="L663" s="77" t="s">
        <v>534</v>
      </c>
      <c r="M663" s="77" t="s">
        <v>82</v>
      </c>
      <c r="N663" s="77" t="s">
        <v>83</v>
      </c>
      <c r="Q663" s="77" t="s">
        <v>111</v>
      </c>
      <c r="T663" s="77" t="s">
        <v>112</v>
      </c>
      <c r="U663" s="77" t="s">
        <v>85</v>
      </c>
      <c r="V663" s="80" t="s">
        <v>507</v>
      </c>
      <c r="W663" s="79">
        <v>46192.196330011575</v>
      </c>
      <c r="X663" s="77" t="s">
        <v>508</v>
      </c>
      <c r="Y663" s="78" t="s">
        <v>88</v>
      </c>
      <c r="AA663" s="77" t="s">
        <v>191</v>
      </c>
      <c r="AB663" s="77" t="s">
        <v>78</v>
      </c>
      <c r="AC663" s="77" t="s">
        <v>114</v>
      </c>
      <c r="AD663" s="77" t="s">
        <v>91</v>
      </c>
      <c r="AE663" s="77" t="s">
        <v>3078</v>
      </c>
      <c r="AF663" s="77" t="s">
        <v>2706</v>
      </c>
      <c r="AG663" s="77" t="s">
        <v>112</v>
      </c>
    </row>
    <row r="664" spans="1:33" hidden="1" x14ac:dyDescent="0.3">
      <c r="A664" s="77" t="s">
        <v>3201</v>
      </c>
      <c r="B664" s="77" t="s">
        <v>536</v>
      </c>
      <c r="G664" s="77" t="s">
        <v>3077</v>
      </c>
      <c r="H664" s="77" t="s">
        <v>77</v>
      </c>
      <c r="I664" s="77" t="s">
        <v>78</v>
      </c>
      <c r="J664" s="77" t="s">
        <v>3039</v>
      </c>
      <c r="K664" s="77" t="s">
        <v>80</v>
      </c>
      <c r="L664" s="77" t="s">
        <v>537</v>
      </c>
      <c r="M664" s="77" t="s">
        <v>82</v>
      </c>
      <c r="N664" s="77" t="s">
        <v>83</v>
      </c>
      <c r="Q664" s="77" t="s">
        <v>111</v>
      </c>
      <c r="T664" s="77" t="s">
        <v>112</v>
      </c>
      <c r="U664" s="77" t="s">
        <v>85</v>
      </c>
      <c r="V664" s="77" t="s">
        <v>514</v>
      </c>
      <c r="W664" s="79">
        <v>46192.19715162037</v>
      </c>
      <c r="X664" s="77" t="s">
        <v>515</v>
      </c>
      <c r="Y664" s="78" t="s">
        <v>88</v>
      </c>
      <c r="AA664" s="77" t="s">
        <v>191</v>
      </c>
      <c r="AB664" s="77" t="s">
        <v>78</v>
      </c>
      <c r="AC664" s="77" t="s">
        <v>114</v>
      </c>
      <c r="AD664" s="77" t="s">
        <v>91</v>
      </c>
      <c r="AE664" s="77" t="s">
        <v>3078</v>
      </c>
      <c r="AF664" s="77" t="s">
        <v>2706</v>
      </c>
      <c r="AG664" s="77" t="s">
        <v>112</v>
      </c>
    </row>
    <row r="665" spans="1:33" hidden="1" x14ac:dyDescent="0.3">
      <c r="A665" s="77" t="s">
        <v>3202</v>
      </c>
      <c r="B665" s="77" t="s">
        <v>539</v>
      </c>
      <c r="G665" s="77" t="s">
        <v>3077</v>
      </c>
      <c r="H665" s="77" t="s">
        <v>77</v>
      </c>
      <c r="I665" s="77" t="s">
        <v>78</v>
      </c>
      <c r="J665" s="77" t="s">
        <v>3039</v>
      </c>
      <c r="K665" s="77" t="s">
        <v>80</v>
      </c>
      <c r="L665" s="77" t="s">
        <v>540</v>
      </c>
      <c r="M665" s="77" t="s">
        <v>82</v>
      </c>
      <c r="N665" s="77" t="s">
        <v>83</v>
      </c>
      <c r="Q665" s="77" t="s">
        <v>111</v>
      </c>
      <c r="T665" s="77" t="s">
        <v>112</v>
      </c>
      <c r="U665" s="77" t="s">
        <v>85</v>
      </c>
      <c r="V665" s="77" t="s">
        <v>521</v>
      </c>
      <c r="W665" s="79">
        <v>46214.346601273151</v>
      </c>
      <c r="X665" s="77" t="s">
        <v>522</v>
      </c>
      <c r="Y665" s="78" t="s">
        <v>101</v>
      </c>
      <c r="AA665" s="77" t="s">
        <v>191</v>
      </c>
      <c r="AB665" s="77" t="s">
        <v>78</v>
      </c>
      <c r="AC665" s="77" t="s">
        <v>114</v>
      </c>
      <c r="AD665" s="77" t="s">
        <v>102</v>
      </c>
      <c r="AE665" s="77" t="s">
        <v>3078</v>
      </c>
      <c r="AF665" s="77" t="s">
        <v>2706</v>
      </c>
      <c r="AG665" s="77" t="s">
        <v>112</v>
      </c>
    </row>
    <row r="666" spans="1:33" hidden="1" x14ac:dyDescent="0.3">
      <c r="A666" s="77" t="s">
        <v>3203</v>
      </c>
      <c r="B666" s="77" t="s">
        <v>542</v>
      </c>
      <c r="G666" s="77" t="s">
        <v>3077</v>
      </c>
      <c r="H666" s="77" t="s">
        <v>77</v>
      </c>
      <c r="I666" s="77" t="s">
        <v>78</v>
      </c>
      <c r="J666" s="77" t="s">
        <v>3039</v>
      </c>
      <c r="K666" s="77" t="s">
        <v>80</v>
      </c>
      <c r="L666" s="77" t="s">
        <v>543</v>
      </c>
      <c r="M666" s="77" t="s">
        <v>82</v>
      </c>
      <c r="N666" s="77" t="s">
        <v>83</v>
      </c>
      <c r="Q666" s="77" t="s">
        <v>111</v>
      </c>
      <c r="T666" s="77" t="s">
        <v>112</v>
      </c>
      <c r="U666" s="77" t="s">
        <v>85</v>
      </c>
      <c r="V666" s="77" t="s">
        <v>528</v>
      </c>
      <c r="W666" s="79">
        <v>46192.35736454861</v>
      </c>
      <c r="X666" s="77" t="s">
        <v>529</v>
      </c>
      <c r="Y666" s="78" t="s">
        <v>101</v>
      </c>
      <c r="AA666" s="77" t="s">
        <v>191</v>
      </c>
      <c r="AB666" s="77" t="s">
        <v>78</v>
      </c>
      <c r="AC666" s="77" t="s">
        <v>114</v>
      </c>
      <c r="AD666" s="77" t="s">
        <v>102</v>
      </c>
      <c r="AE666" s="77" t="s">
        <v>3078</v>
      </c>
      <c r="AF666" s="77" t="s">
        <v>2706</v>
      </c>
      <c r="AG666" s="77" t="s">
        <v>112</v>
      </c>
    </row>
    <row r="667" spans="1:33" hidden="1" x14ac:dyDescent="0.3">
      <c r="A667" s="77" t="s">
        <v>3204</v>
      </c>
      <c r="B667" s="77" t="s">
        <v>545</v>
      </c>
      <c r="G667" s="77" t="s">
        <v>3077</v>
      </c>
      <c r="H667" s="77" t="s">
        <v>77</v>
      </c>
      <c r="I667" s="77" t="s">
        <v>78</v>
      </c>
      <c r="J667" s="77" t="s">
        <v>3039</v>
      </c>
      <c r="K667" s="77" t="s">
        <v>80</v>
      </c>
      <c r="L667" s="77" t="s">
        <v>546</v>
      </c>
      <c r="M667" s="77" t="s">
        <v>82</v>
      </c>
      <c r="N667" s="77" t="s">
        <v>83</v>
      </c>
      <c r="Q667" s="77" t="s">
        <v>111</v>
      </c>
      <c r="T667" s="77" t="s">
        <v>112</v>
      </c>
      <c r="U667" s="77" t="s">
        <v>85</v>
      </c>
      <c r="V667" s="77" t="s">
        <v>547</v>
      </c>
      <c r="W667" s="79">
        <v>46192.197637152778</v>
      </c>
      <c r="X667" s="77" t="s">
        <v>548</v>
      </c>
      <c r="Y667" s="78" t="s">
        <v>88</v>
      </c>
      <c r="AA667" s="77" t="s">
        <v>191</v>
      </c>
      <c r="AB667" s="77" t="s">
        <v>78</v>
      </c>
      <c r="AC667" s="77" t="s">
        <v>114</v>
      </c>
      <c r="AD667" s="77" t="s">
        <v>91</v>
      </c>
      <c r="AE667" s="77" t="s">
        <v>3078</v>
      </c>
      <c r="AF667" s="77" t="s">
        <v>2706</v>
      </c>
      <c r="AG667" s="77" t="s">
        <v>112</v>
      </c>
    </row>
    <row r="668" spans="1:33" hidden="1" x14ac:dyDescent="0.3">
      <c r="A668" s="77" t="s">
        <v>3205</v>
      </c>
      <c r="B668" s="77" t="s">
        <v>550</v>
      </c>
      <c r="G668" s="77" t="s">
        <v>3077</v>
      </c>
      <c r="H668" s="77" t="s">
        <v>77</v>
      </c>
      <c r="I668" s="77" t="s">
        <v>78</v>
      </c>
      <c r="J668" s="77" t="s">
        <v>3039</v>
      </c>
      <c r="K668" s="77" t="s">
        <v>80</v>
      </c>
      <c r="L668" s="77" t="s">
        <v>546</v>
      </c>
      <c r="M668" s="77" t="s">
        <v>82</v>
      </c>
      <c r="N668" s="77" t="s">
        <v>83</v>
      </c>
      <c r="Q668" s="77" t="s">
        <v>111</v>
      </c>
      <c r="T668" s="77" t="s">
        <v>112</v>
      </c>
      <c r="U668" s="77" t="s">
        <v>85</v>
      </c>
      <c r="V668" s="77" t="s">
        <v>547</v>
      </c>
      <c r="W668" s="79">
        <v>46192.197962650462</v>
      </c>
      <c r="X668" s="77" t="s">
        <v>548</v>
      </c>
      <c r="Y668" s="78" t="s">
        <v>88</v>
      </c>
      <c r="AA668" s="77" t="s">
        <v>191</v>
      </c>
      <c r="AB668" s="77" t="s">
        <v>78</v>
      </c>
      <c r="AC668" s="77" t="s">
        <v>114</v>
      </c>
      <c r="AD668" s="77" t="s">
        <v>91</v>
      </c>
      <c r="AE668" s="77" t="s">
        <v>3078</v>
      </c>
      <c r="AF668" s="77" t="s">
        <v>2706</v>
      </c>
      <c r="AG668" s="77" t="s">
        <v>112</v>
      </c>
    </row>
    <row r="669" spans="1:33" hidden="1" x14ac:dyDescent="0.3">
      <c r="A669" s="77" t="s">
        <v>3206</v>
      </c>
      <c r="B669" s="77" t="s">
        <v>552</v>
      </c>
      <c r="G669" s="77" t="s">
        <v>3077</v>
      </c>
      <c r="H669" s="77" t="s">
        <v>77</v>
      </c>
      <c r="I669" s="77" t="s">
        <v>78</v>
      </c>
      <c r="J669" s="77" t="s">
        <v>3039</v>
      </c>
      <c r="K669" s="77" t="s">
        <v>80</v>
      </c>
      <c r="L669" s="77" t="s">
        <v>553</v>
      </c>
      <c r="M669" s="77" t="s">
        <v>82</v>
      </c>
      <c r="N669" s="77" t="s">
        <v>83</v>
      </c>
      <c r="Q669" s="77" t="s">
        <v>111</v>
      </c>
      <c r="T669" s="77" t="s">
        <v>112</v>
      </c>
      <c r="U669" s="77" t="s">
        <v>85</v>
      </c>
      <c r="V669" s="77" t="s">
        <v>554</v>
      </c>
      <c r="W669" s="79">
        <v>46192.198248958332</v>
      </c>
      <c r="X669" s="77" t="s">
        <v>555</v>
      </c>
      <c r="Y669" s="78" t="s">
        <v>88</v>
      </c>
      <c r="AA669" s="77" t="s">
        <v>191</v>
      </c>
      <c r="AB669" s="77" t="s">
        <v>78</v>
      </c>
      <c r="AC669" s="77" t="s">
        <v>114</v>
      </c>
      <c r="AD669" s="77" t="s">
        <v>91</v>
      </c>
      <c r="AE669" s="77" t="s">
        <v>3078</v>
      </c>
      <c r="AF669" s="77" t="s">
        <v>2706</v>
      </c>
      <c r="AG669" s="77" t="s">
        <v>112</v>
      </c>
    </row>
    <row r="670" spans="1:33" hidden="1" x14ac:dyDescent="0.3">
      <c r="A670" s="77" t="s">
        <v>3207</v>
      </c>
      <c r="B670" s="77" t="s">
        <v>557</v>
      </c>
      <c r="G670" s="77" t="s">
        <v>3077</v>
      </c>
      <c r="H670" s="77" t="s">
        <v>77</v>
      </c>
      <c r="I670" s="77" t="s">
        <v>78</v>
      </c>
      <c r="J670" s="77" t="s">
        <v>3039</v>
      </c>
      <c r="K670" s="77" t="s">
        <v>80</v>
      </c>
      <c r="L670" s="77" t="s">
        <v>553</v>
      </c>
      <c r="M670" s="77" t="s">
        <v>82</v>
      </c>
      <c r="N670" s="77" t="s">
        <v>83</v>
      </c>
      <c r="Q670" s="77" t="s">
        <v>111</v>
      </c>
      <c r="T670" s="77" t="s">
        <v>112</v>
      </c>
      <c r="U670" s="77" t="s">
        <v>85</v>
      </c>
      <c r="V670" s="77" t="s">
        <v>554</v>
      </c>
      <c r="W670" s="79">
        <v>46192.198540358797</v>
      </c>
      <c r="X670" s="77" t="s">
        <v>555</v>
      </c>
      <c r="Y670" s="78" t="s">
        <v>88</v>
      </c>
      <c r="AA670" s="77" t="s">
        <v>191</v>
      </c>
      <c r="AB670" s="77" t="s">
        <v>78</v>
      </c>
      <c r="AC670" s="77" t="s">
        <v>114</v>
      </c>
      <c r="AD670" s="77" t="s">
        <v>91</v>
      </c>
      <c r="AE670" s="77" t="s">
        <v>3078</v>
      </c>
      <c r="AF670" s="77" t="s">
        <v>2706</v>
      </c>
      <c r="AG670" s="77" t="s">
        <v>112</v>
      </c>
    </row>
    <row r="671" spans="1:33" hidden="1" x14ac:dyDescent="0.3">
      <c r="A671" s="77" t="s">
        <v>3208</v>
      </c>
      <c r="B671" s="77" t="s">
        <v>559</v>
      </c>
      <c r="G671" s="77" t="s">
        <v>3077</v>
      </c>
      <c r="H671" s="77" t="s">
        <v>77</v>
      </c>
      <c r="I671" s="77" t="s">
        <v>78</v>
      </c>
      <c r="J671" s="77" t="s">
        <v>3039</v>
      </c>
      <c r="K671" s="77" t="s">
        <v>80</v>
      </c>
      <c r="L671" s="77" t="s">
        <v>560</v>
      </c>
      <c r="M671" s="77" t="s">
        <v>82</v>
      </c>
      <c r="N671" s="77" t="s">
        <v>83</v>
      </c>
      <c r="Q671" s="77" t="s">
        <v>111</v>
      </c>
      <c r="T671" s="77" t="s">
        <v>112</v>
      </c>
      <c r="U671" s="77" t="s">
        <v>85</v>
      </c>
      <c r="V671" s="77" t="s">
        <v>561</v>
      </c>
      <c r="W671" s="79">
        <v>46214.35488460648</v>
      </c>
      <c r="X671" s="77" t="s">
        <v>562</v>
      </c>
      <c r="Y671" s="78" t="s">
        <v>101</v>
      </c>
      <c r="AA671" s="77" t="s">
        <v>191</v>
      </c>
      <c r="AB671" s="77" t="s">
        <v>78</v>
      </c>
      <c r="AC671" s="77" t="s">
        <v>114</v>
      </c>
      <c r="AD671" s="77" t="s">
        <v>102</v>
      </c>
      <c r="AE671" s="77" t="s">
        <v>3078</v>
      </c>
      <c r="AF671" s="77" t="s">
        <v>2706</v>
      </c>
      <c r="AG671" s="77" t="s">
        <v>112</v>
      </c>
    </row>
    <row r="672" spans="1:33" hidden="1" x14ac:dyDescent="0.3">
      <c r="A672" s="77" t="s">
        <v>3209</v>
      </c>
      <c r="B672" s="77" t="s">
        <v>564</v>
      </c>
      <c r="G672" s="77" t="s">
        <v>3077</v>
      </c>
      <c r="H672" s="77" t="s">
        <v>77</v>
      </c>
      <c r="I672" s="77" t="s">
        <v>78</v>
      </c>
      <c r="J672" s="77" t="s">
        <v>3039</v>
      </c>
      <c r="K672" s="77" t="s">
        <v>80</v>
      </c>
      <c r="L672" s="77" t="s">
        <v>560</v>
      </c>
      <c r="M672" s="77" t="s">
        <v>82</v>
      </c>
      <c r="N672" s="77" t="s">
        <v>83</v>
      </c>
      <c r="Q672" s="77" t="s">
        <v>111</v>
      </c>
      <c r="T672" s="77" t="s">
        <v>112</v>
      </c>
      <c r="U672" s="77" t="s">
        <v>85</v>
      </c>
      <c r="V672" s="77" t="s">
        <v>561</v>
      </c>
      <c r="W672" s="79">
        <v>46192.198838275464</v>
      </c>
      <c r="X672" s="77" t="s">
        <v>562</v>
      </c>
      <c r="Y672" s="78" t="s">
        <v>101</v>
      </c>
      <c r="AA672" s="77" t="s">
        <v>191</v>
      </c>
      <c r="AB672" s="77" t="s">
        <v>78</v>
      </c>
      <c r="AC672" s="77" t="s">
        <v>114</v>
      </c>
      <c r="AD672" s="77" t="s">
        <v>102</v>
      </c>
      <c r="AE672" s="77" t="s">
        <v>3078</v>
      </c>
      <c r="AF672" s="77" t="s">
        <v>2706</v>
      </c>
      <c r="AG672" s="77" t="s">
        <v>112</v>
      </c>
    </row>
    <row r="673" spans="1:33" hidden="1" x14ac:dyDescent="0.3">
      <c r="A673" s="77" t="s">
        <v>3210</v>
      </c>
      <c r="B673" s="77" t="s">
        <v>566</v>
      </c>
      <c r="G673" s="77" t="s">
        <v>3077</v>
      </c>
      <c r="H673" s="77" t="s">
        <v>77</v>
      </c>
      <c r="I673" s="77" t="s">
        <v>78</v>
      </c>
      <c r="J673" s="77" t="s">
        <v>3039</v>
      </c>
      <c r="K673" s="77" t="s">
        <v>80</v>
      </c>
      <c r="L673" s="77" t="s">
        <v>567</v>
      </c>
      <c r="M673" s="77" t="s">
        <v>82</v>
      </c>
      <c r="N673" s="77" t="s">
        <v>83</v>
      </c>
      <c r="Q673" s="77" t="s">
        <v>111</v>
      </c>
      <c r="T673" s="77" t="s">
        <v>112</v>
      </c>
      <c r="U673" s="77" t="s">
        <v>85</v>
      </c>
      <c r="V673" s="77" t="s">
        <v>568</v>
      </c>
      <c r="W673" s="79">
        <v>46184.448145567127</v>
      </c>
      <c r="X673" s="77" t="s">
        <v>569</v>
      </c>
      <c r="Y673" s="78" t="s">
        <v>101</v>
      </c>
      <c r="AA673" s="77" t="s">
        <v>191</v>
      </c>
      <c r="AB673" s="77" t="s">
        <v>78</v>
      </c>
      <c r="AC673" s="77" t="s">
        <v>114</v>
      </c>
      <c r="AD673" s="77" t="s">
        <v>102</v>
      </c>
      <c r="AE673" s="77" t="s">
        <v>3078</v>
      </c>
      <c r="AF673" s="77" t="s">
        <v>2706</v>
      </c>
      <c r="AG673" s="77" t="s">
        <v>112</v>
      </c>
    </row>
    <row r="674" spans="1:33" hidden="1" x14ac:dyDescent="0.3">
      <c r="A674" s="77" t="s">
        <v>3211</v>
      </c>
      <c r="B674" s="77" t="s">
        <v>571</v>
      </c>
      <c r="G674" s="77" t="s">
        <v>3077</v>
      </c>
      <c r="H674" s="77" t="s">
        <v>77</v>
      </c>
      <c r="I674" s="77" t="s">
        <v>78</v>
      </c>
      <c r="J674" s="77" t="s">
        <v>3039</v>
      </c>
      <c r="K674" s="77" t="s">
        <v>80</v>
      </c>
      <c r="L674" s="77" t="s">
        <v>567</v>
      </c>
      <c r="M674" s="77" t="s">
        <v>82</v>
      </c>
      <c r="N674" s="77" t="s">
        <v>83</v>
      </c>
      <c r="Q674" s="77" t="s">
        <v>111</v>
      </c>
      <c r="T674" s="77" t="s">
        <v>112</v>
      </c>
      <c r="U674" s="77" t="s">
        <v>85</v>
      </c>
      <c r="V674" s="77" t="s">
        <v>568</v>
      </c>
      <c r="W674" s="79">
        <v>46184.44855940972</v>
      </c>
      <c r="X674" s="77" t="s">
        <v>569</v>
      </c>
      <c r="Y674" s="78" t="s">
        <v>101</v>
      </c>
      <c r="AA674" s="77" t="s">
        <v>191</v>
      </c>
      <c r="AB674" s="77" t="s">
        <v>78</v>
      </c>
      <c r="AC674" s="77" t="s">
        <v>114</v>
      </c>
      <c r="AD674" s="77" t="s">
        <v>102</v>
      </c>
      <c r="AE674" s="77" t="s">
        <v>3078</v>
      </c>
      <c r="AF674" s="77" t="s">
        <v>2706</v>
      </c>
      <c r="AG674" s="77" t="s">
        <v>112</v>
      </c>
    </row>
    <row r="675" spans="1:33" hidden="1" x14ac:dyDescent="0.3">
      <c r="A675" s="77" t="s">
        <v>3212</v>
      </c>
      <c r="B675" s="77" t="s">
        <v>573</v>
      </c>
      <c r="G675" s="77" t="s">
        <v>3077</v>
      </c>
      <c r="H675" s="77" t="s">
        <v>77</v>
      </c>
      <c r="I675" s="77" t="s">
        <v>78</v>
      </c>
      <c r="J675" s="77" t="s">
        <v>3039</v>
      </c>
      <c r="K675" s="77" t="s">
        <v>80</v>
      </c>
      <c r="L675" s="77" t="s">
        <v>574</v>
      </c>
      <c r="M675" s="77" t="s">
        <v>82</v>
      </c>
      <c r="N675" s="77" t="s">
        <v>83</v>
      </c>
      <c r="Q675" s="77" t="s">
        <v>111</v>
      </c>
      <c r="T675" s="77" t="s">
        <v>112</v>
      </c>
      <c r="U675" s="77" t="s">
        <v>85</v>
      </c>
      <c r="V675" s="80" t="s">
        <v>86</v>
      </c>
      <c r="W675" s="79">
        <v>46178.326802743053</v>
      </c>
      <c r="X675" s="77" t="s">
        <v>87</v>
      </c>
      <c r="Y675" s="78" t="s">
        <v>88</v>
      </c>
      <c r="AA675" s="77" t="s">
        <v>191</v>
      </c>
      <c r="AB675" s="77" t="s">
        <v>78</v>
      </c>
      <c r="AC675" s="77" t="s">
        <v>114</v>
      </c>
      <c r="AD675" s="77" t="s">
        <v>91</v>
      </c>
      <c r="AE675" s="77" t="s">
        <v>3078</v>
      </c>
      <c r="AF675" s="77" t="s">
        <v>2706</v>
      </c>
      <c r="AG675" s="77" t="s">
        <v>112</v>
      </c>
    </row>
    <row r="676" spans="1:33" hidden="1" x14ac:dyDescent="0.3">
      <c r="A676" s="77" t="s">
        <v>3213</v>
      </c>
      <c r="B676" s="77" t="s">
        <v>576</v>
      </c>
      <c r="G676" s="77" t="s">
        <v>3077</v>
      </c>
      <c r="H676" s="77" t="s">
        <v>77</v>
      </c>
      <c r="I676" s="77" t="s">
        <v>78</v>
      </c>
      <c r="J676" s="77" t="s">
        <v>3039</v>
      </c>
      <c r="K676" s="77" t="s">
        <v>80</v>
      </c>
      <c r="L676" s="77" t="s">
        <v>577</v>
      </c>
      <c r="M676" s="77" t="s">
        <v>82</v>
      </c>
      <c r="N676" s="77" t="s">
        <v>83</v>
      </c>
      <c r="Q676" s="77" t="s">
        <v>111</v>
      </c>
      <c r="T676" s="77" t="s">
        <v>112</v>
      </c>
      <c r="U676" s="77" t="s">
        <v>85</v>
      </c>
      <c r="V676" s="77" t="s">
        <v>95</v>
      </c>
      <c r="W676" s="79">
        <v>46178.327466087962</v>
      </c>
      <c r="X676" s="77" t="s">
        <v>96</v>
      </c>
      <c r="Y676" s="78" t="s">
        <v>88</v>
      </c>
      <c r="AA676" s="77" t="s">
        <v>191</v>
      </c>
      <c r="AB676" s="77" t="s">
        <v>78</v>
      </c>
      <c r="AC676" s="77" t="s">
        <v>114</v>
      </c>
      <c r="AD676" s="77" t="s">
        <v>91</v>
      </c>
      <c r="AE676" s="77" t="s">
        <v>3078</v>
      </c>
      <c r="AF676" s="77" t="s">
        <v>2706</v>
      </c>
      <c r="AG676" s="77" t="s">
        <v>112</v>
      </c>
    </row>
    <row r="677" spans="1:33" hidden="1" x14ac:dyDescent="0.3">
      <c r="A677" s="77" t="s">
        <v>3214</v>
      </c>
      <c r="B677" s="77" t="s">
        <v>579</v>
      </c>
      <c r="G677" s="77" t="s">
        <v>3077</v>
      </c>
      <c r="H677" s="77" t="s">
        <v>77</v>
      </c>
      <c r="I677" s="77" t="s">
        <v>78</v>
      </c>
      <c r="J677" s="77" t="s">
        <v>3039</v>
      </c>
      <c r="K677" s="77" t="s">
        <v>80</v>
      </c>
      <c r="L677" s="77" t="s">
        <v>580</v>
      </c>
      <c r="M677" s="77" t="s">
        <v>82</v>
      </c>
      <c r="N677" s="77" t="s">
        <v>83</v>
      </c>
      <c r="Q677" s="77" t="s">
        <v>111</v>
      </c>
      <c r="T677" s="77" t="s">
        <v>112</v>
      </c>
      <c r="U677" s="77" t="s">
        <v>85</v>
      </c>
      <c r="V677" s="77" t="s">
        <v>99</v>
      </c>
      <c r="W677" s="79">
        <v>46178.328087696762</v>
      </c>
      <c r="X677" s="77" t="s">
        <v>100</v>
      </c>
      <c r="Y677" s="78" t="s">
        <v>101</v>
      </c>
      <c r="AA677" s="77" t="s">
        <v>191</v>
      </c>
      <c r="AB677" s="77" t="s">
        <v>78</v>
      </c>
      <c r="AC677" s="77" t="s">
        <v>114</v>
      </c>
      <c r="AD677" s="77" t="s">
        <v>102</v>
      </c>
      <c r="AE677" s="77" t="s">
        <v>3078</v>
      </c>
      <c r="AF677" s="77" t="s">
        <v>2706</v>
      </c>
      <c r="AG677" s="77" t="s">
        <v>112</v>
      </c>
    </row>
    <row r="678" spans="1:33" hidden="1" x14ac:dyDescent="0.3">
      <c r="A678" s="77" t="s">
        <v>3215</v>
      </c>
      <c r="B678" s="77" t="s">
        <v>582</v>
      </c>
      <c r="G678" s="77" t="s">
        <v>3077</v>
      </c>
      <c r="H678" s="77" t="s">
        <v>77</v>
      </c>
      <c r="I678" s="77" t="s">
        <v>78</v>
      </c>
      <c r="J678" s="77" t="s">
        <v>3039</v>
      </c>
      <c r="K678" s="77" t="s">
        <v>80</v>
      </c>
      <c r="L678" s="77" t="s">
        <v>583</v>
      </c>
      <c r="M678" s="77" t="s">
        <v>82</v>
      </c>
      <c r="N678" s="77" t="s">
        <v>83</v>
      </c>
      <c r="Q678" s="77" t="s">
        <v>111</v>
      </c>
      <c r="T678" s="77" t="s">
        <v>112</v>
      </c>
      <c r="U678" s="77" t="s">
        <v>85</v>
      </c>
      <c r="V678" s="77" t="s">
        <v>105</v>
      </c>
      <c r="W678" s="79">
        <v>46179.196550462962</v>
      </c>
      <c r="X678" s="77" t="s">
        <v>106</v>
      </c>
      <c r="Y678" s="78" t="s">
        <v>101</v>
      </c>
      <c r="AA678" s="77" t="s">
        <v>191</v>
      </c>
      <c r="AB678" s="77" t="s">
        <v>78</v>
      </c>
      <c r="AC678" s="77" t="s">
        <v>114</v>
      </c>
      <c r="AD678" s="77" t="s">
        <v>102</v>
      </c>
      <c r="AE678" s="77" t="s">
        <v>3078</v>
      </c>
      <c r="AF678" s="77" t="s">
        <v>2706</v>
      </c>
      <c r="AG678" s="77" t="s">
        <v>112</v>
      </c>
    </row>
    <row r="679" spans="1:33" x14ac:dyDescent="0.3">
      <c r="A679" s="77" t="s">
        <v>3216</v>
      </c>
      <c r="B679" s="77" t="s">
        <v>585</v>
      </c>
      <c r="G679" s="77" t="s">
        <v>3077</v>
      </c>
      <c r="H679" s="77" t="s">
        <v>77</v>
      </c>
      <c r="I679" s="77" t="s">
        <v>78</v>
      </c>
      <c r="J679" s="77" t="s">
        <v>3039</v>
      </c>
      <c r="K679" s="77" t="s">
        <v>80</v>
      </c>
      <c r="L679" s="77" t="s">
        <v>586</v>
      </c>
      <c r="M679" s="77" t="s">
        <v>82</v>
      </c>
      <c r="N679" s="77" t="s">
        <v>83</v>
      </c>
      <c r="Q679" s="77" t="s">
        <v>111</v>
      </c>
      <c r="T679" s="77" t="s">
        <v>112</v>
      </c>
      <c r="U679" s="77" t="s">
        <v>85</v>
      </c>
      <c r="V679" s="80" t="s">
        <v>86</v>
      </c>
      <c r="X679" s="77" t="s">
        <v>87</v>
      </c>
      <c r="Y679" s="78" t="s">
        <v>88</v>
      </c>
      <c r="AA679" s="77" t="s">
        <v>191</v>
      </c>
      <c r="AB679" s="77" t="s">
        <v>78</v>
      </c>
      <c r="AC679" s="77" t="s">
        <v>90</v>
      </c>
      <c r="AD679" s="77" t="s">
        <v>91</v>
      </c>
      <c r="AE679" s="77" t="s">
        <v>3078</v>
      </c>
      <c r="AG679" s="77" t="s">
        <v>112</v>
      </c>
    </row>
    <row r="680" spans="1:33" hidden="1" x14ac:dyDescent="0.3">
      <c r="A680" s="77" t="s">
        <v>3217</v>
      </c>
      <c r="B680" s="77" t="s">
        <v>588</v>
      </c>
      <c r="G680" s="77" t="s">
        <v>3077</v>
      </c>
      <c r="H680" s="77" t="s">
        <v>77</v>
      </c>
      <c r="I680" s="77" t="s">
        <v>78</v>
      </c>
      <c r="J680" s="77" t="s">
        <v>3039</v>
      </c>
      <c r="K680" s="77" t="s">
        <v>80</v>
      </c>
      <c r="L680" s="77" t="s">
        <v>586</v>
      </c>
      <c r="M680" s="77" t="s">
        <v>82</v>
      </c>
      <c r="N680" s="77" t="s">
        <v>83</v>
      </c>
      <c r="Q680" s="77" t="s">
        <v>111</v>
      </c>
      <c r="T680" s="77" t="s">
        <v>112</v>
      </c>
      <c r="U680" s="77" t="s">
        <v>85</v>
      </c>
      <c r="V680" s="80" t="s">
        <v>86</v>
      </c>
      <c r="W680" s="79">
        <v>46192.200256909724</v>
      </c>
      <c r="X680" s="77" t="s">
        <v>87</v>
      </c>
      <c r="Y680" s="78" t="s">
        <v>88</v>
      </c>
      <c r="AA680" s="77" t="s">
        <v>191</v>
      </c>
      <c r="AB680" s="77" t="s">
        <v>78</v>
      </c>
      <c r="AC680" s="77" t="s">
        <v>114</v>
      </c>
      <c r="AD680" s="77" t="s">
        <v>91</v>
      </c>
      <c r="AE680" s="77" t="s">
        <v>3078</v>
      </c>
      <c r="AF680" s="77" t="s">
        <v>2706</v>
      </c>
      <c r="AG680" s="77" t="s">
        <v>112</v>
      </c>
    </row>
    <row r="681" spans="1:33" hidden="1" x14ac:dyDescent="0.3">
      <c r="A681" s="77" t="s">
        <v>3218</v>
      </c>
      <c r="B681" s="77" t="s">
        <v>590</v>
      </c>
      <c r="G681" s="77" t="s">
        <v>3077</v>
      </c>
      <c r="H681" s="77" t="s">
        <v>77</v>
      </c>
      <c r="I681" s="77" t="s">
        <v>78</v>
      </c>
      <c r="J681" s="77" t="s">
        <v>3039</v>
      </c>
      <c r="K681" s="77" t="s">
        <v>80</v>
      </c>
      <c r="L681" s="77" t="s">
        <v>586</v>
      </c>
      <c r="M681" s="77" t="s">
        <v>82</v>
      </c>
      <c r="N681" s="77" t="s">
        <v>83</v>
      </c>
      <c r="Q681" s="77" t="s">
        <v>111</v>
      </c>
      <c r="T681" s="77" t="s">
        <v>112</v>
      </c>
      <c r="U681" s="77" t="s">
        <v>85</v>
      </c>
      <c r="V681" s="80" t="s">
        <v>86</v>
      </c>
      <c r="W681" s="79">
        <v>46192.200187581017</v>
      </c>
      <c r="X681" s="77" t="s">
        <v>87</v>
      </c>
      <c r="Y681" s="78" t="s">
        <v>88</v>
      </c>
      <c r="AA681" s="77" t="s">
        <v>191</v>
      </c>
      <c r="AB681" s="77" t="s">
        <v>78</v>
      </c>
      <c r="AC681" s="77" t="s">
        <v>114</v>
      </c>
      <c r="AD681" s="77" t="s">
        <v>91</v>
      </c>
      <c r="AE681" s="77" t="s">
        <v>3078</v>
      </c>
      <c r="AF681" s="77" t="s">
        <v>2706</v>
      </c>
      <c r="AG681" s="77" t="s">
        <v>112</v>
      </c>
    </row>
    <row r="682" spans="1:33" x14ac:dyDescent="0.3">
      <c r="A682" s="77" t="s">
        <v>3219</v>
      </c>
      <c r="B682" s="77" t="s">
        <v>592</v>
      </c>
      <c r="G682" s="77" t="s">
        <v>3077</v>
      </c>
      <c r="H682" s="77" t="s">
        <v>77</v>
      </c>
      <c r="I682" s="77" t="s">
        <v>78</v>
      </c>
      <c r="J682" s="77" t="s">
        <v>3039</v>
      </c>
      <c r="K682" s="77" t="s">
        <v>80</v>
      </c>
      <c r="L682" s="77" t="s">
        <v>593</v>
      </c>
      <c r="M682" s="77" t="s">
        <v>82</v>
      </c>
      <c r="N682" s="77" t="s">
        <v>83</v>
      </c>
      <c r="Q682" s="77" t="s">
        <v>111</v>
      </c>
      <c r="T682" s="77" t="s">
        <v>112</v>
      </c>
      <c r="U682" s="77" t="s">
        <v>85</v>
      </c>
      <c r="V682" s="80" t="s">
        <v>95</v>
      </c>
      <c r="X682" s="77" t="s">
        <v>96</v>
      </c>
      <c r="Y682" s="78" t="s">
        <v>88</v>
      </c>
      <c r="AA682" s="77" t="s">
        <v>191</v>
      </c>
      <c r="AB682" s="77" t="s">
        <v>78</v>
      </c>
      <c r="AC682" s="77" t="s">
        <v>90</v>
      </c>
      <c r="AD682" s="77" t="s">
        <v>91</v>
      </c>
      <c r="AE682" s="77" t="s">
        <v>3078</v>
      </c>
      <c r="AG682" s="77" t="s">
        <v>112</v>
      </c>
    </row>
    <row r="683" spans="1:33" hidden="1" x14ac:dyDescent="0.3">
      <c r="A683" s="77" t="s">
        <v>3220</v>
      </c>
      <c r="B683" s="77" t="s">
        <v>595</v>
      </c>
      <c r="G683" s="77" t="s">
        <v>3077</v>
      </c>
      <c r="H683" s="77" t="s">
        <v>77</v>
      </c>
      <c r="I683" s="77" t="s">
        <v>78</v>
      </c>
      <c r="J683" s="77" t="s">
        <v>3039</v>
      </c>
      <c r="K683" s="77" t="s">
        <v>80</v>
      </c>
      <c r="L683" s="77" t="s">
        <v>593</v>
      </c>
      <c r="M683" s="77" t="s">
        <v>82</v>
      </c>
      <c r="N683" s="77" t="s">
        <v>83</v>
      </c>
      <c r="Q683" s="77" t="s">
        <v>111</v>
      </c>
      <c r="T683" s="77" t="s">
        <v>112</v>
      </c>
      <c r="U683" s="77" t="s">
        <v>85</v>
      </c>
      <c r="V683" s="77" t="s">
        <v>95</v>
      </c>
      <c r="W683" s="79">
        <v>46192.200074768516</v>
      </c>
      <c r="X683" s="77" t="s">
        <v>96</v>
      </c>
      <c r="Y683" s="78" t="s">
        <v>88</v>
      </c>
      <c r="AA683" s="77" t="s">
        <v>191</v>
      </c>
      <c r="AB683" s="77" t="s">
        <v>78</v>
      </c>
      <c r="AC683" s="77" t="s">
        <v>114</v>
      </c>
      <c r="AD683" s="77" t="s">
        <v>91</v>
      </c>
      <c r="AE683" s="77" t="s">
        <v>3078</v>
      </c>
      <c r="AF683" s="77" t="s">
        <v>2706</v>
      </c>
      <c r="AG683" s="77" t="s">
        <v>112</v>
      </c>
    </row>
    <row r="684" spans="1:33" hidden="1" x14ac:dyDescent="0.3">
      <c r="A684" s="77" t="s">
        <v>3221</v>
      </c>
      <c r="B684" s="77" t="s">
        <v>597</v>
      </c>
      <c r="G684" s="77" t="s">
        <v>3077</v>
      </c>
      <c r="H684" s="77" t="s">
        <v>77</v>
      </c>
      <c r="I684" s="77" t="s">
        <v>78</v>
      </c>
      <c r="J684" s="77" t="s">
        <v>3039</v>
      </c>
      <c r="K684" s="77" t="s">
        <v>80</v>
      </c>
      <c r="L684" s="77" t="s">
        <v>593</v>
      </c>
      <c r="M684" s="77" t="s">
        <v>82</v>
      </c>
      <c r="N684" s="77" t="s">
        <v>83</v>
      </c>
      <c r="Q684" s="77" t="s">
        <v>111</v>
      </c>
      <c r="T684" s="77" t="s">
        <v>112</v>
      </c>
      <c r="U684" s="77" t="s">
        <v>85</v>
      </c>
      <c r="V684" s="77" t="s">
        <v>95</v>
      </c>
      <c r="W684" s="79">
        <v>46192.200612581022</v>
      </c>
      <c r="X684" s="77" t="s">
        <v>96</v>
      </c>
      <c r="Y684" s="78" t="s">
        <v>88</v>
      </c>
      <c r="AA684" s="77" t="s">
        <v>191</v>
      </c>
      <c r="AB684" s="77" t="s">
        <v>78</v>
      </c>
      <c r="AC684" s="77" t="s">
        <v>114</v>
      </c>
      <c r="AD684" s="77" t="s">
        <v>91</v>
      </c>
      <c r="AE684" s="77" t="s">
        <v>3078</v>
      </c>
      <c r="AF684" s="77" t="s">
        <v>2706</v>
      </c>
      <c r="AG684" s="77" t="s">
        <v>112</v>
      </c>
    </row>
    <row r="685" spans="1:33" x14ac:dyDescent="0.3">
      <c r="A685" s="77" t="s">
        <v>3222</v>
      </c>
      <c r="B685" s="77" t="s">
        <v>599</v>
      </c>
      <c r="G685" s="77" t="s">
        <v>3077</v>
      </c>
      <c r="H685" s="77" t="s">
        <v>77</v>
      </c>
      <c r="I685" s="77" t="s">
        <v>78</v>
      </c>
      <c r="J685" s="77" t="s">
        <v>3039</v>
      </c>
      <c r="K685" s="77" t="s">
        <v>80</v>
      </c>
      <c r="L685" s="77" t="s">
        <v>600</v>
      </c>
      <c r="M685" s="77" t="s">
        <v>82</v>
      </c>
      <c r="N685" s="77" t="s">
        <v>83</v>
      </c>
      <c r="Q685" s="77" t="s">
        <v>111</v>
      </c>
      <c r="T685" s="77" t="s">
        <v>112</v>
      </c>
      <c r="U685" s="77" t="s">
        <v>85</v>
      </c>
      <c r="V685" s="80" t="s">
        <v>99</v>
      </c>
      <c r="X685" s="77" t="s">
        <v>100</v>
      </c>
      <c r="Y685" s="78" t="s">
        <v>101</v>
      </c>
      <c r="AA685" s="77" t="s">
        <v>191</v>
      </c>
      <c r="AB685" s="77" t="s">
        <v>78</v>
      </c>
      <c r="AC685" s="77" t="s">
        <v>90</v>
      </c>
      <c r="AD685" s="77" t="s">
        <v>102</v>
      </c>
      <c r="AE685" s="77" t="s">
        <v>3078</v>
      </c>
      <c r="AG685" s="77" t="s">
        <v>112</v>
      </c>
    </row>
    <row r="686" spans="1:33" x14ac:dyDescent="0.3">
      <c r="A686" s="77" t="s">
        <v>3223</v>
      </c>
      <c r="B686" s="77" t="s">
        <v>602</v>
      </c>
      <c r="G686" s="77" t="s">
        <v>3077</v>
      </c>
      <c r="H686" s="77" t="s">
        <v>77</v>
      </c>
      <c r="I686" s="77" t="s">
        <v>78</v>
      </c>
      <c r="J686" s="77" t="s">
        <v>3039</v>
      </c>
      <c r="K686" s="77" t="s">
        <v>80</v>
      </c>
      <c r="L686" s="77" t="s">
        <v>600</v>
      </c>
      <c r="M686" s="77" t="s">
        <v>82</v>
      </c>
      <c r="N686" s="77" t="s">
        <v>83</v>
      </c>
      <c r="Q686" s="77" t="s">
        <v>111</v>
      </c>
      <c r="T686" s="77" t="s">
        <v>112</v>
      </c>
      <c r="U686" s="77" t="s">
        <v>85</v>
      </c>
      <c r="V686" s="80" t="s">
        <v>99</v>
      </c>
      <c r="X686" s="77" t="s">
        <v>100</v>
      </c>
      <c r="Y686" s="78" t="s">
        <v>101</v>
      </c>
      <c r="AA686" s="77" t="s">
        <v>191</v>
      </c>
      <c r="AB686" s="77" t="s">
        <v>78</v>
      </c>
      <c r="AC686" s="77" t="s">
        <v>90</v>
      </c>
      <c r="AD686" s="77" t="s">
        <v>102</v>
      </c>
      <c r="AE686" s="77" t="s">
        <v>3078</v>
      </c>
      <c r="AG686" s="77" t="s">
        <v>112</v>
      </c>
    </row>
    <row r="687" spans="1:33" x14ac:dyDescent="0.3">
      <c r="A687" s="77" t="s">
        <v>3224</v>
      </c>
      <c r="B687" s="77" t="s">
        <v>604</v>
      </c>
      <c r="G687" s="77" t="s">
        <v>3077</v>
      </c>
      <c r="H687" s="77" t="s">
        <v>77</v>
      </c>
      <c r="I687" s="77" t="s">
        <v>78</v>
      </c>
      <c r="J687" s="77" t="s">
        <v>3039</v>
      </c>
      <c r="K687" s="77" t="s">
        <v>80</v>
      </c>
      <c r="L687" s="77" t="s">
        <v>600</v>
      </c>
      <c r="M687" s="77" t="s">
        <v>82</v>
      </c>
      <c r="N687" s="77" t="s">
        <v>83</v>
      </c>
      <c r="Q687" s="77" t="s">
        <v>111</v>
      </c>
      <c r="T687" s="77" t="s">
        <v>112</v>
      </c>
      <c r="U687" s="77" t="s">
        <v>85</v>
      </c>
      <c r="V687" s="80" t="s">
        <v>99</v>
      </c>
      <c r="X687" s="77" t="s">
        <v>100</v>
      </c>
      <c r="Y687" s="78" t="s">
        <v>101</v>
      </c>
      <c r="AA687" s="77" t="s">
        <v>191</v>
      </c>
      <c r="AB687" s="77" t="s">
        <v>78</v>
      </c>
      <c r="AC687" s="77" t="s">
        <v>90</v>
      </c>
      <c r="AD687" s="77" t="s">
        <v>102</v>
      </c>
      <c r="AE687" s="77" t="s">
        <v>3078</v>
      </c>
      <c r="AG687" s="77" t="s">
        <v>112</v>
      </c>
    </row>
    <row r="688" spans="1:33" x14ac:dyDescent="0.3">
      <c r="A688" s="77" t="s">
        <v>3225</v>
      </c>
      <c r="B688" s="77" t="s">
        <v>606</v>
      </c>
      <c r="G688" s="77" t="s">
        <v>3077</v>
      </c>
      <c r="H688" s="77" t="s">
        <v>77</v>
      </c>
      <c r="I688" s="77" t="s">
        <v>78</v>
      </c>
      <c r="J688" s="77" t="s">
        <v>3039</v>
      </c>
      <c r="K688" s="77" t="s">
        <v>80</v>
      </c>
      <c r="L688" s="77" t="s">
        <v>607</v>
      </c>
      <c r="M688" s="77" t="s">
        <v>82</v>
      </c>
      <c r="N688" s="77" t="s">
        <v>83</v>
      </c>
      <c r="Q688" s="77" t="s">
        <v>111</v>
      </c>
      <c r="T688" s="77" t="s">
        <v>112</v>
      </c>
      <c r="U688" s="77" t="s">
        <v>85</v>
      </c>
      <c r="V688" s="80" t="s">
        <v>105</v>
      </c>
      <c r="X688" s="77" t="s">
        <v>106</v>
      </c>
      <c r="Y688" s="78" t="s">
        <v>101</v>
      </c>
      <c r="AA688" s="77" t="s">
        <v>191</v>
      </c>
      <c r="AB688" s="77" t="s">
        <v>78</v>
      </c>
      <c r="AC688" s="77" t="s">
        <v>90</v>
      </c>
      <c r="AD688" s="77" t="s">
        <v>102</v>
      </c>
      <c r="AE688" s="77" t="s">
        <v>3078</v>
      </c>
      <c r="AG688" s="77" t="s">
        <v>112</v>
      </c>
    </row>
    <row r="689" spans="1:33" hidden="1" x14ac:dyDescent="0.3">
      <c r="A689" s="77" t="s">
        <v>3226</v>
      </c>
      <c r="B689" s="77" t="s">
        <v>609</v>
      </c>
      <c r="G689" s="77" t="s">
        <v>3077</v>
      </c>
      <c r="H689" s="77" t="s">
        <v>77</v>
      </c>
      <c r="I689" s="77" t="s">
        <v>78</v>
      </c>
      <c r="J689" s="77" t="s">
        <v>3039</v>
      </c>
      <c r="K689" s="77" t="s">
        <v>80</v>
      </c>
      <c r="L689" s="77" t="s">
        <v>607</v>
      </c>
      <c r="M689" s="77" t="s">
        <v>82</v>
      </c>
      <c r="N689" s="77" t="s">
        <v>83</v>
      </c>
      <c r="Q689" s="77" t="s">
        <v>111</v>
      </c>
      <c r="T689" s="77" t="s">
        <v>112</v>
      </c>
      <c r="U689" s="77" t="s">
        <v>85</v>
      </c>
      <c r="V689" s="77" t="s">
        <v>105</v>
      </c>
      <c r="W689" s="79">
        <v>46192.201643831017</v>
      </c>
      <c r="X689" s="77" t="s">
        <v>106</v>
      </c>
      <c r="Y689" s="78" t="s">
        <v>101</v>
      </c>
      <c r="AA689" s="77" t="s">
        <v>191</v>
      </c>
      <c r="AB689" s="77" t="s">
        <v>78</v>
      </c>
      <c r="AC689" s="77" t="s">
        <v>114</v>
      </c>
      <c r="AD689" s="77" t="s">
        <v>102</v>
      </c>
      <c r="AE689" s="77" t="s">
        <v>3078</v>
      </c>
      <c r="AF689" s="77" t="s">
        <v>2706</v>
      </c>
      <c r="AG689" s="77" t="s">
        <v>112</v>
      </c>
    </row>
    <row r="690" spans="1:33" hidden="1" x14ac:dyDescent="0.3">
      <c r="A690" s="77" t="s">
        <v>3227</v>
      </c>
      <c r="B690" s="77" t="s">
        <v>611</v>
      </c>
      <c r="G690" s="77" t="s">
        <v>3077</v>
      </c>
      <c r="H690" s="77" t="s">
        <v>77</v>
      </c>
      <c r="I690" s="77" t="s">
        <v>78</v>
      </c>
      <c r="J690" s="77" t="s">
        <v>3039</v>
      </c>
      <c r="K690" s="77" t="s">
        <v>80</v>
      </c>
      <c r="L690" s="77" t="s">
        <v>607</v>
      </c>
      <c r="M690" s="77" t="s">
        <v>82</v>
      </c>
      <c r="N690" s="77" t="s">
        <v>83</v>
      </c>
      <c r="Q690" s="77" t="s">
        <v>111</v>
      </c>
      <c r="T690" s="77" t="s">
        <v>112</v>
      </c>
      <c r="U690" s="77" t="s">
        <v>85</v>
      </c>
      <c r="V690" s="77" t="s">
        <v>105</v>
      </c>
      <c r="W690" s="79">
        <v>46192.201783020835</v>
      </c>
      <c r="X690" s="77" t="s">
        <v>106</v>
      </c>
      <c r="Y690" s="78" t="s">
        <v>101</v>
      </c>
      <c r="AA690" s="77" t="s">
        <v>191</v>
      </c>
      <c r="AB690" s="77" t="s">
        <v>78</v>
      </c>
      <c r="AC690" s="77" t="s">
        <v>114</v>
      </c>
      <c r="AD690" s="77" t="s">
        <v>102</v>
      </c>
      <c r="AE690" s="77" t="s">
        <v>3078</v>
      </c>
      <c r="AF690" s="77" t="s">
        <v>2706</v>
      </c>
      <c r="AG690" s="77" t="s">
        <v>112</v>
      </c>
    </row>
    <row r="691" spans="1:33" x14ac:dyDescent="0.3">
      <c r="A691" s="77" t="s">
        <v>3228</v>
      </c>
      <c r="B691" s="77" t="s">
        <v>613</v>
      </c>
      <c r="G691" s="77" t="s">
        <v>3077</v>
      </c>
      <c r="H691" s="77" t="s">
        <v>77</v>
      </c>
      <c r="I691" s="77" t="s">
        <v>78</v>
      </c>
      <c r="J691" s="77" t="s">
        <v>3039</v>
      </c>
      <c r="K691" s="77" t="s">
        <v>80</v>
      </c>
      <c r="L691" s="77" t="s">
        <v>614</v>
      </c>
      <c r="M691" s="77" t="s">
        <v>82</v>
      </c>
      <c r="N691" s="77" t="s">
        <v>83</v>
      </c>
      <c r="Q691" s="77" t="s">
        <v>111</v>
      </c>
      <c r="T691" s="77" t="s">
        <v>112</v>
      </c>
      <c r="U691" s="77" t="s">
        <v>85</v>
      </c>
      <c r="V691" s="80" t="s">
        <v>86</v>
      </c>
      <c r="X691" s="77" t="s">
        <v>87</v>
      </c>
      <c r="Y691" s="78" t="s">
        <v>88</v>
      </c>
      <c r="AA691" s="77" t="s">
        <v>191</v>
      </c>
      <c r="AB691" s="77" t="s">
        <v>78</v>
      </c>
      <c r="AC691" s="77" t="s">
        <v>90</v>
      </c>
      <c r="AD691" s="77" t="s">
        <v>91</v>
      </c>
      <c r="AE691" s="77" t="s">
        <v>3078</v>
      </c>
      <c r="AG691" s="77" t="s">
        <v>112</v>
      </c>
    </row>
    <row r="692" spans="1:33" x14ac:dyDescent="0.3">
      <c r="A692" s="77" t="s">
        <v>3229</v>
      </c>
      <c r="B692" s="77" t="s">
        <v>616</v>
      </c>
      <c r="G692" s="77" t="s">
        <v>3077</v>
      </c>
      <c r="H692" s="77" t="s">
        <v>77</v>
      </c>
      <c r="I692" s="77" t="s">
        <v>78</v>
      </c>
      <c r="J692" s="77" t="s">
        <v>3039</v>
      </c>
      <c r="K692" s="77" t="s">
        <v>80</v>
      </c>
      <c r="L692" s="77" t="s">
        <v>617</v>
      </c>
      <c r="M692" s="77" t="s">
        <v>82</v>
      </c>
      <c r="N692" s="77" t="s">
        <v>83</v>
      </c>
      <c r="Q692" s="77" t="s">
        <v>111</v>
      </c>
      <c r="T692" s="77" t="s">
        <v>112</v>
      </c>
      <c r="U692" s="77" t="s">
        <v>85</v>
      </c>
      <c r="V692" s="80" t="s">
        <v>99</v>
      </c>
      <c r="X692" s="77" t="s">
        <v>100</v>
      </c>
      <c r="Y692" s="78" t="s">
        <v>101</v>
      </c>
      <c r="AA692" s="77" t="s">
        <v>191</v>
      </c>
      <c r="AB692" s="77" t="s">
        <v>78</v>
      </c>
      <c r="AC692" s="77" t="s">
        <v>90</v>
      </c>
      <c r="AD692" s="77" t="s">
        <v>102</v>
      </c>
      <c r="AE692" s="77" t="s">
        <v>3078</v>
      </c>
      <c r="AG692" s="77" t="s">
        <v>112</v>
      </c>
    </row>
    <row r="693" spans="1:33" hidden="1" x14ac:dyDescent="0.3">
      <c r="A693" s="77" t="s">
        <v>3230</v>
      </c>
      <c r="B693" s="77" t="s">
        <v>619</v>
      </c>
      <c r="G693" s="77" t="s">
        <v>3077</v>
      </c>
      <c r="H693" s="77" t="s">
        <v>77</v>
      </c>
      <c r="I693" s="77" t="s">
        <v>78</v>
      </c>
      <c r="J693" s="77" t="s">
        <v>3039</v>
      </c>
      <c r="K693" s="77" t="s">
        <v>80</v>
      </c>
      <c r="L693" s="77" t="s">
        <v>620</v>
      </c>
      <c r="M693" s="77" t="s">
        <v>82</v>
      </c>
      <c r="N693" s="77" t="s">
        <v>83</v>
      </c>
      <c r="Q693" s="77" t="s">
        <v>111</v>
      </c>
      <c r="T693" s="77" t="s">
        <v>112</v>
      </c>
      <c r="U693" s="77" t="s">
        <v>85</v>
      </c>
      <c r="V693" s="80" t="s">
        <v>86</v>
      </c>
      <c r="W693" s="79">
        <v>46192.352866122688</v>
      </c>
      <c r="X693" s="77" t="s">
        <v>87</v>
      </c>
      <c r="Y693" s="78" t="s">
        <v>88</v>
      </c>
      <c r="AA693" s="77" t="s">
        <v>191</v>
      </c>
      <c r="AB693" s="77" t="s">
        <v>78</v>
      </c>
      <c r="AC693" s="77" t="s">
        <v>114</v>
      </c>
      <c r="AD693" s="77" t="s">
        <v>91</v>
      </c>
      <c r="AE693" s="77" t="s">
        <v>3078</v>
      </c>
      <c r="AF693" s="77" t="s">
        <v>2706</v>
      </c>
      <c r="AG693" s="77" t="s">
        <v>112</v>
      </c>
    </row>
    <row r="694" spans="1:33" hidden="1" x14ac:dyDescent="0.3">
      <c r="A694" s="77" t="s">
        <v>3231</v>
      </c>
      <c r="B694" s="77" t="s">
        <v>622</v>
      </c>
      <c r="G694" s="77" t="s">
        <v>3077</v>
      </c>
      <c r="H694" s="77" t="s">
        <v>77</v>
      </c>
      <c r="I694" s="77" t="s">
        <v>78</v>
      </c>
      <c r="J694" s="77" t="s">
        <v>3039</v>
      </c>
      <c r="K694" s="77" t="s">
        <v>80</v>
      </c>
      <c r="L694" s="77" t="s">
        <v>623</v>
      </c>
      <c r="M694" s="77" t="s">
        <v>82</v>
      </c>
      <c r="N694" s="77" t="s">
        <v>83</v>
      </c>
      <c r="Q694" s="77" t="s">
        <v>111</v>
      </c>
      <c r="T694" s="77" t="s">
        <v>112</v>
      </c>
      <c r="U694" s="77" t="s">
        <v>85</v>
      </c>
      <c r="V694" s="80" t="s">
        <v>86</v>
      </c>
      <c r="W694" s="79">
        <v>46192.35484965278</v>
      </c>
      <c r="X694" s="77" t="s">
        <v>87</v>
      </c>
      <c r="Y694" s="78" t="s">
        <v>88</v>
      </c>
      <c r="AA694" s="77" t="s">
        <v>191</v>
      </c>
      <c r="AB694" s="77" t="s">
        <v>78</v>
      </c>
      <c r="AC694" s="77" t="s">
        <v>114</v>
      </c>
      <c r="AD694" s="77" t="s">
        <v>91</v>
      </c>
      <c r="AE694" s="77" t="s">
        <v>3078</v>
      </c>
      <c r="AF694" s="77" t="s">
        <v>2706</v>
      </c>
      <c r="AG694" s="77" t="s">
        <v>112</v>
      </c>
    </row>
    <row r="695" spans="1:33" hidden="1" x14ac:dyDescent="0.3">
      <c r="A695" s="77" t="s">
        <v>3232</v>
      </c>
      <c r="B695" s="77" t="s">
        <v>625</v>
      </c>
      <c r="G695" s="77" t="s">
        <v>3077</v>
      </c>
      <c r="H695" s="77" t="s">
        <v>77</v>
      </c>
      <c r="I695" s="77" t="s">
        <v>78</v>
      </c>
      <c r="J695" s="77" t="s">
        <v>3039</v>
      </c>
      <c r="K695" s="77" t="s">
        <v>80</v>
      </c>
      <c r="L695" s="77" t="s">
        <v>626</v>
      </c>
      <c r="M695" s="77" t="s">
        <v>82</v>
      </c>
      <c r="N695" s="77" t="s">
        <v>83</v>
      </c>
      <c r="Q695" s="77" t="s">
        <v>111</v>
      </c>
      <c r="T695" s="77" t="s">
        <v>112</v>
      </c>
      <c r="U695" s="77" t="s">
        <v>85</v>
      </c>
      <c r="V695" s="80" t="s">
        <v>86</v>
      </c>
      <c r="W695" s="79">
        <v>46192.354900428239</v>
      </c>
      <c r="X695" s="77" t="s">
        <v>87</v>
      </c>
      <c r="Y695" s="78" t="s">
        <v>88</v>
      </c>
      <c r="AA695" s="77" t="s">
        <v>191</v>
      </c>
      <c r="AB695" s="77" t="s">
        <v>78</v>
      </c>
      <c r="AC695" s="77" t="s">
        <v>114</v>
      </c>
      <c r="AD695" s="77" t="s">
        <v>91</v>
      </c>
      <c r="AE695" s="77" t="s">
        <v>3078</v>
      </c>
      <c r="AF695" s="77" t="s">
        <v>2706</v>
      </c>
      <c r="AG695" s="77" t="s">
        <v>112</v>
      </c>
    </row>
    <row r="696" spans="1:33" hidden="1" x14ac:dyDescent="0.3">
      <c r="A696" s="77" t="s">
        <v>3233</v>
      </c>
      <c r="B696" s="77" t="s">
        <v>628</v>
      </c>
      <c r="G696" s="77" t="s">
        <v>3077</v>
      </c>
      <c r="H696" s="77" t="s">
        <v>77</v>
      </c>
      <c r="I696" s="77" t="s">
        <v>78</v>
      </c>
      <c r="J696" s="77" t="s">
        <v>3039</v>
      </c>
      <c r="K696" s="77" t="s">
        <v>80</v>
      </c>
      <c r="L696" s="77" t="s">
        <v>629</v>
      </c>
      <c r="M696" s="77" t="s">
        <v>82</v>
      </c>
      <c r="N696" s="77" t="s">
        <v>83</v>
      </c>
      <c r="Q696" s="77" t="s">
        <v>111</v>
      </c>
      <c r="T696" s="77" t="s">
        <v>112</v>
      </c>
      <c r="U696" s="77" t="s">
        <v>85</v>
      </c>
      <c r="V696" s="77" t="s">
        <v>95</v>
      </c>
      <c r="W696" s="79">
        <v>46179.197415393515</v>
      </c>
      <c r="X696" s="77" t="s">
        <v>96</v>
      </c>
      <c r="Y696" s="78" t="s">
        <v>88</v>
      </c>
      <c r="AA696" s="77" t="s">
        <v>191</v>
      </c>
      <c r="AB696" s="77" t="s">
        <v>78</v>
      </c>
      <c r="AC696" s="77" t="s">
        <v>114</v>
      </c>
      <c r="AD696" s="77" t="s">
        <v>91</v>
      </c>
      <c r="AE696" s="77" t="s">
        <v>3078</v>
      </c>
      <c r="AF696" s="77" t="s">
        <v>2706</v>
      </c>
      <c r="AG696" s="77" t="s">
        <v>112</v>
      </c>
    </row>
    <row r="697" spans="1:33" hidden="1" x14ac:dyDescent="0.3">
      <c r="A697" s="77" t="s">
        <v>3234</v>
      </c>
      <c r="B697" s="77" t="s">
        <v>631</v>
      </c>
      <c r="G697" s="77" t="s">
        <v>3077</v>
      </c>
      <c r="H697" s="77" t="s">
        <v>77</v>
      </c>
      <c r="I697" s="77" t="s">
        <v>78</v>
      </c>
      <c r="J697" s="77" t="s">
        <v>3039</v>
      </c>
      <c r="K697" s="77" t="s">
        <v>80</v>
      </c>
      <c r="L697" s="77" t="s">
        <v>632</v>
      </c>
      <c r="M697" s="77" t="s">
        <v>82</v>
      </c>
      <c r="N697" s="77" t="s">
        <v>83</v>
      </c>
      <c r="Q697" s="77" t="s">
        <v>111</v>
      </c>
      <c r="T697" s="77" t="s">
        <v>112</v>
      </c>
      <c r="U697" s="77" t="s">
        <v>85</v>
      </c>
      <c r="V697" s="77" t="s">
        <v>95</v>
      </c>
      <c r="W697" s="79">
        <v>46179.197895335645</v>
      </c>
      <c r="X697" s="77" t="s">
        <v>96</v>
      </c>
      <c r="Y697" s="78" t="s">
        <v>88</v>
      </c>
      <c r="AA697" s="77" t="s">
        <v>191</v>
      </c>
      <c r="AB697" s="77" t="s">
        <v>78</v>
      </c>
      <c r="AC697" s="77" t="s">
        <v>114</v>
      </c>
      <c r="AD697" s="77" t="s">
        <v>91</v>
      </c>
      <c r="AE697" s="77" t="s">
        <v>3078</v>
      </c>
      <c r="AF697" s="77" t="s">
        <v>2706</v>
      </c>
      <c r="AG697" s="77" t="s">
        <v>112</v>
      </c>
    </row>
    <row r="698" spans="1:33" hidden="1" x14ac:dyDescent="0.3">
      <c r="A698" s="77" t="s">
        <v>3235</v>
      </c>
      <c r="B698" s="77" t="s">
        <v>634</v>
      </c>
      <c r="G698" s="77" t="s">
        <v>3077</v>
      </c>
      <c r="H698" s="77" t="s">
        <v>77</v>
      </c>
      <c r="I698" s="77" t="s">
        <v>78</v>
      </c>
      <c r="J698" s="77" t="s">
        <v>3039</v>
      </c>
      <c r="K698" s="77" t="s">
        <v>80</v>
      </c>
      <c r="L698" s="77" t="s">
        <v>635</v>
      </c>
      <c r="M698" s="77" t="s">
        <v>82</v>
      </c>
      <c r="N698" s="77" t="s">
        <v>83</v>
      </c>
      <c r="Q698" s="77" t="s">
        <v>111</v>
      </c>
      <c r="T698" s="77" t="s">
        <v>112</v>
      </c>
      <c r="U698" s="77" t="s">
        <v>85</v>
      </c>
      <c r="V698" s="77" t="s">
        <v>95</v>
      </c>
      <c r="W698" s="79">
        <v>46192.354955057868</v>
      </c>
      <c r="X698" s="77" t="s">
        <v>96</v>
      </c>
      <c r="Y698" s="78" t="s">
        <v>88</v>
      </c>
      <c r="AA698" s="77" t="s">
        <v>191</v>
      </c>
      <c r="AB698" s="77" t="s">
        <v>78</v>
      </c>
      <c r="AC698" s="77" t="s">
        <v>114</v>
      </c>
      <c r="AD698" s="77" t="s">
        <v>91</v>
      </c>
      <c r="AE698" s="77" t="s">
        <v>3078</v>
      </c>
      <c r="AF698" s="77" t="s">
        <v>2706</v>
      </c>
      <c r="AG698" s="77" t="s">
        <v>112</v>
      </c>
    </row>
    <row r="699" spans="1:33" x14ac:dyDescent="0.3">
      <c r="A699" s="77" t="s">
        <v>3236</v>
      </c>
      <c r="B699" s="77" t="s">
        <v>637</v>
      </c>
      <c r="G699" s="77" t="s">
        <v>3077</v>
      </c>
      <c r="H699" s="77" t="s">
        <v>77</v>
      </c>
      <c r="I699" s="77" t="s">
        <v>78</v>
      </c>
      <c r="J699" s="77" t="s">
        <v>3039</v>
      </c>
      <c r="K699" s="77" t="s">
        <v>80</v>
      </c>
      <c r="L699" s="77" t="s">
        <v>638</v>
      </c>
      <c r="M699" s="77" t="s">
        <v>82</v>
      </c>
      <c r="N699" s="77" t="s">
        <v>83</v>
      </c>
      <c r="Q699" s="77" t="s">
        <v>111</v>
      </c>
      <c r="T699" s="77" t="s">
        <v>112</v>
      </c>
      <c r="U699" s="77" t="s">
        <v>85</v>
      </c>
      <c r="V699" s="80" t="s">
        <v>99</v>
      </c>
      <c r="X699" s="77" t="s">
        <v>100</v>
      </c>
      <c r="Y699" s="78" t="s">
        <v>101</v>
      </c>
      <c r="AA699" s="77" t="s">
        <v>191</v>
      </c>
      <c r="AB699" s="77" t="s">
        <v>78</v>
      </c>
      <c r="AC699" s="77" t="s">
        <v>90</v>
      </c>
      <c r="AD699" s="77" t="s">
        <v>102</v>
      </c>
      <c r="AE699" s="77" t="s">
        <v>3078</v>
      </c>
      <c r="AG699" s="77" t="s">
        <v>112</v>
      </c>
    </row>
    <row r="700" spans="1:33" hidden="1" x14ac:dyDescent="0.3">
      <c r="A700" s="77" t="s">
        <v>3237</v>
      </c>
      <c r="B700" s="77" t="s">
        <v>640</v>
      </c>
      <c r="G700" s="77" t="s">
        <v>3077</v>
      </c>
      <c r="H700" s="77" t="s">
        <v>77</v>
      </c>
      <c r="I700" s="77" t="s">
        <v>78</v>
      </c>
      <c r="J700" s="77" t="s">
        <v>3039</v>
      </c>
      <c r="K700" s="77" t="s">
        <v>80</v>
      </c>
      <c r="L700" s="77" t="s">
        <v>641</v>
      </c>
      <c r="M700" s="77" t="s">
        <v>82</v>
      </c>
      <c r="N700" s="77" t="s">
        <v>83</v>
      </c>
      <c r="Q700" s="77" t="s">
        <v>111</v>
      </c>
      <c r="T700" s="77" t="s">
        <v>112</v>
      </c>
      <c r="U700" s="77" t="s">
        <v>85</v>
      </c>
      <c r="V700" s="77" t="s">
        <v>99</v>
      </c>
      <c r="W700" s="79">
        <v>46214.384290775466</v>
      </c>
      <c r="X700" s="77" t="s">
        <v>100</v>
      </c>
      <c r="Y700" s="78" t="s">
        <v>101</v>
      </c>
      <c r="AA700" s="77" t="s">
        <v>191</v>
      </c>
      <c r="AB700" s="77" t="s">
        <v>78</v>
      </c>
      <c r="AC700" s="77" t="s">
        <v>114</v>
      </c>
      <c r="AD700" s="77" t="s">
        <v>102</v>
      </c>
      <c r="AE700" s="77" t="s">
        <v>3078</v>
      </c>
      <c r="AF700" s="77" t="s">
        <v>2706</v>
      </c>
      <c r="AG700" s="77" t="s">
        <v>112</v>
      </c>
    </row>
    <row r="701" spans="1:33" x14ac:dyDescent="0.3">
      <c r="A701" s="77" t="s">
        <v>3238</v>
      </c>
      <c r="B701" s="77" t="s">
        <v>643</v>
      </c>
      <c r="G701" s="77" t="s">
        <v>3077</v>
      </c>
      <c r="H701" s="77" t="s">
        <v>77</v>
      </c>
      <c r="I701" s="77" t="s">
        <v>78</v>
      </c>
      <c r="J701" s="77" t="s">
        <v>3039</v>
      </c>
      <c r="K701" s="77" t="s">
        <v>80</v>
      </c>
      <c r="L701" s="77" t="s">
        <v>644</v>
      </c>
      <c r="M701" s="77" t="s">
        <v>82</v>
      </c>
      <c r="N701" s="77" t="s">
        <v>83</v>
      </c>
      <c r="Q701" s="77" t="s">
        <v>111</v>
      </c>
      <c r="T701" s="77" t="s">
        <v>112</v>
      </c>
      <c r="U701" s="77" t="s">
        <v>85</v>
      </c>
      <c r="V701" s="80" t="s">
        <v>99</v>
      </c>
      <c r="X701" s="77" t="s">
        <v>100</v>
      </c>
      <c r="Y701" s="78" t="s">
        <v>101</v>
      </c>
      <c r="AA701" s="77" t="s">
        <v>191</v>
      </c>
      <c r="AB701" s="77" t="s">
        <v>78</v>
      </c>
      <c r="AC701" s="77" t="s">
        <v>90</v>
      </c>
      <c r="AD701" s="77" t="s">
        <v>102</v>
      </c>
      <c r="AE701" s="77" t="s">
        <v>3078</v>
      </c>
      <c r="AG701" s="77" t="s">
        <v>112</v>
      </c>
    </row>
    <row r="702" spans="1:33" hidden="1" x14ac:dyDescent="0.3">
      <c r="A702" s="77" t="s">
        <v>3239</v>
      </c>
      <c r="B702" s="77" t="s">
        <v>646</v>
      </c>
      <c r="G702" s="77" t="s">
        <v>3077</v>
      </c>
      <c r="H702" s="77" t="s">
        <v>77</v>
      </c>
      <c r="I702" s="77" t="s">
        <v>78</v>
      </c>
      <c r="J702" s="77" t="s">
        <v>3039</v>
      </c>
      <c r="K702" s="77" t="s">
        <v>80</v>
      </c>
      <c r="L702" s="77" t="s">
        <v>647</v>
      </c>
      <c r="M702" s="77" t="s">
        <v>82</v>
      </c>
      <c r="N702" s="77" t="s">
        <v>83</v>
      </c>
      <c r="Q702" s="77" t="s">
        <v>111</v>
      </c>
      <c r="T702" s="77" t="s">
        <v>112</v>
      </c>
      <c r="U702" s="77" t="s">
        <v>85</v>
      </c>
      <c r="V702" s="77" t="s">
        <v>105</v>
      </c>
      <c r="W702" s="79">
        <v>46192.182600694447</v>
      </c>
      <c r="X702" s="77" t="s">
        <v>106</v>
      </c>
      <c r="Y702" s="78" t="s">
        <v>101</v>
      </c>
      <c r="AA702" s="77" t="s">
        <v>191</v>
      </c>
      <c r="AB702" s="77" t="s">
        <v>78</v>
      </c>
      <c r="AC702" s="77" t="s">
        <v>114</v>
      </c>
      <c r="AD702" s="77" t="s">
        <v>102</v>
      </c>
      <c r="AE702" s="77" t="s">
        <v>3078</v>
      </c>
      <c r="AF702" s="77" t="s">
        <v>2706</v>
      </c>
      <c r="AG702" s="77" t="s">
        <v>112</v>
      </c>
    </row>
    <row r="703" spans="1:33" hidden="1" x14ac:dyDescent="0.3">
      <c r="A703" s="77" t="s">
        <v>3240</v>
      </c>
      <c r="B703" s="77" t="s">
        <v>649</v>
      </c>
      <c r="G703" s="77" t="s">
        <v>3077</v>
      </c>
      <c r="H703" s="77" t="s">
        <v>77</v>
      </c>
      <c r="I703" s="77" t="s">
        <v>78</v>
      </c>
      <c r="J703" s="77" t="s">
        <v>3039</v>
      </c>
      <c r="K703" s="77" t="s">
        <v>80</v>
      </c>
      <c r="L703" s="77" t="s">
        <v>650</v>
      </c>
      <c r="M703" s="77" t="s">
        <v>82</v>
      </c>
      <c r="N703" s="77" t="s">
        <v>83</v>
      </c>
      <c r="Q703" s="77" t="s">
        <v>111</v>
      </c>
      <c r="T703" s="77" t="s">
        <v>112</v>
      </c>
      <c r="U703" s="77" t="s">
        <v>85</v>
      </c>
      <c r="V703" s="77" t="s">
        <v>105</v>
      </c>
      <c r="W703" s="79">
        <v>46192.182935567129</v>
      </c>
      <c r="X703" s="77" t="s">
        <v>106</v>
      </c>
      <c r="Y703" s="78" t="s">
        <v>101</v>
      </c>
      <c r="AA703" s="77" t="s">
        <v>191</v>
      </c>
      <c r="AB703" s="77" t="s">
        <v>78</v>
      </c>
      <c r="AC703" s="77" t="s">
        <v>114</v>
      </c>
      <c r="AD703" s="77" t="s">
        <v>102</v>
      </c>
      <c r="AE703" s="77" t="s">
        <v>3078</v>
      </c>
      <c r="AF703" s="77" t="s">
        <v>2706</v>
      </c>
      <c r="AG703" s="77" t="s">
        <v>112</v>
      </c>
    </row>
    <row r="704" spans="1:33" x14ac:dyDescent="0.3">
      <c r="A704" s="77" t="s">
        <v>3241</v>
      </c>
      <c r="B704" s="77" t="s">
        <v>652</v>
      </c>
      <c r="G704" s="77" t="s">
        <v>3077</v>
      </c>
      <c r="H704" s="77" t="s">
        <v>77</v>
      </c>
      <c r="I704" s="77" t="s">
        <v>78</v>
      </c>
      <c r="J704" s="77" t="s">
        <v>3039</v>
      </c>
      <c r="K704" s="77" t="s">
        <v>80</v>
      </c>
      <c r="L704" s="77" t="s">
        <v>653</v>
      </c>
      <c r="M704" s="77" t="s">
        <v>82</v>
      </c>
      <c r="N704" s="77" t="s">
        <v>83</v>
      </c>
      <c r="Q704" s="77" t="s">
        <v>111</v>
      </c>
      <c r="T704" s="77" t="s">
        <v>112</v>
      </c>
      <c r="U704" s="77" t="s">
        <v>85</v>
      </c>
      <c r="V704" s="80" t="s">
        <v>105</v>
      </c>
      <c r="X704" s="77" t="s">
        <v>106</v>
      </c>
      <c r="Y704" s="78" t="s">
        <v>101</v>
      </c>
      <c r="AA704" s="77" t="s">
        <v>191</v>
      </c>
      <c r="AB704" s="77" t="s">
        <v>78</v>
      </c>
      <c r="AC704" s="77" t="s">
        <v>90</v>
      </c>
      <c r="AD704" s="77" t="s">
        <v>102</v>
      </c>
      <c r="AE704" s="77" t="s">
        <v>3078</v>
      </c>
      <c r="AG704" s="77" t="s">
        <v>112</v>
      </c>
    </row>
    <row r="705" spans="1:33" hidden="1" x14ac:dyDescent="0.3">
      <c r="A705" s="77" t="s">
        <v>3242</v>
      </c>
      <c r="B705" s="77" t="s">
        <v>655</v>
      </c>
      <c r="G705" s="77" t="s">
        <v>3077</v>
      </c>
      <c r="H705" s="77" t="s">
        <v>77</v>
      </c>
      <c r="I705" s="77" t="s">
        <v>78</v>
      </c>
      <c r="J705" s="77" t="s">
        <v>3039</v>
      </c>
      <c r="K705" s="77" t="s">
        <v>80</v>
      </c>
      <c r="L705" s="77" t="s">
        <v>656</v>
      </c>
      <c r="M705" s="77" t="s">
        <v>82</v>
      </c>
      <c r="N705" s="77" t="s">
        <v>83</v>
      </c>
      <c r="Q705" s="77" t="s">
        <v>111</v>
      </c>
      <c r="T705" s="77" t="s">
        <v>112</v>
      </c>
      <c r="U705" s="77" t="s">
        <v>85</v>
      </c>
      <c r="V705" s="77" t="s">
        <v>657</v>
      </c>
      <c r="W705" s="79">
        <v>46192.184326041664</v>
      </c>
      <c r="X705" s="77" t="s">
        <v>658</v>
      </c>
      <c r="Y705" s="78" t="s">
        <v>88</v>
      </c>
      <c r="AA705" s="77" t="s">
        <v>191</v>
      </c>
      <c r="AB705" s="77" t="s">
        <v>78</v>
      </c>
      <c r="AC705" s="77" t="s">
        <v>114</v>
      </c>
      <c r="AD705" s="77" t="s">
        <v>91</v>
      </c>
      <c r="AE705" s="77" t="s">
        <v>3078</v>
      </c>
      <c r="AF705" s="77" t="s">
        <v>2706</v>
      </c>
      <c r="AG705" s="77" t="s">
        <v>112</v>
      </c>
    </row>
    <row r="706" spans="1:33" hidden="1" x14ac:dyDescent="0.3">
      <c r="A706" s="77" t="s">
        <v>3243</v>
      </c>
      <c r="B706" s="77" t="s">
        <v>660</v>
      </c>
      <c r="G706" s="77" t="s">
        <v>3077</v>
      </c>
      <c r="H706" s="77" t="s">
        <v>77</v>
      </c>
      <c r="I706" s="77" t="s">
        <v>78</v>
      </c>
      <c r="J706" s="77" t="s">
        <v>3039</v>
      </c>
      <c r="K706" s="77" t="s">
        <v>80</v>
      </c>
      <c r="L706" s="77" t="s">
        <v>661</v>
      </c>
      <c r="M706" s="77" t="s">
        <v>82</v>
      </c>
      <c r="N706" s="77" t="s">
        <v>83</v>
      </c>
      <c r="Q706" s="77" t="s">
        <v>111</v>
      </c>
      <c r="T706" s="77" t="s">
        <v>112</v>
      </c>
      <c r="U706" s="77" t="s">
        <v>85</v>
      </c>
      <c r="V706" s="77" t="s">
        <v>657</v>
      </c>
      <c r="W706" s="79">
        <v>46192.184583946757</v>
      </c>
      <c r="X706" s="77" t="s">
        <v>658</v>
      </c>
      <c r="Y706" s="78" t="s">
        <v>88</v>
      </c>
      <c r="AA706" s="77" t="s">
        <v>191</v>
      </c>
      <c r="AB706" s="77" t="s">
        <v>78</v>
      </c>
      <c r="AC706" s="77" t="s">
        <v>114</v>
      </c>
      <c r="AD706" s="77" t="s">
        <v>91</v>
      </c>
      <c r="AE706" s="77" t="s">
        <v>3078</v>
      </c>
      <c r="AF706" s="77" t="s">
        <v>2706</v>
      </c>
      <c r="AG706" s="77" t="s">
        <v>112</v>
      </c>
    </row>
    <row r="707" spans="1:33" hidden="1" x14ac:dyDescent="0.3">
      <c r="A707" s="77" t="s">
        <v>3244</v>
      </c>
      <c r="B707" s="77" t="s">
        <v>663</v>
      </c>
      <c r="G707" s="77" t="s">
        <v>3077</v>
      </c>
      <c r="H707" s="77" t="s">
        <v>77</v>
      </c>
      <c r="I707" s="77" t="s">
        <v>78</v>
      </c>
      <c r="J707" s="77" t="s">
        <v>3039</v>
      </c>
      <c r="K707" s="77" t="s">
        <v>80</v>
      </c>
      <c r="L707" s="77" t="s">
        <v>664</v>
      </c>
      <c r="M707" s="77" t="s">
        <v>82</v>
      </c>
      <c r="N707" s="77" t="s">
        <v>83</v>
      </c>
      <c r="Q707" s="77" t="s">
        <v>111</v>
      </c>
      <c r="T707" s="77" t="s">
        <v>112</v>
      </c>
      <c r="U707" s="77" t="s">
        <v>85</v>
      </c>
      <c r="V707" s="77" t="s">
        <v>665</v>
      </c>
      <c r="W707" s="79">
        <v>46192.184985960645</v>
      </c>
      <c r="X707" s="77" t="s">
        <v>666</v>
      </c>
      <c r="Y707" s="78" t="s">
        <v>88</v>
      </c>
      <c r="AA707" s="77" t="s">
        <v>191</v>
      </c>
      <c r="AB707" s="77" t="s">
        <v>78</v>
      </c>
      <c r="AC707" s="77" t="s">
        <v>114</v>
      </c>
      <c r="AD707" s="77" t="s">
        <v>91</v>
      </c>
      <c r="AE707" s="77" t="s">
        <v>3078</v>
      </c>
      <c r="AF707" s="77" t="s">
        <v>2706</v>
      </c>
      <c r="AG707" s="77" t="s">
        <v>112</v>
      </c>
    </row>
    <row r="708" spans="1:33" hidden="1" x14ac:dyDescent="0.3">
      <c r="A708" s="77" t="s">
        <v>3245</v>
      </c>
      <c r="B708" s="77" t="s">
        <v>668</v>
      </c>
      <c r="G708" s="77" t="s">
        <v>3077</v>
      </c>
      <c r="H708" s="77" t="s">
        <v>77</v>
      </c>
      <c r="I708" s="77" t="s">
        <v>78</v>
      </c>
      <c r="J708" s="77" t="s">
        <v>3039</v>
      </c>
      <c r="K708" s="77" t="s">
        <v>80</v>
      </c>
      <c r="L708" s="77" t="s">
        <v>669</v>
      </c>
      <c r="M708" s="77" t="s">
        <v>82</v>
      </c>
      <c r="N708" s="77" t="s">
        <v>83</v>
      </c>
      <c r="Q708" s="77" t="s">
        <v>111</v>
      </c>
      <c r="T708" s="77" t="s">
        <v>112</v>
      </c>
      <c r="U708" s="77" t="s">
        <v>85</v>
      </c>
      <c r="V708" s="77" t="s">
        <v>665</v>
      </c>
      <c r="W708" s="79">
        <v>46192.185285300926</v>
      </c>
      <c r="X708" s="77" t="s">
        <v>666</v>
      </c>
      <c r="Y708" s="78" t="s">
        <v>88</v>
      </c>
      <c r="AA708" s="77" t="s">
        <v>191</v>
      </c>
      <c r="AB708" s="77" t="s">
        <v>78</v>
      </c>
      <c r="AC708" s="77" t="s">
        <v>114</v>
      </c>
      <c r="AD708" s="77" t="s">
        <v>91</v>
      </c>
      <c r="AE708" s="77" t="s">
        <v>3078</v>
      </c>
      <c r="AF708" s="77" t="s">
        <v>2706</v>
      </c>
      <c r="AG708" s="77" t="s">
        <v>112</v>
      </c>
    </row>
    <row r="709" spans="1:33" x14ac:dyDescent="0.3">
      <c r="A709" s="77" t="s">
        <v>3246</v>
      </c>
      <c r="B709" s="77" t="s">
        <v>671</v>
      </c>
      <c r="G709" s="77" t="s">
        <v>3077</v>
      </c>
      <c r="H709" s="77" t="s">
        <v>77</v>
      </c>
      <c r="I709" s="77" t="s">
        <v>78</v>
      </c>
      <c r="J709" s="77" t="s">
        <v>3039</v>
      </c>
      <c r="K709" s="77" t="s">
        <v>80</v>
      </c>
      <c r="L709" s="77" t="s">
        <v>672</v>
      </c>
      <c r="M709" s="77" t="s">
        <v>82</v>
      </c>
      <c r="N709" s="77" t="s">
        <v>83</v>
      </c>
      <c r="Q709" s="77" t="s">
        <v>111</v>
      </c>
      <c r="T709" s="77" t="s">
        <v>112</v>
      </c>
      <c r="U709" s="77" t="s">
        <v>85</v>
      </c>
      <c r="V709" s="80" t="s">
        <v>673</v>
      </c>
      <c r="X709" s="77" t="s">
        <v>674</v>
      </c>
      <c r="Y709" s="78" t="s">
        <v>101</v>
      </c>
      <c r="AA709" s="77" t="s">
        <v>191</v>
      </c>
      <c r="AB709" s="77" t="s">
        <v>78</v>
      </c>
      <c r="AC709" s="77" t="s">
        <v>90</v>
      </c>
      <c r="AD709" s="77" t="s">
        <v>102</v>
      </c>
      <c r="AE709" s="77" t="s">
        <v>3078</v>
      </c>
      <c r="AG709" s="77" t="s">
        <v>112</v>
      </c>
    </row>
    <row r="710" spans="1:33" x14ac:dyDescent="0.3">
      <c r="A710" s="77" t="s">
        <v>3247</v>
      </c>
      <c r="B710" s="77" t="s">
        <v>676</v>
      </c>
      <c r="G710" s="77" t="s">
        <v>3077</v>
      </c>
      <c r="H710" s="77" t="s">
        <v>77</v>
      </c>
      <c r="I710" s="77" t="s">
        <v>78</v>
      </c>
      <c r="J710" s="77" t="s">
        <v>3039</v>
      </c>
      <c r="K710" s="77" t="s">
        <v>80</v>
      </c>
      <c r="L710" s="77" t="s">
        <v>677</v>
      </c>
      <c r="M710" s="77" t="s">
        <v>82</v>
      </c>
      <c r="N710" s="77" t="s">
        <v>83</v>
      </c>
      <c r="Q710" s="77" t="s">
        <v>111</v>
      </c>
      <c r="T710" s="77" t="s">
        <v>112</v>
      </c>
      <c r="U710" s="77" t="s">
        <v>85</v>
      </c>
      <c r="V710" s="80" t="s">
        <v>673</v>
      </c>
      <c r="X710" s="77" t="s">
        <v>674</v>
      </c>
      <c r="Y710" s="78" t="s">
        <v>101</v>
      </c>
      <c r="AA710" s="77" t="s">
        <v>191</v>
      </c>
      <c r="AB710" s="77" t="s">
        <v>78</v>
      </c>
      <c r="AC710" s="77" t="s">
        <v>90</v>
      </c>
      <c r="AD710" s="77" t="s">
        <v>102</v>
      </c>
      <c r="AE710" s="77" t="s">
        <v>3078</v>
      </c>
      <c r="AG710" s="77" t="s">
        <v>112</v>
      </c>
    </row>
    <row r="711" spans="1:33" x14ac:dyDescent="0.3">
      <c r="A711" s="77" t="s">
        <v>3248</v>
      </c>
      <c r="B711" s="77" t="s">
        <v>679</v>
      </c>
      <c r="G711" s="77" t="s">
        <v>3077</v>
      </c>
      <c r="H711" s="77" t="s">
        <v>77</v>
      </c>
      <c r="I711" s="77" t="s">
        <v>78</v>
      </c>
      <c r="J711" s="77" t="s">
        <v>3039</v>
      </c>
      <c r="K711" s="77" t="s">
        <v>80</v>
      </c>
      <c r="L711" s="77" t="s">
        <v>680</v>
      </c>
      <c r="M711" s="77" t="s">
        <v>82</v>
      </c>
      <c r="N711" s="77" t="s">
        <v>83</v>
      </c>
      <c r="Q711" s="77" t="s">
        <v>111</v>
      </c>
      <c r="T711" s="77" t="s">
        <v>112</v>
      </c>
      <c r="U711" s="77" t="s">
        <v>85</v>
      </c>
      <c r="V711" s="80" t="s">
        <v>681</v>
      </c>
      <c r="X711" s="77" t="s">
        <v>682</v>
      </c>
      <c r="Y711" s="78" t="s">
        <v>101</v>
      </c>
      <c r="AA711" s="77" t="s">
        <v>191</v>
      </c>
      <c r="AB711" s="77" t="s">
        <v>78</v>
      </c>
      <c r="AC711" s="77" t="s">
        <v>90</v>
      </c>
      <c r="AD711" s="77" t="s">
        <v>102</v>
      </c>
      <c r="AE711" s="77" t="s">
        <v>3078</v>
      </c>
      <c r="AG711" s="77" t="s">
        <v>112</v>
      </c>
    </row>
    <row r="712" spans="1:33" hidden="1" x14ac:dyDescent="0.3">
      <c r="A712" s="77" t="s">
        <v>3249</v>
      </c>
      <c r="B712" s="77" t="s">
        <v>684</v>
      </c>
      <c r="G712" s="77" t="s">
        <v>3077</v>
      </c>
      <c r="H712" s="77" t="s">
        <v>77</v>
      </c>
      <c r="I712" s="77" t="s">
        <v>78</v>
      </c>
      <c r="J712" s="77" t="s">
        <v>3039</v>
      </c>
      <c r="K712" s="77" t="s">
        <v>80</v>
      </c>
      <c r="L712" s="77" t="s">
        <v>685</v>
      </c>
      <c r="M712" s="77" t="s">
        <v>82</v>
      </c>
      <c r="N712" s="77" t="s">
        <v>83</v>
      </c>
      <c r="Q712" s="77" t="s">
        <v>111</v>
      </c>
      <c r="T712" s="77" t="s">
        <v>112</v>
      </c>
      <c r="U712" s="77" t="s">
        <v>85</v>
      </c>
      <c r="V712" s="77" t="s">
        <v>681</v>
      </c>
      <c r="W712" s="79">
        <v>46192.185579247685</v>
      </c>
      <c r="X712" s="77" t="s">
        <v>682</v>
      </c>
      <c r="Y712" s="78" t="s">
        <v>101</v>
      </c>
      <c r="AA712" s="77" t="s">
        <v>191</v>
      </c>
      <c r="AB712" s="77" t="s">
        <v>78</v>
      </c>
      <c r="AC712" s="77" t="s">
        <v>114</v>
      </c>
      <c r="AD712" s="77" t="s">
        <v>102</v>
      </c>
      <c r="AE712" s="77" t="s">
        <v>3078</v>
      </c>
      <c r="AF712" s="77" t="s">
        <v>2706</v>
      </c>
      <c r="AG712" s="77" t="s">
        <v>112</v>
      </c>
    </row>
    <row r="713" spans="1:33" hidden="1" x14ac:dyDescent="0.3">
      <c r="A713" s="77" t="s">
        <v>3250</v>
      </c>
      <c r="B713" s="77" t="s">
        <v>687</v>
      </c>
      <c r="G713" s="77" t="s">
        <v>3077</v>
      </c>
      <c r="H713" s="77" t="s">
        <v>77</v>
      </c>
      <c r="I713" s="77" t="s">
        <v>78</v>
      </c>
      <c r="J713" s="77" t="s">
        <v>3039</v>
      </c>
      <c r="K713" s="77" t="s">
        <v>80</v>
      </c>
      <c r="L713" s="77" t="s">
        <v>688</v>
      </c>
      <c r="M713" s="77" t="s">
        <v>82</v>
      </c>
      <c r="N713" s="77" t="s">
        <v>83</v>
      </c>
      <c r="Q713" s="77" t="s">
        <v>111</v>
      </c>
      <c r="T713" s="77" t="s">
        <v>112</v>
      </c>
      <c r="U713" s="77" t="s">
        <v>85</v>
      </c>
      <c r="V713" s="77" t="s">
        <v>231</v>
      </c>
      <c r="W713" s="79">
        <v>46192.185892673609</v>
      </c>
      <c r="X713" s="77" t="s">
        <v>232</v>
      </c>
      <c r="Y713" s="78" t="s">
        <v>88</v>
      </c>
      <c r="AA713" s="77" t="s">
        <v>191</v>
      </c>
      <c r="AB713" s="77" t="s">
        <v>78</v>
      </c>
      <c r="AC713" s="77" t="s">
        <v>114</v>
      </c>
      <c r="AD713" s="77" t="s">
        <v>91</v>
      </c>
      <c r="AE713" s="77" t="s">
        <v>3078</v>
      </c>
      <c r="AF713" s="77" t="s">
        <v>2706</v>
      </c>
      <c r="AG713" s="77" t="s">
        <v>112</v>
      </c>
    </row>
    <row r="714" spans="1:33" hidden="1" x14ac:dyDescent="0.3">
      <c r="A714" s="77" t="s">
        <v>3251</v>
      </c>
      <c r="B714" s="77" t="s">
        <v>690</v>
      </c>
      <c r="G714" s="77" t="s">
        <v>3077</v>
      </c>
      <c r="H714" s="77" t="s">
        <v>77</v>
      </c>
      <c r="I714" s="77" t="s">
        <v>78</v>
      </c>
      <c r="J714" s="77" t="s">
        <v>3039</v>
      </c>
      <c r="K714" s="77" t="s">
        <v>80</v>
      </c>
      <c r="L714" s="77" t="s">
        <v>691</v>
      </c>
      <c r="M714" s="77" t="s">
        <v>82</v>
      </c>
      <c r="N714" s="77" t="s">
        <v>83</v>
      </c>
      <c r="Q714" s="77" t="s">
        <v>111</v>
      </c>
      <c r="T714" s="77" t="s">
        <v>112</v>
      </c>
      <c r="U714" s="77" t="s">
        <v>85</v>
      </c>
      <c r="V714" s="77" t="s">
        <v>231</v>
      </c>
      <c r="W714" s="79">
        <v>46192.186174074071</v>
      </c>
      <c r="X714" s="77" t="s">
        <v>232</v>
      </c>
      <c r="Y714" s="78" t="s">
        <v>88</v>
      </c>
      <c r="AA714" s="77" t="s">
        <v>191</v>
      </c>
      <c r="AB714" s="77" t="s">
        <v>78</v>
      </c>
      <c r="AC714" s="77" t="s">
        <v>114</v>
      </c>
      <c r="AD714" s="77" t="s">
        <v>91</v>
      </c>
      <c r="AE714" s="77" t="s">
        <v>3078</v>
      </c>
      <c r="AF714" s="77" t="s">
        <v>2706</v>
      </c>
      <c r="AG714" s="77" t="s">
        <v>112</v>
      </c>
    </row>
    <row r="715" spans="1:33" hidden="1" x14ac:dyDescent="0.3">
      <c r="A715" s="77" t="s">
        <v>3252</v>
      </c>
      <c r="B715" s="77" t="s">
        <v>693</v>
      </c>
      <c r="G715" s="77" t="s">
        <v>3077</v>
      </c>
      <c r="H715" s="77" t="s">
        <v>77</v>
      </c>
      <c r="I715" s="77" t="s">
        <v>78</v>
      </c>
      <c r="J715" s="77" t="s">
        <v>3039</v>
      </c>
      <c r="K715" s="77" t="s">
        <v>80</v>
      </c>
      <c r="L715" s="77" t="s">
        <v>210</v>
      </c>
      <c r="M715" s="77" t="s">
        <v>82</v>
      </c>
      <c r="N715" s="77" t="s">
        <v>83</v>
      </c>
      <c r="Q715" s="77" t="s">
        <v>111</v>
      </c>
      <c r="T715" s="77" t="s">
        <v>112</v>
      </c>
      <c r="U715" s="77" t="s">
        <v>85</v>
      </c>
      <c r="V715" s="77" t="s">
        <v>211</v>
      </c>
      <c r="W715" s="79">
        <v>46192.349239583331</v>
      </c>
      <c r="X715" s="77" t="s">
        <v>212</v>
      </c>
      <c r="Y715" s="78" t="s">
        <v>88</v>
      </c>
      <c r="AA715" s="77" t="s">
        <v>191</v>
      </c>
      <c r="AB715" s="77" t="s">
        <v>78</v>
      </c>
      <c r="AC715" s="77" t="s">
        <v>114</v>
      </c>
      <c r="AD715" s="77" t="s">
        <v>91</v>
      </c>
      <c r="AE715" s="77" t="s">
        <v>3078</v>
      </c>
      <c r="AF715" s="77" t="s">
        <v>2706</v>
      </c>
      <c r="AG715" s="77" t="s">
        <v>112</v>
      </c>
    </row>
    <row r="716" spans="1:33" hidden="1" x14ac:dyDescent="0.3">
      <c r="A716" s="77" t="s">
        <v>3253</v>
      </c>
      <c r="B716" s="77" t="s">
        <v>695</v>
      </c>
      <c r="G716" s="77" t="s">
        <v>3077</v>
      </c>
      <c r="H716" s="77" t="s">
        <v>77</v>
      </c>
      <c r="I716" s="77" t="s">
        <v>78</v>
      </c>
      <c r="J716" s="77" t="s">
        <v>3039</v>
      </c>
      <c r="K716" s="77" t="s">
        <v>80</v>
      </c>
      <c r="L716" s="77" t="s">
        <v>210</v>
      </c>
      <c r="M716" s="77" t="s">
        <v>82</v>
      </c>
      <c r="N716" s="77" t="s">
        <v>83</v>
      </c>
      <c r="Q716" s="77" t="s">
        <v>111</v>
      </c>
      <c r="T716" s="77" t="s">
        <v>112</v>
      </c>
      <c r="U716" s="77" t="s">
        <v>85</v>
      </c>
      <c r="V716" s="77" t="s">
        <v>211</v>
      </c>
      <c r="W716" s="79">
        <v>46192.349657754632</v>
      </c>
      <c r="X716" s="77" t="s">
        <v>212</v>
      </c>
      <c r="Y716" s="78" t="s">
        <v>88</v>
      </c>
      <c r="AA716" s="77" t="s">
        <v>191</v>
      </c>
      <c r="AB716" s="77" t="s">
        <v>78</v>
      </c>
      <c r="AC716" s="77" t="s">
        <v>114</v>
      </c>
      <c r="AD716" s="77" t="s">
        <v>91</v>
      </c>
      <c r="AE716" s="77" t="s">
        <v>3078</v>
      </c>
      <c r="AF716" s="77" t="s">
        <v>2706</v>
      </c>
      <c r="AG716" s="77" t="s">
        <v>112</v>
      </c>
    </row>
    <row r="717" spans="1:33" hidden="1" x14ac:dyDescent="0.3">
      <c r="A717" s="77" t="s">
        <v>3254</v>
      </c>
      <c r="B717" s="77" t="s">
        <v>697</v>
      </c>
      <c r="G717" s="77" t="s">
        <v>3077</v>
      </c>
      <c r="H717" s="77" t="s">
        <v>77</v>
      </c>
      <c r="I717" s="77" t="s">
        <v>78</v>
      </c>
      <c r="J717" s="77" t="s">
        <v>3039</v>
      </c>
      <c r="K717" s="77" t="s">
        <v>80</v>
      </c>
      <c r="L717" s="77" t="s">
        <v>210</v>
      </c>
      <c r="M717" s="77" t="s">
        <v>82</v>
      </c>
      <c r="N717" s="77" t="s">
        <v>83</v>
      </c>
      <c r="Q717" s="77" t="s">
        <v>111</v>
      </c>
      <c r="T717" s="77" t="s">
        <v>112</v>
      </c>
      <c r="U717" s="77" t="s">
        <v>85</v>
      </c>
      <c r="V717" s="77" t="s">
        <v>211</v>
      </c>
      <c r="W717" s="79">
        <v>46192.350826192131</v>
      </c>
      <c r="X717" s="77" t="s">
        <v>212</v>
      </c>
      <c r="Y717" s="78" t="s">
        <v>88</v>
      </c>
      <c r="AA717" s="77" t="s">
        <v>191</v>
      </c>
      <c r="AB717" s="77" t="s">
        <v>78</v>
      </c>
      <c r="AC717" s="77" t="s">
        <v>114</v>
      </c>
      <c r="AD717" s="77" t="s">
        <v>91</v>
      </c>
      <c r="AE717" s="77" t="s">
        <v>3078</v>
      </c>
      <c r="AF717" s="77" t="s">
        <v>2706</v>
      </c>
      <c r="AG717" s="77" t="s">
        <v>112</v>
      </c>
    </row>
    <row r="718" spans="1:33" hidden="1" x14ac:dyDescent="0.3">
      <c r="A718" s="77" t="s">
        <v>3255</v>
      </c>
      <c r="B718" s="77" t="s">
        <v>699</v>
      </c>
      <c r="G718" s="77" t="s">
        <v>3077</v>
      </c>
      <c r="H718" s="77" t="s">
        <v>77</v>
      </c>
      <c r="I718" s="77" t="s">
        <v>78</v>
      </c>
      <c r="J718" s="77" t="s">
        <v>3039</v>
      </c>
      <c r="K718" s="77" t="s">
        <v>80</v>
      </c>
      <c r="L718" s="77" t="s">
        <v>210</v>
      </c>
      <c r="M718" s="77" t="s">
        <v>82</v>
      </c>
      <c r="N718" s="77" t="s">
        <v>83</v>
      </c>
      <c r="Q718" s="77" t="s">
        <v>111</v>
      </c>
      <c r="T718" s="77" t="s">
        <v>112</v>
      </c>
      <c r="U718" s="77" t="s">
        <v>85</v>
      </c>
      <c r="V718" s="77" t="s">
        <v>211</v>
      </c>
      <c r="W718" s="79">
        <v>46192.351480983794</v>
      </c>
      <c r="X718" s="77" t="s">
        <v>212</v>
      </c>
      <c r="Y718" s="78" t="s">
        <v>88</v>
      </c>
      <c r="AA718" s="77" t="s">
        <v>191</v>
      </c>
      <c r="AB718" s="77" t="s">
        <v>78</v>
      </c>
      <c r="AC718" s="77" t="s">
        <v>114</v>
      </c>
      <c r="AD718" s="77" t="s">
        <v>91</v>
      </c>
      <c r="AE718" s="77" t="s">
        <v>3078</v>
      </c>
      <c r="AF718" s="77" t="s">
        <v>2706</v>
      </c>
      <c r="AG718" s="77" t="s">
        <v>112</v>
      </c>
    </row>
    <row r="719" spans="1:33" hidden="1" x14ac:dyDescent="0.3">
      <c r="A719" s="77" t="s">
        <v>3256</v>
      </c>
      <c r="B719" s="77" t="s">
        <v>701</v>
      </c>
      <c r="G719" s="77" t="s">
        <v>3077</v>
      </c>
      <c r="H719" s="77" t="s">
        <v>77</v>
      </c>
      <c r="I719" s="77" t="s">
        <v>78</v>
      </c>
      <c r="J719" s="77" t="s">
        <v>3039</v>
      </c>
      <c r="K719" s="77" t="s">
        <v>80</v>
      </c>
      <c r="L719" s="77" t="s">
        <v>702</v>
      </c>
      <c r="M719" s="77" t="s">
        <v>82</v>
      </c>
      <c r="N719" s="77" t="s">
        <v>83</v>
      </c>
      <c r="Q719" s="77" t="s">
        <v>111</v>
      </c>
      <c r="T719" s="77" t="s">
        <v>112</v>
      </c>
      <c r="U719" s="77" t="s">
        <v>85</v>
      </c>
      <c r="V719" s="77" t="s">
        <v>211</v>
      </c>
      <c r="W719" s="79">
        <v>46192.355034062501</v>
      </c>
      <c r="X719" s="77" t="s">
        <v>212</v>
      </c>
      <c r="Y719" s="78" t="s">
        <v>88</v>
      </c>
      <c r="AA719" s="77" t="s">
        <v>191</v>
      </c>
      <c r="AB719" s="77" t="s">
        <v>78</v>
      </c>
      <c r="AC719" s="77" t="s">
        <v>114</v>
      </c>
      <c r="AD719" s="77" t="s">
        <v>91</v>
      </c>
      <c r="AE719" s="77" t="s">
        <v>3078</v>
      </c>
      <c r="AF719" s="77" t="s">
        <v>2706</v>
      </c>
      <c r="AG719" s="77" t="s">
        <v>112</v>
      </c>
    </row>
    <row r="720" spans="1:33" hidden="1" x14ac:dyDescent="0.3">
      <c r="A720" s="77" t="s">
        <v>3257</v>
      </c>
      <c r="B720" s="77" t="s">
        <v>704</v>
      </c>
      <c r="G720" s="77" t="s">
        <v>3077</v>
      </c>
      <c r="H720" s="77" t="s">
        <v>77</v>
      </c>
      <c r="I720" s="77" t="s">
        <v>78</v>
      </c>
      <c r="J720" s="77" t="s">
        <v>3039</v>
      </c>
      <c r="K720" s="77" t="s">
        <v>80</v>
      </c>
      <c r="L720" s="77" t="s">
        <v>705</v>
      </c>
      <c r="M720" s="77" t="s">
        <v>82</v>
      </c>
      <c r="N720" s="77" t="s">
        <v>83</v>
      </c>
      <c r="Q720" s="77" t="s">
        <v>111</v>
      </c>
      <c r="T720" s="77" t="s">
        <v>112</v>
      </c>
      <c r="U720" s="77" t="s">
        <v>85</v>
      </c>
      <c r="V720" s="77" t="s">
        <v>211</v>
      </c>
      <c r="W720" s="79">
        <v>46192.186452928239</v>
      </c>
      <c r="X720" s="77" t="s">
        <v>212</v>
      </c>
      <c r="Y720" s="78" t="s">
        <v>88</v>
      </c>
      <c r="AA720" s="77" t="s">
        <v>191</v>
      </c>
      <c r="AB720" s="77" t="s">
        <v>78</v>
      </c>
      <c r="AC720" s="77" t="s">
        <v>114</v>
      </c>
      <c r="AD720" s="77" t="s">
        <v>91</v>
      </c>
      <c r="AE720" s="77" t="s">
        <v>3078</v>
      </c>
      <c r="AF720" s="77" t="s">
        <v>2706</v>
      </c>
      <c r="AG720" s="77" t="s">
        <v>112</v>
      </c>
    </row>
    <row r="721" spans="1:33" hidden="1" x14ac:dyDescent="0.3">
      <c r="A721" s="77" t="s">
        <v>3258</v>
      </c>
      <c r="B721" s="77" t="s">
        <v>707</v>
      </c>
      <c r="G721" s="77" t="s">
        <v>3077</v>
      </c>
      <c r="H721" s="77" t="s">
        <v>77</v>
      </c>
      <c r="I721" s="77" t="s">
        <v>78</v>
      </c>
      <c r="J721" s="77" t="s">
        <v>3039</v>
      </c>
      <c r="K721" s="77" t="s">
        <v>80</v>
      </c>
      <c r="L721" s="77" t="s">
        <v>215</v>
      </c>
      <c r="M721" s="77" t="s">
        <v>82</v>
      </c>
      <c r="N721" s="77" t="s">
        <v>83</v>
      </c>
      <c r="Q721" s="77" t="s">
        <v>111</v>
      </c>
      <c r="T721" s="77" t="s">
        <v>112</v>
      </c>
      <c r="U721" s="77" t="s">
        <v>85</v>
      </c>
      <c r="V721" s="77" t="s">
        <v>216</v>
      </c>
      <c r="W721" s="79">
        <v>46192.352942592595</v>
      </c>
      <c r="X721" s="77" t="s">
        <v>217</v>
      </c>
      <c r="Y721" s="78" t="s">
        <v>88</v>
      </c>
      <c r="AA721" s="77" t="s">
        <v>191</v>
      </c>
      <c r="AB721" s="77" t="s">
        <v>78</v>
      </c>
      <c r="AC721" s="77" t="s">
        <v>114</v>
      </c>
      <c r="AD721" s="77" t="s">
        <v>91</v>
      </c>
      <c r="AE721" s="77" t="s">
        <v>3078</v>
      </c>
      <c r="AF721" s="77" t="s">
        <v>2706</v>
      </c>
      <c r="AG721" s="77" t="s">
        <v>112</v>
      </c>
    </row>
    <row r="722" spans="1:33" hidden="1" x14ac:dyDescent="0.3">
      <c r="A722" s="77" t="s">
        <v>3259</v>
      </c>
      <c r="B722" s="77" t="s">
        <v>709</v>
      </c>
      <c r="G722" s="77" t="s">
        <v>3077</v>
      </c>
      <c r="H722" s="77" t="s">
        <v>77</v>
      </c>
      <c r="I722" s="77" t="s">
        <v>78</v>
      </c>
      <c r="J722" s="77" t="s">
        <v>3039</v>
      </c>
      <c r="K722" s="77" t="s">
        <v>80</v>
      </c>
      <c r="L722" s="77" t="s">
        <v>215</v>
      </c>
      <c r="M722" s="77" t="s">
        <v>82</v>
      </c>
      <c r="N722" s="77" t="s">
        <v>83</v>
      </c>
      <c r="Q722" s="77" t="s">
        <v>111</v>
      </c>
      <c r="T722" s="77" t="s">
        <v>112</v>
      </c>
      <c r="U722" s="77" t="s">
        <v>85</v>
      </c>
      <c r="V722" s="77" t="s">
        <v>216</v>
      </c>
      <c r="W722" s="79">
        <v>46192.352991585649</v>
      </c>
      <c r="X722" s="77" t="s">
        <v>217</v>
      </c>
      <c r="Y722" s="78" t="s">
        <v>88</v>
      </c>
      <c r="AA722" s="77" t="s">
        <v>191</v>
      </c>
      <c r="AB722" s="77" t="s">
        <v>78</v>
      </c>
      <c r="AC722" s="77" t="s">
        <v>114</v>
      </c>
      <c r="AD722" s="77" t="s">
        <v>91</v>
      </c>
      <c r="AE722" s="77" t="s">
        <v>3078</v>
      </c>
      <c r="AF722" s="77" t="s">
        <v>2706</v>
      </c>
      <c r="AG722" s="77" t="s">
        <v>112</v>
      </c>
    </row>
    <row r="723" spans="1:33" hidden="1" x14ac:dyDescent="0.3">
      <c r="A723" s="77" t="s">
        <v>3260</v>
      </c>
      <c r="B723" s="77" t="s">
        <v>711</v>
      </c>
      <c r="G723" s="77" t="s">
        <v>3077</v>
      </c>
      <c r="H723" s="77" t="s">
        <v>77</v>
      </c>
      <c r="I723" s="77" t="s">
        <v>78</v>
      </c>
      <c r="J723" s="77" t="s">
        <v>3039</v>
      </c>
      <c r="K723" s="77" t="s">
        <v>80</v>
      </c>
      <c r="L723" s="77" t="s">
        <v>215</v>
      </c>
      <c r="M723" s="77" t="s">
        <v>82</v>
      </c>
      <c r="N723" s="77" t="s">
        <v>83</v>
      </c>
      <c r="Q723" s="77" t="s">
        <v>111</v>
      </c>
      <c r="T723" s="77" t="s">
        <v>112</v>
      </c>
      <c r="U723" s="77" t="s">
        <v>85</v>
      </c>
      <c r="V723" s="77" t="s">
        <v>216</v>
      </c>
      <c r="W723" s="79">
        <v>46192.353072685182</v>
      </c>
      <c r="X723" s="77" t="s">
        <v>217</v>
      </c>
      <c r="Y723" s="78" t="s">
        <v>88</v>
      </c>
      <c r="AA723" s="77" t="s">
        <v>191</v>
      </c>
      <c r="AB723" s="77" t="s">
        <v>78</v>
      </c>
      <c r="AC723" s="77" t="s">
        <v>114</v>
      </c>
      <c r="AD723" s="77" t="s">
        <v>91</v>
      </c>
      <c r="AE723" s="77" t="s">
        <v>3078</v>
      </c>
      <c r="AF723" s="77" t="s">
        <v>2706</v>
      </c>
      <c r="AG723" s="77" t="s">
        <v>112</v>
      </c>
    </row>
    <row r="724" spans="1:33" hidden="1" x14ac:dyDescent="0.3">
      <c r="A724" s="77" t="s">
        <v>3261</v>
      </c>
      <c r="B724" s="77" t="s">
        <v>713</v>
      </c>
      <c r="G724" s="77" t="s">
        <v>3077</v>
      </c>
      <c r="H724" s="77" t="s">
        <v>77</v>
      </c>
      <c r="I724" s="77" t="s">
        <v>78</v>
      </c>
      <c r="J724" s="77" t="s">
        <v>3039</v>
      </c>
      <c r="K724" s="77" t="s">
        <v>80</v>
      </c>
      <c r="L724" s="77" t="s">
        <v>215</v>
      </c>
      <c r="M724" s="77" t="s">
        <v>82</v>
      </c>
      <c r="N724" s="77" t="s">
        <v>83</v>
      </c>
      <c r="Q724" s="77" t="s">
        <v>111</v>
      </c>
      <c r="T724" s="77" t="s">
        <v>112</v>
      </c>
      <c r="U724" s="77" t="s">
        <v>85</v>
      </c>
      <c r="V724" s="77" t="s">
        <v>216</v>
      </c>
      <c r="W724" s="79">
        <v>46192.353165081018</v>
      </c>
      <c r="X724" s="77" t="s">
        <v>217</v>
      </c>
      <c r="Y724" s="78" t="s">
        <v>88</v>
      </c>
      <c r="AA724" s="77" t="s">
        <v>191</v>
      </c>
      <c r="AB724" s="77" t="s">
        <v>78</v>
      </c>
      <c r="AC724" s="77" t="s">
        <v>114</v>
      </c>
      <c r="AD724" s="77" t="s">
        <v>91</v>
      </c>
      <c r="AE724" s="77" t="s">
        <v>3078</v>
      </c>
      <c r="AF724" s="77" t="s">
        <v>2706</v>
      </c>
      <c r="AG724" s="77" t="s">
        <v>112</v>
      </c>
    </row>
    <row r="725" spans="1:33" hidden="1" x14ac:dyDescent="0.3">
      <c r="A725" s="77" t="s">
        <v>3262</v>
      </c>
      <c r="B725" s="77" t="s">
        <v>715</v>
      </c>
      <c r="G725" s="77" t="s">
        <v>3077</v>
      </c>
      <c r="H725" s="77" t="s">
        <v>77</v>
      </c>
      <c r="I725" s="77" t="s">
        <v>78</v>
      </c>
      <c r="J725" s="77" t="s">
        <v>3039</v>
      </c>
      <c r="K725" s="77" t="s">
        <v>80</v>
      </c>
      <c r="L725" s="77" t="s">
        <v>716</v>
      </c>
      <c r="M725" s="77" t="s">
        <v>82</v>
      </c>
      <c r="N725" s="77" t="s">
        <v>83</v>
      </c>
      <c r="Q725" s="77" t="s">
        <v>111</v>
      </c>
      <c r="T725" s="77" t="s">
        <v>112</v>
      </c>
      <c r="U725" s="77" t="s">
        <v>85</v>
      </c>
      <c r="V725" s="77" t="s">
        <v>216</v>
      </c>
      <c r="W725" s="79">
        <v>46192.186848807869</v>
      </c>
      <c r="X725" s="77" t="s">
        <v>217</v>
      </c>
      <c r="Y725" s="78" t="s">
        <v>88</v>
      </c>
      <c r="AA725" s="77" t="s">
        <v>191</v>
      </c>
      <c r="AB725" s="77" t="s">
        <v>78</v>
      </c>
      <c r="AC725" s="77" t="s">
        <v>114</v>
      </c>
      <c r="AD725" s="77" t="s">
        <v>91</v>
      </c>
      <c r="AE725" s="77" t="s">
        <v>3078</v>
      </c>
      <c r="AF725" s="77" t="s">
        <v>2706</v>
      </c>
      <c r="AG725" s="77" t="s">
        <v>112</v>
      </c>
    </row>
    <row r="726" spans="1:33" hidden="1" x14ac:dyDescent="0.3">
      <c r="A726" s="77" t="s">
        <v>3263</v>
      </c>
      <c r="B726" s="77" t="s">
        <v>718</v>
      </c>
      <c r="G726" s="77" t="s">
        <v>3077</v>
      </c>
      <c r="H726" s="77" t="s">
        <v>77</v>
      </c>
      <c r="I726" s="77" t="s">
        <v>78</v>
      </c>
      <c r="J726" s="77" t="s">
        <v>3039</v>
      </c>
      <c r="K726" s="77" t="s">
        <v>80</v>
      </c>
      <c r="L726" s="77" t="s">
        <v>719</v>
      </c>
      <c r="M726" s="77" t="s">
        <v>82</v>
      </c>
      <c r="N726" s="77" t="s">
        <v>83</v>
      </c>
      <c r="Q726" s="77" t="s">
        <v>111</v>
      </c>
      <c r="T726" s="77" t="s">
        <v>112</v>
      </c>
      <c r="U726" s="77" t="s">
        <v>85</v>
      </c>
      <c r="V726" s="77" t="s">
        <v>216</v>
      </c>
      <c r="W726" s="79">
        <v>46192.188671261574</v>
      </c>
      <c r="X726" s="77" t="s">
        <v>217</v>
      </c>
      <c r="Y726" s="78" t="s">
        <v>88</v>
      </c>
      <c r="AA726" s="77" t="s">
        <v>191</v>
      </c>
      <c r="AB726" s="77" t="s">
        <v>78</v>
      </c>
      <c r="AC726" s="77" t="s">
        <v>114</v>
      </c>
      <c r="AD726" s="77" t="s">
        <v>91</v>
      </c>
      <c r="AE726" s="77" t="s">
        <v>3078</v>
      </c>
      <c r="AF726" s="77" t="s">
        <v>2706</v>
      </c>
      <c r="AG726" s="77" t="s">
        <v>112</v>
      </c>
    </row>
    <row r="727" spans="1:33" hidden="1" x14ac:dyDescent="0.3">
      <c r="A727" s="77" t="s">
        <v>3264</v>
      </c>
      <c r="B727" s="77" t="s">
        <v>721</v>
      </c>
      <c r="G727" s="77" t="s">
        <v>3077</v>
      </c>
      <c r="H727" s="77" t="s">
        <v>77</v>
      </c>
      <c r="I727" s="77" t="s">
        <v>78</v>
      </c>
      <c r="J727" s="77" t="s">
        <v>3039</v>
      </c>
      <c r="K727" s="77" t="s">
        <v>80</v>
      </c>
      <c r="L727" s="77" t="s">
        <v>220</v>
      </c>
      <c r="M727" s="77" t="s">
        <v>82</v>
      </c>
      <c r="N727" s="77" t="s">
        <v>83</v>
      </c>
      <c r="Q727" s="77" t="s">
        <v>111</v>
      </c>
      <c r="T727" s="77" t="s">
        <v>112</v>
      </c>
      <c r="U727" s="77" t="s">
        <v>85</v>
      </c>
      <c r="V727" s="77" t="s">
        <v>221</v>
      </c>
      <c r="W727" s="79">
        <v>46214.395756944446</v>
      </c>
      <c r="X727" s="77" t="s">
        <v>222</v>
      </c>
      <c r="Y727" s="78" t="s">
        <v>101</v>
      </c>
      <c r="AA727" s="77" t="s">
        <v>191</v>
      </c>
      <c r="AB727" s="77" t="s">
        <v>78</v>
      </c>
      <c r="AC727" s="77" t="s">
        <v>114</v>
      </c>
      <c r="AD727" s="77" t="s">
        <v>102</v>
      </c>
      <c r="AE727" s="77" t="s">
        <v>3078</v>
      </c>
      <c r="AF727" s="77" t="s">
        <v>2706</v>
      </c>
      <c r="AG727" s="77" t="s">
        <v>112</v>
      </c>
    </row>
    <row r="728" spans="1:33" hidden="1" x14ac:dyDescent="0.3">
      <c r="A728" s="77" t="s">
        <v>3265</v>
      </c>
      <c r="B728" s="77" t="s">
        <v>723</v>
      </c>
      <c r="G728" s="77" t="s">
        <v>3077</v>
      </c>
      <c r="H728" s="77" t="s">
        <v>77</v>
      </c>
      <c r="I728" s="77" t="s">
        <v>78</v>
      </c>
      <c r="J728" s="77" t="s">
        <v>3039</v>
      </c>
      <c r="K728" s="77" t="s">
        <v>80</v>
      </c>
      <c r="L728" s="77" t="s">
        <v>220</v>
      </c>
      <c r="M728" s="77" t="s">
        <v>82</v>
      </c>
      <c r="N728" s="77" t="s">
        <v>83</v>
      </c>
      <c r="Q728" s="77" t="s">
        <v>111</v>
      </c>
      <c r="T728" s="77" t="s">
        <v>112</v>
      </c>
      <c r="U728" s="77" t="s">
        <v>85</v>
      </c>
      <c r="V728" s="77" t="s">
        <v>221</v>
      </c>
      <c r="W728" s="79">
        <v>46214.397096377317</v>
      </c>
      <c r="X728" s="77" t="s">
        <v>222</v>
      </c>
      <c r="Y728" s="78" t="s">
        <v>101</v>
      </c>
      <c r="AA728" s="77" t="s">
        <v>191</v>
      </c>
      <c r="AB728" s="77" t="s">
        <v>78</v>
      </c>
      <c r="AC728" s="77" t="s">
        <v>114</v>
      </c>
      <c r="AD728" s="77" t="s">
        <v>102</v>
      </c>
      <c r="AE728" s="77" t="s">
        <v>3078</v>
      </c>
      <c r="AF728" s="77" t="s">
        <v>2706</v>
      </c>
      <c r="AG728" s="77" t="s">
        <v>112</v>
      </c>
    </row>
    <row r="729" spans="1:33" hidden="1" x14ac:dyDescent="0.3">
      <c r="A729" s="77" t="s">
        <v>3266</v>
      </c>
      <c r="B729" s="77" t="s">
        <v>725</v>
      </c>
      <c r="G729" s="77" t="s">
        <v>3077</v>
      </c>
      <c r="H729" s="77" t="s">
        <v>77</v>
      </c>
      <c r="I729" s="77" t="s">
        <v>78</v>
      </c>
      <c r="J729" s="77" t="s">
        <v>3039</v>
      </c>
      <c r="K729" s="77" t="s">
        <v>80</v>
      </c>
      <c r="L729" s="77" t="s">
        <v>220</v>
      </c>
      <c r="M729" s="77" t="s">
        <v>82</v>
      </c>
      <c r="N729" s="77" t="s">
        <v>83</v>
      </c>
      <c r="Q729" s="77" t="s">
        <v>111</v>
      </c>
      <c r="T729" s="77" t="s">
        <v>112</v>
      </c>
      <c r="U729" s="77" t="s">
        <v>85</v>
      </c>
      <c r="V729" s="77" t="s">
        <v>221</v>
      </c>
      <c r="W729" s="79">
        <v>46214.398471990738</v>
      </c>
      <c r="X729" s="77" t="s">
        <v>222</v>
      </c>
      <c r="Y729" s="78" t="s">
        <v>101</v>
      </c>
      <c r="AA729" s="77" t="s">
        <v>191</v>
      </c>
      <c r="AB729" s="77" t="s">
        <v>78</v>
      </c>
      <c r="AC729" s="77" t="s">
        <v>114</v>
      </c>
      <c r="AD729" s="77" t="s">
        <v>102</v>
      </c>
      <c r="AE729" s="77" t="s">
        <v>3078</v>
      </c>
      <c r="AF729" s="77" t="s">
        <v>2706</v>
      </c>
      <c r="AG729" s="77" t="s">
        <v>112</v>
      </c>
    </row>
    <row r="730" spans="1:33" hidden="1" x14ac:dyDescent="0.3">
      <c r="A730" s="77" t="s">
        <v>3267</v>
      </c>
      <c r="B730" s="77" t="s">
        <v>727</v>
      </c>
      <c r="G730" s="77" t="s">
        <v>3077</v>
      </c>
      <c r="H730" s="77" t="s">
        <v>77</v>
      </c>
      <c r="I730" s="77" t="s">
        <v>78</v>
      </c>
      <c r="J730" s="77" t="s">
        <v>3039</v>
      </c>
      <c r="K730" s="77" t="s">
        <v>80</v>
      </c>
      <c r="L730" s="77" t="s">
        <v>220</v>
      </c>
      <c r="M730" s="77" t="s">
        <v>82</v>
      </c>
      <c r="N730" s="77" t="s">
        <v>83</v>
      </c>
      <c r="Q730" s="77" t="s">
        <v>111</v>
      </c>
      <c r="T730" s="77" t="s">
        <v>112</v>
      </c>
      <c r="U730" s="77" t="s">
        <v>85</v>
      </c>
      <c r="V730" s="77" t="s">
        <v>221</v>
      </c>
      <c r="W730" s="79">
        <v>46214.401347453706</v>
      </c>
      <c r="X730" s="77" t="s">
        <v>222</v>
      </c>
      <c r="Y730" s="78" t="s">
        <v>101</v>
      </c>
      <c r="AA730" s="77" t="s">
        <v>191</v>
      </c>
      <c r="AB730" s="77" t="s">
        <v>78</v>
      </c>
      <c r="AC730" s="77" t="s">
        <v>114</v>
      </c>
      <c r="AD730" s="77" t="s">
        <v>102</v>
      </c>
      <c r="AE730" s="77" t="s">
        <v>3078</v>
      </c>
      <c r="AF730" s="77" t="s">
        <v>2706</v>
      </c>
      <c r="AG730" s="77" t="s">
        <v>112</v>
      </c>
    </row>
    <row r="731" spans="1:33" x14ac:dyDescent="0.3">
      <c r="A731" s="77" t="s">
        <v>3268</v>
      </c>
      <c r="B731" s="77" t="s">
        <v>729</v>
      </c>
      <c r="G731" s="77" t="s">
        <v>3077</v>
      </c>
      <c r="H731" s="77" t="s">
        <v>77</v>
      </c>
      <c r="I731" s="77" t="s">
        <v>78</v>
      </c>
      <c r="J731" s="77" t="s">
        <v>3039</v>
      </c>
      <c r="K731" s="77" t="s">
        <v>80</v>
      </c>
      <c r="L731" s="77" t="s">
        <v>730</v>
      </c>
      <c r="M731" s="77" t="s">
        <v>82</v>
      </c>
      <c r="N731" s="77" t="s">
        <v>83</v>
      </c>
      <c r="Q731" s="77" t="s">
        <v>111</v>
      </c>
      <c r="T731" s="77" t="s">
        <v>112</v>
      </c>
      <c r="U731" s="77" t="s">
        <v>85</v>
      </c>
      <c r="V731" s="80" t="s">
        <v>221</v>
      </c>
      <c r="X731" s="77" t="s">
        <v>222</v>
      </c>
      <c r="Y731" s="78" t="s">
        <v>101</v>
      </c>
      <c r="AA731" s="77" t="s">
        <v>191</v>
      </c>
      <c r="AB731" s="77" t="s">
        <v>78</v>
      </c>
      <c r="AC731" s="77" t="s">
        <v>90</v>
      </c>
      <c r="AD731" s="77" t="s">
        <v>102</v>
      </c>
      <c r="AE731" s="77" t="s">
        <v>3078</v>
      </c>
      <c r="AG731" s="77" t="s">
        <v>112</v>
      </c>
    </row>
    <row r="732" spans="1:33" x14ac:dyDescent="0.3">
      <c r="A732" s="77" t="s">
        <v>3269</v>
      </c>
      <c r="B732" s="77" t="s">
        <v>732</v>
      </c>
      <c r="G732" s="77" t="s">
        <v>3077</v>
      </c>
      <c r="H732" s="77" t="s">
        <v>77</v>
      </c>
      <c r="I732" s="77" t="s">
        <v>78</v>
      </c>
      <c r="J732" s="77" t="s">
        <v>3039</v>
      </c>
      <c r="K732" s="77" t="s">
        <v>80</v>
      </c>
      <c r="L732" s="77" t="s">
        <v>733</v>
      </c>
      <c r="M732" s="77" t="s">
        <v>82</v>
      </c>
      <c r="N732" s="77" t="s">
        <v>83</v>
      </c>
      <c r="Q732" s="77" t="s">
        <v>111</v>
      </c>
      <c r="T732" s="77" t="s">
        <v>112</v>
      </c>
      <c r="U732" s="77" t="s">
        <v>85</v>
      </c>
      <c r="V732" s="80" t="s">
        <v>221</v>
      </c>
      <c r="X732" s="77" t="s">
        <v>222</v>
      </c>
      <c r="Y732" s="78" t="s">
        <v>101</v>
      </c>
      <c r="AA732" s="77" t="s">
        <v>191</v>
      </c>
      <c r="AB732" s="77" t="s">
        <v>78</v>
      </c>
      <c r="AC732" s="77" t="s">
        <v>90</v>
      </c>
      <c r="AD732" s="77" t="s">
        <v>102</v>
      </c>
      <c r="AE732" s="77" t="s">
        <v>3078</v>
      </c>
      <c r="AG732" s="77" t="s">
        <v>112</v>
      </c>
    </row>
    <row r="733" spans="1:33" x14ac:dyDescent="0.3">
      <c r="A733" s="77" t="s">
        <v>3270</v>
      </c>
      <c r="B733" s="77" t="s">
        <v>735</v>
      </c>
      <c r="G733" s="77" t="s">
        <v>3077</v>
      </c>
      <c r="H733" s="77" t="s">
        <v>77</v>
      </c>
      <c r="I733" s="77" t="s">
        <v>78</v>
      </c>
      <c r="J733" s="77" t="s">
        <v>3039</v>
      </c>
      <c r="K733" s="77" t="s">
        <v>80</v>
      </c>
      <c r="L733" s="77" t="s">
        <v>225</v>
      </c>
      <c r="M733" s="77" t="s">
        <v>82</v>
      </c>
      <c r="N733" s="77" t="s">
        <v>83</v>
      </c>
      <c r="Q733" s="77" t="s">
        <v>111</v>
      </c>
      <c r="T733" s="77" t="s">
        <v>112</v>
      </c>
      <c r="U733" s="77" t="s">
        <v>85</v>
      </c>
      <c r="V733" s="80" t="s">
        <v>226</v>
      </c>
      <c r="X733" s="77" t="s">
        <v>227</v>
      </c>
      <c r="Y733" s="78" t="s">
        <v>101</v>
      </c>
      <c r="AA733" s="77" t="s">
        <v>191</v>
      </c>
      <c r="AB733" s="77" t="s">
        <v>78</v>
      </c>
      <c r="AC733" s="77" t="s">
        <v>90</v>
      </c>
      <c r="AD733" s="77" t="s">
        <v>102</v>
      </c>
      <c r="AE733" s="77" t="s">
        <v>3078</v>
      </c>
      <c r="AG733" s="77" t="s">
        <v>112</v>
      </c>
    </row>
    <row r="734" spans="1:33" x14ac:dyDescent="0.3">
      <c r="A734" s="77" t="s">
        <v>3271</v>
      </c>
      <c r="B734" s="77" t="s">
        <v>737</v>
      </c>
      <c r="G734" s="77" t="s">
        <v>3077</v>
      </c>
      <c r="H734" s="77" t="s">
        <v>77</v>
      </c>
      <c r="I734" s="77" t="s">
        <v>78</v>
      </c>
      <c r="J734" s="77" t="s">
        <v>3039</v>
      </c>
      <c r="K734" s="77" t="s">
        <v>80</v>
      </c>
      <c r="L734" s="77" t="s">
        <v>225</v>
      </c>
      <c r="M734" s="77" t="s">
        <v>82</v>
      </c>
      <c r="N734" s="77" t="s">
        <v>83</v>
      </c>
      <c r="Q734" s="77" t="s">
        <v>111</v>
      </c>
      <c r="T734" s="77" t="s">
        <v>112</v>
      </c>
      <c r="U734" s="77" t="s">
        <v>85</v>
      </c>
      <c r="V734" s="80" t="s">
        <v>226</v>
      </c>
      <c r="X734" s="77" t="s">
        <v>227</v>
      </c>
      <c r="Y734" s="78" t="s">
        <v>101</v>
      </c>
      <c r="AA734" s="77" t="s">
        <v>191</v>
      </c>
      <c r="AB734" s="77" t="s">
        <v>78</v>
      </c>
      <c r="AC734" s="77" t="s">
        <v>90</v>
      </c>
      <c r="AD734" s="77" t="s">
        <v>102</v>
      </c>
      <c r="AE734" s="77" t="s">
        <v>3078</v>
      </c>
      <c r="AG734" s="77" t="s">
        <v>112</v>
      </c>
    </row>
    <row r="735" spans="1:33" x14ac:dyDescent="0.3">
      <c r="A735" s="77" t="s">
        <v>3272</v>
      </c>
      <c r="B735" s="77" t="s">
        <v>739</v>
      </c>
      <c r="G735" s="77" t="s">
        <v>3077</v>
      </c>
      <c r="H735" s="77" t="s">
        <v>77</v>
      </c>
      <c r="I735" s="77" t="s">
        <v>78</v>
      </c>
      <c r="J735" s="77" t="s">
        <v>3039</v>
      </c>
      <c r="K735" s="77" t="s">
        <v>80</v>
      </c>
      <c r="L735" s="77" t="s">
        <v>225</v>
      </c>
      <c r="M735" s="77" t="s">
        <v>82</v>
      </c>
      <c r="N735" s="77" t="s">
        <v>83</v>
      </c>
      <c r="Q735" s="77" t="s">
        <v>111</v>
      </c>
      <c r="T735" s="77" t="s">
        <v>112</v>
      </c>
      <c r="U735" s="77" t="s">
        <v>85</v>
      </c>
      <c r="V735" s="80" t="s">
        <v>226</v>
      </c>
      <c r="X735" s="77" t="s">
        <v>227</v>
      </c>
      <c r="Y735" s="78" t="s">
        <v>101</v>
      </c>
      <c r="AA735" s="77" t="s">
        <v>191</v>
      </c>
      <c r="AB735" s="77" t="s">
        <v>78</v>
      </c>
      <c r="AC735" s="77" t="s">
        <v>90</v>
      </c>
      <c r="AD735" s="77" t="s">
        <v>102</v>
      </c>
      <c r="AE735" s="77" t="s">
        <v>3078</v>
      </c>
      <c r="AG735" s="77" t="s">
        <v>112</v>
      </c>
    </row>
    <row r="736" spans="1:33" x14ac:dyDescent="0.3">
      <c r="A736" s="77" t="s">
        <v>3273</v>
      </c>
      <c r="B736" s="77" t="s">
        <v>741</v>
      </c>
      <c r="G736" s="77" t="s">
        <v>3077</v>
      </c>
      <c r="H736" s="77" t="s">
        <v>77</v>
      </c>
      <c r="I736" s="77" t="s">
        <v>78</v>
      </c>
      <c r="J736" s="77" t="s">
        <v>3039</v>
      </c>
      <c r="K736" s="77" t="s">
        <v>80</v>
      </c>
      <c r="L736" s="77" t="s">
        <v>225</v>
      </c>
      <c r="M736" s="77" t="s">
        <v>82</v>
      </c>
      <c r="N736" s="77" t="s">
        <v>83</v>
      </c>
      <c r="Q736" s="77" t="s">
        <v>111</v>
      </c>
      <c r="T736" s="77" t="s">
        <v>112</v>
      </c>
      <c r="U736" s="77" t="s">
        <v>85</v>
      </c>
      <c r="V736" s="80" t="s">
        <v>226</v>
      </c>
      <c r="X736" s="77" t="s">
        <v>227</v>
      </c>
      <c r="Y736" s="78" t="s">
        <v>101</v>
      </c>
      <c r="AA736" s="77" t="s">
        <v>191</v>
      </c>
      <c r="AB736" s="77" t="s">
        <v>78</v>
      </c>
      <c r="AC736" s="77" t="s">
        <v>90</v>
      </c>
      <c r="AD736" s="77" t="s">
        <v>102</v>
      </c>
      <c r="AE736" s="77" t="s">
        <v>3078</v>
      </c>
      <c r="AG736" s="77" t="s">
        <v>112</v>
      </c>
    </row>
    <row r="737" spans="1:33" hidden="1" x14ac:dyDescent="0.3">
      <c r="A737" s="77" t="s">
        <v>3274</v>
      </c>
      <c r="B737" s="77" t="s">
        <v>743</v>
      </c>
      <c r="G737" s="77" t="s">
        <v>3077</v>
      </c>
      <c r="H737" s="77" t="s">
        <v>77</v>
      </c>
      <c r="I737" s="77" t="s">
        <v>78</v>
      </c>
      <c r="J737" s="77" t="s">
        <v>3039</v>
      </c>
      <c r="K737" s="77" t="s">
        <v>80</v>
      </c>
      <c r="L737" s="77" t="s">
        <v>744</v>
      </c>
      <c r="M737" s="77" t="s">
        <v>82</v>
      </c>
      <c r="N737" s="77" t="s">
        <v>83</v>
      </c>
      <c r="Q737" s="77" t="s">
        <v>111</v>
      </c>
      <c r="T737" s="77" t="s">
        <v>112</v>
      </c>
      <c r="U737" s="77" t="s">
        <v>85</v>
      </c>
      <c r="V737" s="77" t="s">
        <v>226</v>
      </c>
      <c r="W737" s="79">
        <v>46192.189444560187</v>
      </c>
      <c r="X737" s="77" t="s">
        <v>227</v>
      </c>
      <c r="Y737" s="78" t="s">
        <v>101</v>
      </c>
      <c r="AA737" s="77" t="s">
        <v>191</v>
      </c>
      <c r="AB737" s="77" t="s">
        <v>78</v>
      </c>
      <c r="AC737" s="77" t="s">
        <v>114</v>
      </c>
      <c r="AD737" s="77" t="s">
        <v>102</v>
      </c>
      <c r="AE737" s="77" t="s">
        <v>3078</v>
      </c>
      <c r="AF737" s="77" t="s">
        <v>2706</v>
      </c>
      <c r="AG737" s="77" t="s">
        <v>112</v>
      </c>
    </row>
    <row r="738" spans="1:33" x14ac:dyDescent="0.3">
      <c r="A738" s="77" t="s">
        <v>3275</v>
      </c>
      <c r="B738" s="77" t="s">
        <v>746</v>
      </c>
      <c r="G738" s="77" t="s">
        <v>3077</v>
      </c>
      <c r="H738" s="77" t="s">
        <v>77</v>
      </c>
      <c r="I738" s="77" t="s">
        <v>78</v>
      </c>
      <c r="J738" s="77" t="s">
        <v>3039</v>
      </c>
      <c r="K738" s="77" t="s">
        <v>80</v>
      </c>
      <c r="L738" s="77" t="s">
        <v>747</v>
      </c>
      <c r="M738" s="77" t="s">
        <v>82</v>
      </c>
      <c r="N738" s="77" t="s">
        <v>83</v>
      </c>
      <c r="Q738" s="77" t="s">
        <v>111</v>
      </c>
      <c r="T738" s="77" t="s">
        <v>112</v>
      </c>
      <c r="U738" s="77" t="s">
        <v>85</v>
      </c>
      <c r="V738" s="80" t="s">
        <v>226</v>
      </c>
      <c r="X738" s="77" t="s">
        <v>227</v>
      </c>
      <c r="Y738" s="78" t="s">
        <v>101</v>
      </c>
      <c r="AA738" s="77" t="s">
        <v>191</v>
      </c>
      <c r="AB738" s="77" t="s">
        <v>78</v>
      </c>
      <c r="AC738" s="77" t="s">
        <v>90</v>
      </c>
      <c r="AD738" s="77" t="s">
        <v>102</v>
      </c>
      <c r="AE738" s="77" t="s">
        <v>3078</v>
      </c>
      <c r="AG738" s="77" t="s">
        <v>112</v>
      </c>
    </row>
    <row r="739" spans="1:33" hidden="1" x14ac:dyDescent="0.3">
      <c r="A739" s="77" t="s">
        <v>3276</v>
      </c>
      <c r="B739" s="77" t="s">
        <v>749</v>
      </c>
      <c r="G739" s="77" t="s">
        <v>3077</v>
      </c>
      <c r="H739" s="77" t="s">
        <v>77</v>
      </c>
      <c r="I739" s="77" t="s">
        <v>78</v>
      </c>
      <c r="J739" s="77" t="s">
        <v>3039</v>
      </c>
      <c r="K739" s="77" t="s">
        <v>80</v>
      </c>
      <c r="L739" s="77" t="s">
        <v>750</v>
      </c>
      <c r="M739" s="77" t="s">
        <v>82</v>
      </c>
      <c r="N739" s="77" t="s">
        <v>83</v>
      </c>
      <c r="Q739" s="77" t="s">
        <v>111</v>
      </c>
      <c r="T739" s="77" t="s">
        <v>112</v>
      </c>
      <c r="U739" s="77" t="s">
        <v>85</v>
      </c>
      <c r="V739" s="77" t="s">
        <v>231</v>
      </c>
      <c r="W739" s="79">
        <v>46192.189323530096</v>
      </c>
      <c r="X739" s="77" t="s">
        <v>232</v>
      </c>
      <c r="Y739" s="78" t="s">
        <v>88</v>
      </c>
      <c r="AA739" s="77" t="s">
        <v>191</v>
      </c>
      <c r="AB739" s="77" t="s">
        <v>78</v>
      </c>
      <c r="AC739" s="77" t="s">
        <v>114</v>
      </c>
      <c r="AD739" s="77" t="s">
        <v>91</v>
      </c>
      <c r="AE739" s="77" t="s">
        <v>3078</v>
      </c>
      <c r="AF739" s="77" t="s">
        <v>2706</v>
      </c>
      <c r="AG739" s="77" t="s">
        <v>112</v>
      </c>
    </row>
    <row r="740" spans="1:33" hidden="1" x14ac:dyDescent="0.3">
      <c r="A740" s="77" t="s">
        <v>3277</v>
      </c>
      <c r="B740" s="77" t="s">
        <v>752</v>
      </c>
      <c r="G740" s="77" t="s">
        <v>3077</v>
      </c>
      <c r="H740" s="77" t="s">
        <v>77</v>
      </c>
      <c r="I740" s="77" t="s">
        <v>78</v>
      </c>
      <c r="J740" s="77" t="s">
        <v>3039</v>
      </c>
      <c r="K740" s="77" t="s">
        <v>80</v>
      </c>
      <c r="L740" s="77" t="s">
        <v>753</v>
      </c>
      <c r="M740" s="77" t="s">
        <v>82</v>
      </c>
      <c r="N740" s="77" t="s">
        <v>83</v>
      </c>
      <c r="Q740" s="77" t="s">
        <v>111</v>
      </c>
      <c r="T740" s="77" t="s">
        <v>112</v>
      </c>
      <c r="U740" s="77" t="s">
        <v>85</v>
      </c>
      <c r="V740" s="77" t="s">
        <v>231</v>
      </c>
      <c r="W740" s="79">
        <v>46192.189248229166</v>
      </c>
      <c r="X740" s="77" t="s">
        <v>232</v>
      </c>
      <c r="Y740" s="78" t="s">
        <v>88</v>
      </c>
      <c r="AA740" s="77" t="s">
        <v>191</v>
      </c>
      <c r="AB740" s="77" t="s">
        <v>78</v>
      </c>
      <c r="AC740" s="77" t="s">
        <v>114</v>
      </c>
      <c r="AD740" s="77" t="s">
        <v>91</v>
      </c>
      <c r="AE740" s="77" t="s">
        <v>3078</v>
      </c>
      <c r="AF740" s="77" t="s">
        <v>2706</v>
      </c>
      <c r="AG740" s="77" t="s">
        <v>112</v>
      </c>
    </row>
    <row r="741" spans="1:33" hidden="1" x14ac:dyDescent="0.3">
      <c r="A741" s="77" t="s">
        <v>3278</v>
      </c>
      <c r="B741" s="77" t="s">
        <v>755</v>
      </c>
      <c r="G741" s="77" t="s">
        <v>3077</v>
      </c>
      <c r="H741" s="77" t="s">
        <v>77</v>
      </c>
      <c r="I741" s="77" t="s">
        <v>78</v>
      </c>
      <c r="J741" s="77" t="s">
        <v>3039</v>
      </c>
      <c r="K741" s="77" t="s">
        <v>80</v>
      </c>
      <c r="L741" s="77" t="s">
        <v>230</v>
      </c>
      <c r="M741" s="77" t="s">
        <v>82</v>
      </c>
      <c r="N741" s="77" t="s">
        <v>83</v>
      </c>
      <c r="Q741" s="77" t="s">
        <v>111</v>
      </c>
      <c r="T741" s="77" t="s">
        <v>112</v>
      </c>
      <c r="U741" s="77" t="s">
        <v>85</v>
      </c>
      <c r="V741" s="77" t="s">
        <v>231</v>
      </c>
      <c r="W741" s="79">
        <v>46192.179007025465</v>
      </c>
      <c r="X741" s="77" t="s">
        <v>232</v>
      </c>
      <c r="Y741" s="78" t="s">
        <v>88</v>
      </c>
      <c r="AA741" s="77" t="s">
        <v>191</v>
      </c>
      <c r="AB741" s="77" t="s">
        <v>78</v>
      </c>
      <c r="AC741" s="77" t="s">
        <v>114</v>
      </c>
      <c r="AD741" s="77" t="s">
        <v>91</v>
      </c>
      <c r="AE741" s="77" t="s">
        <v>3078</v>
      </c>
      <c r="AF741" s="77" t="s">
        <v>2706</v>
      </c>
      <c r="AG741" s="77" t="s">
        <v>112</v>
      </c>
    </row>
    <row r="742" spans="1:33" hidden="1" x14ac:dyDescent="0.3">
      <c r="A742" s="77" t="s">
        <v>3279</v>
      </c>
      <c r="B742" s="77" t="s">
        <v>757</v>
      </c>
      <c r="G742" s="77" t="s">
        <v>3077</v>
      </c>
      <c r="H742" s="77" t="s">
        <v>77</v>
      </c>
      <c r="I742" s="77" t="s">
        <v>78</v>
      </c>
      <c r="J742" s="77" t="s">
        <v>3039</v>
      </c>
      <c r="K742" s="77" t="s">
        <v>80</v>
      </c>
      <c r="L742" s="77" t="s">
        <v>230</v>
      </c>
      <c r="M742" s="77" t="s">
        <v>82</v>
      </c>
      <c r="N742" s="77" t="s">
        <v>83</v>
      </c>
      <c r="Q742" s="77" t="s">
        <v>111</v>
      </c>
      <c r="T742" s="77" t="s">
        <v>112</v>
      </c>
      <c r="U742" s="77" t="s">
        <v>85</v>
      </c>
      <c r="V742" s="77" t="s">
        <v>231</v>
      </c>
      <c r="W742" s="79">
        <v>46192.180446874998</v>
      </c>
      <c r="X742" s="77" t="s">
        <v>232</v>
      </c>
      <c r="Y742" s="78" t="s">
        <v>88</v>
      </c>
      <c r="AA742" s="77" t="s">
        <v>191</v>
      </c>
      <c r="AB742" s="77" t="s">
        <v>78</v>
      </c>
      <c r="AC742" s="77" t="s">
        <v>114</v>
      </c>
      <c r="AD742" s="77" t="s">
        <v>91</v>
      </c>
      <c r="AE742" s="77" t="s">
        <v>3078</v>
      </c>
      <c r="AF742" s="77" t="s">
        <v>2706</v>
      </c>
      <c r="AG742" s="77" t="s">
        <v>112</v>
      </c>
    </row>
    <row r="743" spans="1:33" hidden="1" x14ac:dyDescent="0.3">
      <c r="A743" s="77" t="s">
        <v>3280</v>
      </c>
      <c r="B743" s="77" t="s">
        <v>759</v>
      </c>
      <c r="G743" s="77" t="s">
        <v>3077</v>
      </c>
      <c r="H743" s="77" t="s">
        <v>77</v>
      </c>
      <c r="I743" s="77" t="s">
        <v>78</v>
      </c>
      <c r="J743" s="77" t="s">
        <v>3039</v>
      </c>
      <c r="K743" s="77" t="s">
        <v>80</v>
      </c>
      <c r="L743" s="77" t="s">
        <v>230</v>
      </c>
      <c r="M743" s="77" t="s">
        <v>82</v>
      </c>
      <c r="N743" s="77" t="s">
        <v>83</v>
      </c>
      <c r="Q743" s="77" t="s">
        <v>111</v>
      </c>
      <c r="T743" s="77" t="s">
        <v>112</v>
      </c>
      <c r="U743" s="77" t="s">
        <v>85</v>
      </c>
      <c r="V743" s="77" t="s">
        <v>231</v>
      </c>
      <c r="W743" s="79">
        <v>46192.180745254627</v>
      </c>
      <c r="X743" s="77" t="s">
        <v>232</v>
      </c>
      <c r="Y743" s="78" t="s">
        <v>88</v>
      </c>
      <c r="AA743" s="77" t="s">
        <v>191</v>
      </c>
      <c r="AB743" s="77" t="s">
        <v>78</v>
      </c>
      <c r="AC743" s="77" t="s">
        <v>114</v>
      </c>
      <c r="AD743" s="77" t="s">
        <v>91</v>
      </c>
      <c r="AE743" s="77" t="s">
        <v>3078</v>
      </c>
      <c r="AF743" s="77" t="s">
        <v>2706</v>
      </c>
      <c r="AG743" s="77" t="s">
        <v>112</v>
      </c>
    </row>
    <row r="744" spans="1:33" hidden="1" x14ac:dyDescent="0.3">
      <c r="A744" s="77" t="s">
        <v>3281</v>
      </c>
      <c r="B744" s="77" t="s">
        <v>761</v>
      </c>
      <c r="G744" s="77" t="s">
        <v>3077</v>
      </c>
      <c r="H744" s="77" t="s">
        <v>77</v>
      </c>
      <c r="I744" s="77" t="s">
        <v>78</v>
      </c>
      <c r="J744" s="77" t="s">
        <v>3039</v>
      </c>
      <c r="K744" s="77" t="s">
        <v>80</v>
      </c>
      <c r="L744" s="77" t="s">
        <v>230</v>
      </c>
      <c r="M744" s="77" t="s">
        <v>82</v>
      </c>
      <c r="N744" s="77" t="s">
        <v>83</v>
      </c>
      <c r="Q744" s="77" t="s">
        <v>111</v>
      </c>
      <c r="T744" s="77" t="s">
        <v>112</v>
      </c>
      <c r="U744" s="77" t="s">
        <v>85</v>
      </c>
      <c r="V744" s="77" t="s">
        <v>231</v>
      </c>
      <c r="W744" s="79">
        <v>46192.180826701391</v>
      </c>
      <c r="X744" s="77" t="s">
        <v>232</v>
      </c>
      <c r="Y744" s="78" t="s">
        <v>88</v>
      </c>
      <c r="AA744" s="77" t="s">
        <v>191</v>
      </c>
      <c r="AB744" s="77" t="s">
        <v>78</v>
      </c>
      <c r="AC744" s="77" t="s">
        <v>114</v>
      </c>
      <c r="AD744" s="77" t="s">
        <v>91</v>
      </c>
      <c r="AE744" s="77" t="s">
        <v>3078</v>
      </c>
      <c r="AF744" s="77" t="s">
        <v>2706</v>
      </c>
      <c r="AG744" s="77" t="s">
        <v>112</v>
      </c>
    </row>
    <row r="745" spans="1:33" hidden="1" x14ac:dyDescent="0.3">
      <c r="A745" s="77" t="s">
        <v>3282</v>
      </c>
      <c r="B745" s="77" t="s">
        <v>763</v>
      </c>
      <c r="G745" s="77" t="s">
        <v>3077</v>
      </c>
      <c r="H745" s="77" t="s">
        <v>77</v>
      </c>
      <c r="I745" s="77" t="s">
        <v>78</v>
      </c>
      <c r="J745" s="77" t="s">
        <v>3039</v>
      </c>
      <c r="K745" s="77" t="s">
        <v>80</v>
      </c>
      <c r="L745" s="77" t="s">
        <v>230</v>
      </c>
      <c r="M745" s="77" t="s">
        <v>82</v>
      </c>
      <c r="N745" s="77" t="s">
        <v>83</v>
      </c>
      <c r="Q745" s="77" t="s">
        <v>111</v>
      </c>
      <c r="T745" s="77" t="s">
        <v>112</v>
      </c>
      <c r="U745" s="77" t="s">
        <v>85</v>
      </c>
      <c r="V745" s="77" t="s">
        <v>231</v>
      </c>
      <c r="W745" s="79">
        <v>46192.18090806713</v>
      </c>
      <c r="X745" s="77" t="s">
        <v>232</v>
      </c>
      <c r="Y745" s="78" t="s">
        <v>88</v>
      </c>
      <c r="AA745" s="77" t="s">
        <v>191</v>
      </c>
      <c r="AB745" s="77" t="s">
        <v>78</v>
      </c>
      <c r="AC745" s="77" t="s">
        <v>114</v>
      </c>
      <c r="AD745" s="77" t="s">
        <v>91</v>
      </c>
      <c r="AE745" s="77" t="s">
        <v>3078</v>
      </c>
      <c r="AF745" s="77" t="s">
        <v>2706</v>
      </c>
      <c r="AG745" s="77" t="s">
        <v>112</v>
      </c>
    </row>
    <row r="746" spans="1:33" hidden="1" x14ac:dyDescent="0.3">
      <c r="A746" s="77" t="s">
        <v>3283</v>
      </c>
      <c r="B746" s="77" t="s">
        <v>765</v>
      </c>
      <c r="G746" s="77" t="s">
        <v>3077</v>
      </c>
      <c r="H746" s="77" t="s">
        <v>77</v>
      </c>
      <c r="I746" s="77" t="s">
        <v>78</v>
      </c>
      <c r="J746" s="77" t="s">
        <v>3039</v>
      </c>
      <c r="K746" s="77" t="s">
        <v>80</v>
      </c>
      <c r="L746" s="77" t="s">
        <v>230</v>
      </c>
      <c r="M746" s="77" t="s">
        <v>82</v>
      </c>
      <c r="N746" s="77" t="s">
        <v>83</v>
      </c>
      <c r="Q746" s="77" t="s">
        <v>111</v>
      </c>
      <c r="T746" s="77" t="s">
        <v>112</v>
      </c>
      <c r="U746" s="77" t="s">
        <v>85</v>
      </c>
      <c r="V746" s="77" t="s">
        <v>231</v>
      </c>
      <c r="W746" s="79">
        <v>46192.18097523148</v>
      </c>
      <c r="X746" s="77" t="s">
        <v>232</v>
      </c>
      <c r="Y746" s="78" t="s">
        <v>88</v>
      </c>
      <c r="AA746" s="77" t="s">
        <v>191</v>
      </c>
      <c r="AB746" s="77" t="s">
        <v>78</v>
      </c>
      <c r="AC746" s="77" t="s">
        <v>114</v>
      </c>
      <c r="AD746" s="77" t="s">
        <v>91</v>
      </c>
      <c r="AE746" s="77" t="s">
        <v>3078</v>
      </c>
      <c r="AF746" s="77" t="s">
        <v>2706</v>
      </c>
      <c r="AG746" s="77" t="s">
        <v>112</v>
      </c>
    </row>
    <row r="747" spans="1:33" hidden="1" x14ac:dyDescent="0.3">
      <c r="A747" s="77" t="s">
        <v>3284</v>
      </c>
      <c r="B747" s="77" t="s">
        <v>767</v>
      </c>
      <c r="G747" s="77" t="s">
        <v>3077</v>
      </c>
      <c r="H747" s="77" t="s">
        <v>77</v>
      </c>
      <c r="I747" s="77" t="s">
        <v>78</v>
      </c>
      <c r="J747" s="77" t="s">
        <v>3039</v>
      </c>
      <c r="K747" s="77" t="s">
        <v>80</v>
      </c>
      <c r="L747" s="77" t="s">
        <v>230</v>
      </c>
      <c r="M747" s="77" t="s">
        <v>82</v>
      </c>
      <c r="N747" s="77" t="s">
        <v>83</v>
      </c>
      <c r="Q747" s="77" t="s">
        <v>111</v>
      </c>
      <c r="T747" s="77" t="s">
        <v>112</v>
      </c>
      <c r="U747" s="77" t="s">
        <v>85</v>
      </c>
      <c r="V747" s="77" t="s">
        <v>231</v>
      </c>
      <c r="W747" s="79">
        <v>46192.181084953707</v>
      </c>
      <c r="X747" s="77" t="s">
        <v>232</v>
      </c>
      <c r="Y747" s="78" t="s">
        <v>88</v>
      </c>
      <c r="AA747" s="77" t="s">
        <v>191</v>
      </c>
      <c r="AB747" s="77" t="s">
        <v>78</v>
      </c>
      <c r="AC747" s="77" t="s">
        <v>114</v>
      </c>
      <c r="AD747" s="77" t="s">
        <v>91</v>
      </c>
      <c r="AE747" s="77" t="s">
        <v>3078</v>
      </c>
      <c r="AF747" s="77" t="s">
        <v>2706</v>
      </c>
      <c r="AG747" s="77" t="s">
        <v>112</v>
      </c>
    </row>
    <row r="748" spans="1:33" hidden="1" x14ac:dyDescent="0.3">
      <c r="A748" s="77" t="s">
        <v>3285</v>
      </c>
      <c r="B748" s="77" t="s">
        <v>769</v>
      </c>
      <c r="G748" s="77" t="s">
        <v>3077</v>
      </c>
      <c r="H748" s="77" t="s">
        <v>77</v>
      </c>
      <c r="I748" s="77" t="s">
        <v>78</v>
      </c>
      <c r="J748" s="77" t="s">
        <v>3039</v>
      </c>
      <c r="K748" s="77" t="s">
        <v>80</v>
      </c>
      <c r="L748" s="77" t="s">
        <v>230</v>
      </c>
      <c r="M748" s="77" t="s">
        <v>82</v>
      </c>
      <c r="N748" s="77" t="s">
        <v>83</v>
      </c>
      <c r="Q748" s="77" t="s">
        <v>111</v>
      </c>
      <c r="T748" s="77" t="s">
        <v>112</v>
      </c>
      <c r="U748" s="77" t="s">
        <v>85</v>
      </c>
      <c r="V748" s="77" t="s">
        <v>231</v>
      </c>
      <c r="W748" s="79">
        <v>46192.18053179398</v>
      </c>
      <c r="X748" s="77" t="s">
        <v>232</v>
      </c>
      <c r="Y748" s="78" t="s">
        <v>88</v>
      </c>
      <c r="AA748" s="77" t="s">
        <v>191</v>
      </c>
      <c r="AB748" s="77" t="s">
        <v>78</v>
      </c>
      <c r="AC748" s="77" t="s">
        <v>114</v>
      </c>
      <c r="AD748" s="77" t="s">
        <v>91</v>
      </c>
      <c r="AE748" s="77" t="s">
        <v>3078</v>
      </c>
      <c r="AF748" s="77" t="s">
        <v>2706</v>
      </c>
      <c r="AG748" s="77" t="s">
        <v>112</v>
      </c>
    </row>
    <row r="749" spans="1:33" hidden="1" x14ac:dyDescent="0.3">
      <c r="A749" s="77" t="s">
        <v>3286</v>
      </c>
      <c r="B749" s="77" t="s">
        <v>771</v>
      </c>
      <c r="G749" s="77" t="s">
        <v>3077</v>
      </c>
      <c r="H749" s="77" t="s">
        <v>77</v>
      </c>
      <c r="I749" s="77" t="s">
        <v>78</v>
      </c>
      <c r="J749" s="77" t="s">
        <v>3039</v>
      </c>
      <c r="K749" s="77" t="s">
        <v>80</v>
      </c>
      <c r="L749" s="77" t="s">
        <v>772</v>
      </c>
      <c r="M749" s="77" t="s">
        <v>82</v>
      </c>
      <c r="N749" s="77" t="s">
        <v>83</v>
      </c>
      <c r="Q749" s="77" t="s">
        <v>111</v>
      </c>
      <c r="T749" s="77" t="s">
        <v>112</v>
      </c>
      <c r="U749" s="77" t="s">
        <v>85</v>
      </c>
      <c r="V749" s="80" t="s">
        <v>365</v>
      </c>
      <c r="W749" s="79">
        <v>46192.201858715278</v>
      </c>
      <c r="X749" s="77" t="s">
        <v>366</v>
      </c>
      <c r="Y749" s="78" t="s">
        <v>88</v>
      </c>
      <c r="AA749" s="77" t="s">
        <v>191</v>
      </c>
      <c r="AB749" s="77" t="s">
        <v>78</v>
      </c>
      <c r="AC749" s="77" t="s">
        <v>114</v>
      </c>
      <c r="AD749" s="77" t="s">
        <v>91</v>
      </c>
      <c r="AE749" s="77" t="s">
        <v>3078</v>
      </c>
      <c r="AF749" s="77" t="s">
        <v>2706</v>
      </c>
      <c r="AG749" s="77" t="s">
        <v>112</v>
      </c>
    </row>
    <row r="750" spans="1:33" hidden="1" x14ac:dyDescent="0.3">
      <c r="A750" s="77" t="s">
        <v>3287</v>
      </c>
      <c r="B750" s="77" t="s">
        <v>774</v>
      </c>
      <c r="G750" s="77" t="s">
        <v>3077</v>
      </c>
      <c r="H750" s="77" t="s">
        <v>77</v>
      </c>
      <c r="I750" s="77" t="s">
        <v>78</v>
      </c>
      <c r="J750" s="77" t="s">
        <v>3039</v>
      </c>
      <c r="K750" s="77" t="s">
        <v>80</v>
      </c>
      <c r="L750" s="77" t="s">
        <v>775</v>
      </c>
      <c r="M750" s="77" t="s">
        <v>82</v>
      </c>
      <c r="N750" s="77" t="s">
        <v>83</v>
      </c>
      <c r="Q750" s="77" t="s">
        <v>111</v>
      </c>
      <c r="T750" s="77" t="s">
        <v>112</v>
      </c>
      <c r="U750" s="77" t="s">
        <v>85</v>
      </c>
      <c r="V750" s="77" t="s">
        <v>370</v>
      </c>
      <c r="W750" s="79">
        <v>46192.201907025461</v>
      </c>
      <c r="X750" s="77" t="s">
        <v>371</v>
      </c>
      <c r="Y750" s="78" t="s">
        <v>88</v>
      </c>
      <c r="AA750" s="77" t="s">
        <v>191</v>
      </c>
      <c r="AB750" s="77" t="s">
        <v>78</v>
      </c>
      <c r="AC750" s="77" t="s">
        <v>114</v>
      </c>
      <c r="AD750" s="77" t="s">
        <v>91</v>
      </c>
      <c r="AE750" s="77" t="s">
        <v>3078</v>
      </c>
      <c r="AF750" s="77" t="s">
        <v>2706</v>
      </c>
      <c r="AG750" s="77" t="s">
        <v>112</v>
      </c>
    </row>
    <row r="751" spans="1:33" x14ac:dyDescent="0.3">
      <c r="A751" s="77" t="s">
        <v>3288</v>
      </c>
      <c r="B751" s="77" t="s">
        <v>777</v>
      </c>
      <c r="G751" s="77" t="s">
        <v>3077</v>
      </c>
      <c r="H751" s="77" t="s">
        <v>77</v>
      </c>
      <c r="I751" s="77" t="s">
        <v>78</v>
      </c>
      <c r="J751" s="77" t="s">
        <v>3039</v>
      </c>
      <c r="K751" s="77" t="s">
        <v>80</v>
      </c>
      <c r="L751" s="77" t="s">
        <v>778</v>
      </c>
      <c r="M751" s="77" t="s">
        <v>82</v>
      </c>
      <c r="N751" s="77" t="s">
        <v>83</v>
      </c>
      <c r="Q751" s="77" t="s">
        <v>111</v>
      </c>
      <c r="T751" s="77" t="s">
        <v>112</v>
      </c>
      <c r="U751" s="77" t="s">
        <v>85</v>
      </c>
      <c r="V751" s="80" t="s">
        <v>375</v>
      </c>
      <c r="X751" s="77" t="s">
        <v>376</v>
      </c>
      <c r="Y751" s="78" t="s">
        <v>101</v>
      </c>
      <c r="AA751" s="77" t="s">
        <v>191</v>
      </c>
      <c r="AB751" s="77" t="s">
        <v>78</v>
      </c>
      <c r="AC751" s="77" t="s">
        <v>90</v>
      </c>
      <c r="AD751" s="77" t="s">
        <v>102</v>
      </c>
      <c r="AE751" s="77" t="s">
        <v>3078</v>
      </c>
      <c r="AG751" s="77" t="s">
        <v>112</v>
      </c>
    </row>
    <row r="752" spans="1:33" hidden="1" x14ac:dyDescent="0.3">
      <c r="A752" s="77" t="s">
        <v>3289</v>
      </c>
      <c r="B752" s="77" t="s">
        <v>780</v>
      </c>
      <c r="G752" s="77" t="s">
        <v>3077</v>
      </c>
      <c r="H752" s="77" t="s">
        <v>77</v>
      </c>
      <c r="I752" s="77" t="s">
        <v>78</v>
      </c>
      <c r="J752" s="77" t="s">
        <v>3039</v>
      </c>
      <c r="K752" s="77" t="s">
        <v>80</v>
      </c>
      <c r="L752" s="77" t="s">
        <v>781</v>
      </c>
      <c r="M752" s="77" t="s">
        <v>82</v>
      </c>
      <c r="N752" s="77" t="s">
        <v>83</v>
      </c>
      <c r="Q752" s="77" t="s">
        <v>111</v>
      </c>
      <c r="T752" s="77" t="s">
        <v>112</v>
      </c>
      <c r="U752" s="77" t="s">
        <v>85</v>
      </c>
      <c r="V752" s="77" t="s">
        <v>380</v>
      </c>
      <c r="W752" s="79">
        <v>46192.201716782409</v>
      </c>
      <c r="X752" s="77" t="s">
        <v>381</v>
      </c>
      <c r="Y752" s="78" t="s">
        <v>101</v>
      </c>
      <c r="AA752" s="77" t="s">
        <v>191</v>
      </c>
      <c r="AB752" s="77" t="s">
        <v>78</v>
      </c>
      <c r="AC752" s="77" t="s">
        <v>114</v>
      </c>
      <c r="AD752" s="77" t="s">
        <v>102</v>
      </c>
      <c r="AE752" s="77" t="s">
        <v>3078</v>
      </c>
      <c r="AF752" s="77" t="s">
        <v>2706</v>
      </c>
      <c r="AG752" s="77" t="s">
        <v>112</v>
      </c>
    </row>
    <row r="753" spans="1:33" hidden="1" x14ac:dyDescent="0.3">
      <c r="A753" s="77" t="s">
        <v>3290</v>
      </c>
      <c r="B753" s="77" t="s">
        <v>783</v>
      </c>
      <c r="G753" s="77" t="s">
        <v>3077</v>
      </c>
      <c r="H753" s="77" t="s">
        <v>77</v>
      </c>
      <c r="I753" s="77" t="s">
        <v>78</v>
      </c>
      <c r="J753" s="77" t="s">
        <v>3039</v>
      </c>
      <c r="K753" s="77" t="s">
        <v>80</v>
      </c>
      <c r="L753" s="77" t="s">
        <v>187</v>
      </c>
      <c r="M753" s="77" t="s">
        <v>82</v>
      </c>
      <c r="N753" s="77" t="s">
        <v>83</v>
      </c>
      <c r="Q753" s="77" t="s">
        <v>111</v>
      </c>
      <c r="T753" s="77" t="s">
        <v>112</v>
      </c>
      <c r="U753" s="77" t="s">
        <v>85</v>
      </c>
      <c r="V753" s="80" t="s">
        <v>189</v>
      </c>
      <c r="W753" s="79">
        <v>46192.357442939814</v>
      </c>
      <c r="X753" s="77" t="s">
        <v>190</v>
      </c>
      <c r="Y753" s="78" t="s">
        <v>88</v>
      </c>
      <c r="AA753" s="77" t="s">
        <v>191</v>
      </c>
      <c r="AB753" s="77" t="s">
        <v>78</v>
      </c>
      <c r="AC753" s="77" t="s">
        <v>114</v>
      </c>
      <c r="AD753" s="77" t="s">
        <v>91</v>
      </c>
      <c r="AE753" s="77" t="s">
        <v>3078</v>
      </c>
      <c r="AF753" s="77" t="s">
        <v>2706</v>
      </c>
      <c r="AG753" s="77" t="s">
        <v>112</v>
      </c>
    </row>
    <row r="754" spans="1:33" hidden="1" x14ac:dyDescent="0.3">
      <c r="A754" s="77" t="s">
        <v>3291</v>
      </c>
      <c r="B754" s="77" t="s">
        <v>785</v>
      </c>
      <c r="G754" s="77" t="s">
        <v>3077</v>
      </c>
      <c r="H754" s="77" t="s">
        <v>77</v>
      </c>
      <c r="I754" s="77" t="s">
        <v>78</v>
      </c>
      <c r="J754" s="77" t="s">
        <v>3039</v>
      </c>
      <c r="K754" s="77" t="s">
        <v>80</v>
      </c>
      <c r="L754" s="77" t="s">
        <v>786</v>
      </c>
      <c r="M754" s="77" t="s">
        <v>82</v>
      </c>
      <c r="N754" s="77" t="s">
        <v>83</v>
      </c>
      <c r="Q754" s="77" t="s">
        <v>111</v>
      </c>
      <c r="T754" s="77" t="s">
        <v>112</v>
      </c>
      <c r="U754" s="77" t="s">
        <v>85</v>
      </c>
      <c r="V754" s="80" t="s">
        <v>189</v>
      </c>
      <c r="W754" s="79">
        <v>46192.35511704861</v>
      </c>
      <c r="X754" s="77" t="s">
        <v>190</v>
      </c>
      <c r="Y754" s="78" t="s">
        <v>88</v>
      </c>
      <c r="AA754" s="77" t="s">
        <v>191</v>
      </c>
      <c r="AB754" s="77" t="s">
        <v>78</v>
      </c>
      <c r="AC754" s="77" t="s">
        <v>114</v>
      </c>
      <c r="AD754" s="77" t="s">
        <v>91</v>
      </c>
      <c r="AE754" s="77" t="s">
        <v>3078</v>
      </c>
      <c r="AF754" s="77" t="s">
        <v>2706</v>
      </c>
      <c r="AG754" s="77" t="s">
        <v>112</v>
      </c>
    </row>
    <row r="755" spans="1:33" hidden="1" x14ac:dyDescent="0.3">
      <c r="A755" s="77" t="s">
        <v>3292</v>
      </c>
      <c r="B755" s="77" t="s">
        <v>788</v>
      </c>
      <c r="G755" s="77" t="s">
        <v>3077</v>
      </c>
      <c r="H755" s="77" t="s">
        <v>77</v>
      </c>
      <c r="I755" s="77" t="s">
        <v>78</v>
      </c>
      <c r="J755" s="77" t="s">
        <v>3039</v>
      </c>
      <c r="K755" s="77" t="s">
        <v>80</v>
      </c>
      <c r="L755" s="77" t="s">
        <v>789</v>
      </c>
      <c r="M755" s="77" t="s">
        <v>82</v>
      </c>
      <c r="N755" s="77" t="s">
        <v>83</v>
      </c>
      <c r="Q755" s="77" t="s">
        <v>111</v>
      </c>
      <c r="T755" s="77" t="s">
        <v>112</v>
      </c>
      <c r="U755" s="77" t="s">
        <v>85</v>
      </c>
      <c r="V755" s="80" t="s">
        <v>189</v>
      </c>
      <c r="W755" s="79">
        <v>46192.355198067133</v>
      </c>
      <c r="X755" s="77" t="s">
        <v>190</v>
      </c>
      <c r="Y755" s="78" t="s">
        <v>88</v>
      </c>
      <c r="AA755" s="77" t="s">
        <v>191</v>
      </c>
      <c r="AB755" s="77" t="s">
        <v>78</v>
      </c>
      <c r="AC755" s="77" t="s">
        <v>114</v>
      </c>
      <c r="AD755" s="77" t="s">
        <v>91</v>
      </c>
      <c r="AE755" s="77" t="s">
        <v>3078</v>
      </c>
      <c r="AF755" s="77" t="s">
        <v>2706</v>
      </c>
      <c r="AG755" s="77" t="s">
        <v>112</v>
      </c>
    </row>
    <row r="756" spans="1:33" hidden="1" x14ac:dyDescent="0.3">
      <c r="A756" s="77" t="s">
        <v>3293</v>
      </c>
      <c r="B756" s="77" t="s">
        <v>791</v>
      </c>
      <c r="G756" s="77" t="s">
        <v>3077</v>
      </c>
      <c r="H756" s="77" t="s">
        <v>77</v>
      </c>
      <c r="I756" s="77" t="s">
        <v>78</v>
      </c>
      <c r="J756" s="77" t="s">
        <v>3039</v>
      </c>
      <c r="K756" s="77" t="s">
        <v>80</v>
      </c>
      <c r="L756" s="77" t="s">
        <v>195</v>
      </c>
      <c r="M756" s="77" t="s">
        <v>82</v>
      </c>
      <c r="N756" s="77" t="s">
        <v>83</v>
      </c>
      <c r="Q756" s="77" t="s">
        <v>111</v>
      </c>
      <c r="T756" s="77" t="s">
        <v>112</v>
      </c>
      <c r="U756" s="77" t="s">
        <v>85</v>
      </c>
      <c r="V756" s="77" t="s">
        <v>196</v>
      </c>
      <c r="W756" s="79">
        <v>46192.357493171294</v>
      </c>
      <c r="X756" s="77" t="s">
        <v>197</v>
      </c>
      <c r="Y756" s="78" t="s">
        <v>88</v>
      </c>
      <c r="AA756" s="77" t="s">
        <v>191</v>
      </c>
      <c r="AB756" s="77" t="s">
        <v>78</v>
      </c>
      <c r="AC756" s="77" t="s">
        <v>114</v>
      </c>
      <c r="AD756" s="77" t="s">
        <v>91</v>
      </c>
      <c r="AE756" s="77" t="s">
        <v>3078</v>
      </c>
      <c r="AF756" s="77" t="s">
        <v>2706</v>
      </c>
      <c r="AG756" s="77" t="s">
        <v>112</v>
      </c>
    </row>
    <row r="757" spans="1:33" hidden="1" x14ac:dyDescent="0.3">
      <c r="A757" s="77" t="s">
        <v>3294</v>
      </c>
      <c r="B757" s="77" t="s">
        <v>793</v>
      </c>
      <c r="G757" s="77" t="s">
        <v>3077</v>
      </c>
      <c r="H757" s="77" t="s">
        <v>77</v>
      </c>
      <c r="I757" s="77" t="s">
        <v>78</v>
      </c>
      <c r="J757" s="77" t="s">
        <v>3039</v>
      </c>
      <c r="K757" s="77" t="s">
        <v>80</v>
      </c>
      <c r="L757" s="77" t="s">
        <v>794</v>
      </c>
      <c r="M757" s="77" t="s">
        <v>82</v>
      </c>
      <c r="N757" s="77" t="s">
        <v>83</v>
      </c>
      <c r="Q757" s="77" t="s">
        <v>111</v>
      </c>
      <c r="T757" s="77" t="s">
        <v>112</v>
      </c>
      <c r="U757" s="77" t="s">
        <v>85</v>
      </c>
      <c r="V757" s="77" t="s">
        <v>196</v>
      </c>
      <c r="W757" s="79">
        <v>46192.354779513887</v>
      </c>
      <c r="X757" s="77" t="s">
        <v>197</v>
      </c>
      <c r="Y757" s="78" t="s">
        <v>88</v>
      </c>
      <c r="AA757" s="77" t="s">
        <v>191</v>
      </c>
      <c r="AB757" s="77" t="s">
        <v>78</v>
      </c>
      <c r="AC757" s="77" t="s">
        <v>114</v>
      </c>
      <c r="AD757" s="77" t="s">
        <v>91</v>
      </c>
      <c r="AE757" s="77" t="s">
        <v>3078</v>
      </c>
      <c r="AF757" s="77" t="s">
        <v>2706</v>
      </c>
      <c r="AG757" s="77" t="s">
        <v>112</v>
      </c>
    </row>
    <row r="758" spans="1:33" hidden="1" x14ac:dyDescent="0.3">
      <c r="A758" s="77" t="s">
        <v>3295</v>
      </c>
      <c r="B758" s="77" t="s">
        <v>796</v>
      </c>
      <c r="G758" s="77" t="s">
        <v>3077</v>
      </c>
      <c r="H758" s="77" t="s">
        <v>77</v>
      </c>
      <c r="I758" s="77" t="s">
        <v>78</v>
      </c>
      <c r="J758" s="77" t="s">
        <v>3039</v>
      </c>
      <c r="K758" s="77" t="s">
        <v>80</v>
      </c>
      <c r="L758" s="77" t="s">
        <v>797</v>
      </c>
      <c r="M758" s="77" t="s">
        <v>82</v>
      </c>
      <c r="N758" s="77" t="s">
        <v>83</v>
      </c>
      <c r="Q758" s="77" t="s">
        <v>111</v>
      </c>
      <c r="T758" s="77" t="s">
        <v>112</v>
      </c>
      <c r="U758" s="77" t="s">
        <v>85</v>
      </c>
      <c r="V758" s="77" t="s">
        <v>196</v>
      </c>
      <c r="W758" s="79">
        <v>46192.355902858799</v>
      </c>
      <c r="X758" s="77" t="s">
        <v>197</v>
      </c>
      <c r="Y758" s="78" t="s">
        <v>88</v>
      </c>
      <c r="AA758" s="77" t="s">
        <v>191</v>
      </c>
      <c r="AB758" s="77" t="s">
        <v>78</v>
      </c>
      <c r="AC758" s="77" t="s">
        <v>114</v>
      </c>
      <c r="AD758" s="77" t="s">
        <v>91</v>
      </c>
      <c r="AE758" s="77" t="s">
        <v>3078</v>
      </c>
      <c r="AF758" s="77" t="s">
        <v>2706</v>
      </c>
      <c r="AG758" s="77" t="s">
        <v>112</v>
      </c>
    </row>
    <row r="759" spans="1:33" x14ac:dyDescent="0.3">
      <c r="A759" s="77" t="s">
        <v>3296</v>
      </c>
      <c r="B759" s="77" t="s">
        <v>799</v>
      </c>
      <c r="G759" s="77" t="s">
        <v>3077</v>
      </c>
      <c r="H759" s="77" t="s">
        <v>77</v>
      </c>
      <c r="I759" s="77" t="s">
        <v>78</v>
      </c>
      <c r="J759" s="77" t="s">
        <v>3039</v>
      </c>
      <c r="K759" s="77" t="s">
        <v>80</v>
      </c>
      <c r="L759" s="77" t="s">
        <v>200</v>
      </c>
      <c r="M759" s="77" t="s">
        <v>82</v>
      </c>
      <c r="N759" s="77" t="s">
        <v>83</v>
      </c>
      <c r="Q759" s="77" t="s">
        <v>111</v>
      </c>
      <c r="T759" s="77" t="s">
        <v>112</v>
      </c>
      <c r="U759" s="77" t="s">
        <v>85</v>
      </c>
      <c r="V759" s="80" t="s">
        <v>201</v>
      </c>
      <c r="X759" s="77" t="s">
        <v>202</v>
      </c>
      <c r="Y759" s="78" t="s">
        <v>101</v>
      </c>
      <c r="AA759" s="77" t="s">
        <v>191</v>
      </c>
      <c r="AB759" s="77" t="s">
        <v>78</v>
      </c>
      <c r="AC759" s="77" t="s">
        <v>90</v>
      </c>
      <c r="AD759" s="77" t="s">
        <v>102</v>
      </c>
      <c r="AE759" s="77" t="s">
        <v>3078</v>
      </c>
      <c r="AG759" s="77" t="s">
        <v>112</v>
      </c>
    </row>
    <row r="760" spans="1:33" x14ac:dyDescent="0.3">
      <c r="A760" s="77" t="s">
        <v>3297</v>
      </c>
      <c r="B760" s="77" t="s">
        <v>801</v>
      </c>
      <c r="G760" s="77" t="s">
        <v>3077</v>
      </c>
      <c r="H760" s="77" t="s">
        <v>77</v>
      </c>
      <c r="I760" s="77" t="s">
        <v>78</v>
      </c>
      <c r="J760" s="77" t="s">
        <v>3039</v>
      </c>
      <c r="K760" s="77" t="s">
        <v>80</v>
      </c>
      <c r="L760" s="77" t="s">
        <v>802</v>
      </c>
      <c r="M760" s="77" t="s">
        <v>82</v>
      </c>
      <c r="N760" s="77" t="s">
        <v>83</v>
      </c>
      <c r="Q760" s="77" t="s">
        <v>111</v>
      </c>
      <c r="T760" s="77" t="s">
        <v>112</v>
      </c>
      <c r="U760" s="77" t="s">
        <v>85</v>
      </c>
      <c r="V760" s="80" t="s">
        <v>201</v>
      </c>
      <c r="X760" s="77" t="s">
        <v>202</v>
      </c>
      <c r="Y760" s="78" t="s">
        <v>101</v>
      </c>
      <c r="AA760" s="77" t="s">
        <v>191</v>
      </c>
      <c r="AB760" s="77" t="s">
        <v>78</v>
      </c>
      <c r="AC760" s="77" t="s">
        <v>90</v>
      </c>
      <c r="AD760" s="77" t="s">
        <v>102</v>
      </c>
      <c r="AE760" s="77" t="s">
        <v>3078</v>
      </c>
      <c r="AG760" s="77" t="s">
        <v>112</v>
      </c>
    </row>
    <row r="761" spans="1:33" x14ac:dyDescent="0.3">
      <c r="A761" s="77" t="s">
        <v>3298</v>
      </c>
      <c r="B761" s="77" t="s">
        <v>804</v>
      </c>
      <c r="G761" s="77" t="s">
        <v>3077</v>
      </c>
      <c r="H761" s="77" t="s">
        <v>77</v>
      </c>
      <c r="I761" s="77" t="s">
        <v>78</v>
      </c>
      <c r="J761" s="77" t="s">
        <v>3039</v>
      </c>
      <c r="K761" s="77" t="s">
        <v>80</v>
      </c>
      <c r="L761" s="77" t="s">
        <v>805</v>
      </c>
      <c r="M761" s="77" t="s">
        <v>82</v>
      </c>
      <c r="N761" s="77" t="s">
        <v>83</v>
      </c>
      <c r="Q761" s="77" t="s">
        <v>111</v>
      </c>
      <c r="T761" s="77" t="s">
        <v>112</v>
      </c>
      <c r="U761" s="77" t="s">
        <v>85</v>
      </c>
      <c r="V761" s="80" t="s">
        <v>201</v>
      </c>
      <c r="X761" s="77" t="s">
        <v>202</v>
      </c>
      <c r="Y761" s="78" t="s">
        <v>101</v>
      </c>
      <c r="AA761" s="77" t="s">
        <v>191</v>
      </c>
      <c r="AB761" s="77" t="s">
        <v>78</v>
      </c>
      <c r="AC761" s="77" t="s">
        <v>90</v>
      </c>
      <c r="AD761" s="77" t="s">
        <v>102</v>
      </c>
      <c r="AE761" s="77" t="s">
        <v>3078</v>
      </c>
      <c r="AG761" s="77" t="s">
        <v>112</v>
      </c>
    </row>
    <row r="762" spans="1:33" hidden="1" x14ac:dyDescent="0.3">
      <c r="A762" s="77" t="s">
        <v>3299</v>
      </c>
      <c r="B762" s="77" t="s">
        <v>807</v>
      </c>
      <c r="G762" s="77" t="s">
        <v>3077</v>
      </c>
      <c r="H762" s="77" t="s">
        <v>77</v>
      </c>
      <c r="I762" s="77" t="s">
        <v>78</v>
      </c>
      <c r="J762" s="77" t="s">
        <v>3039</v>
      </c>
      <c r="K762" s="77" t="s">
        <v>80</v>
      </c>
      <c r="L762" s="77" t="s">
        <v>205</v>
      </c>
      <c r="M762" s="77" t="s">
        <v>82</v>
      </c>
      <c r="N762" s="77" t="s">
        <v>83</v>
      </c>
      <c r="Q762" s="77" t="s">
        <v>111</v>
      </c>
      <c r="T762" s="77" t="s">
        <v>112</v>
      </c>
      <c r="U762" s="77" t="s">
        <v>85</v>
      </c>
      <c r="V762" s="77" t="s">
        <v>206</v>
      </c>
      <c r="W762" s="79">
        <v>46192.203515474539</v>
      </c>
      <c r="X762" s="77" t="s">
        <v>207</v>
      </c>
      <c r="Y762" s="78" t="s">
        <v>101</v>
      </c>
      <c r="AA762" s="77" t="s">
        <v>191</v>
      </c>
      <c r="AB762" s="77" t="s">
        <v>78</v>
      </c>
      <c r="AC762" s="77" t="s">
        <v>114</v>
      </c>
      <c r="AD762" s="77" t="s">
        <v>102</v>
      </c>
      <c r="AE762" s="77" t="s">
        <v>3078</v>
      </c>
      <c r="AF762" s="77" t="s">
        <v>2706</v>
      </c>
      <c r="AG762" s="77" t="s">
        <v>112</v>
      </c>
    </row>
    <row r="763" spans="1:33" hidden="1" x14ac:dyDescent="0.3">
      <c r="A763" s="77" t="s">
        <v>3300</v>
      </c>
      <c r="B763" s="77" t="s">
        <v>809</v>
      </c>
      <c r="G763" s="77" t="s">
        <v>3077</v>
      </c>
      <c r="H763" s="77" t="s">
        <v>77</v>
      </c>
      <c r="I763" s="77" t="s">
        <v>78</v>
      </c>
      <c r="J763" s="77" t="s">
        <v>3039</v>
      </c>
      <c r="K763" s="77" t="s">
        <v>80</v>
      </c>
      <c r="L763" s="77" t="s">
        <v>810</v>
      </c>
      <c r="M763" s="77" t="s">
        <v>82</v>
      </c>
      <c r="N763" s="77" t="s">
        <v>83</v>
      </c>
      <c r="Q763" s="77" t="s">
        <v>111</v>
      </c>
      <c r="T763" s="77" t="s">
        <v>112</v>
      </c>
      <c r="U763" s="77" t="s">
        <v>85</v>
      </c>
      <c r="V763" s="77" t="s">
        <v>206</v>
      </c>
      <c r="W763" s="79">
        <v>46192.189170983795</v>
      </c>
      <c r="X763" s="77" t="s">
        <v>207</v>
      </c>
      <c r="Y763" s="78" t="s">
        <v>101</v>
      </c>
      <c r="AA763" s="77" t="s">
        <v>191</v>
      </c>
      <c r="AB763" s="77" t="s">
        <v>78</v>
      </c>
      <c r="AC763" s="77" t="s">
        <v>114</v>
      </c>
      <c r="AD763" s="77" t="s">
        <v>102</v>
      </c>
      <c r="AE763" s="77" t="s">
        <v>3078</v>
      </c>
      <c r="AF763" s="77" t="s">
        <v>2706</v>
      </c>
      <c r="AG763" s="77" t="s">
        <v>112</v>
      </c>
    </row>
    <row r="764" spans="1:33" hidden="1" x14ac:dyDescent="0.3">
      <c r="A764" s="77" t="s">
        <v>3301</v>
      </c>
      <c r="B764" s="77" t="s">
        <v>812</v>
      </c>
      <c r="G764" s="77" t="s">
        <v>3077</v>
      </c>
      <c r="H764" s="77" t="s">
        <v>77</v>
      </c>
      <c r="I764" s="77" t="s">
        <v>78</v>
      </c>
      <c r="J764" s="77" t="s">
        <v>3039</v>
      </c>
      <c r="K764" s="77" t="s">
        <v>80</v>
      </c>
      <c r="L764" s="77" t="s">
        <v>813</v>
      </c>
      <c r="M764" s="77" t="s">
        <v>82</v>
      </c>
      <c r="N764" s="77" t="s">
        <v>83</v>
      </c>
      <c r="Q764" s="77" t="s">
        <v>111</v>
      </c>
      <c r="T764" s="77" t="s">
        <v>112</v>
      </c>
      <c r="U764" s="77" t="s">
        <v>85</v>
      </c>
      <c r="V764" s="77" t="s">
        <v>206</v>
      </c>
      <c r="W764" s="79">
        <v>46192.189075543982</v>
      </c>
      <c r="X764" s="77" t="s">
        <v>207</v>
      </c>
      <c r="Y764" s="78" t="s">
        <v>101</v>
      </c>
      <c r="AA764" s="77" t="s">
        <v>191</v>
      </c>
      <c r="AB764" s="77" t="s">
        <v>78</v>
      </c>
      <c r="AC764" s="77" t="s">
        <v>114</v>
      </c>
      <c r="AD764" s="77" t="s">
        <v>102</v>
      </c>
      <c r="AE764" s="77" t="s">
        <v>3078</v>
      </c>
      <c r="AF764" s="77" t="s">
        <v>2706</v>
      </c>
      <c r="AG764" s="77" t="s">
        <v>112</v>
      </c>
    </row>
    <row r="765" spans="1:33" x14ac:dyDescent="0.3">
      <c r="A765" s="77" t="s">
        <v>3302</v>
      </c>
      <c r="B765" s="77" t="s">
        <v>815</v>
      </c>
      <c r="G765" s="77" t="s">
        <v>3077</v>
      </c>
      <c r="H765" s="77" t="s">
        <v>77</v>
      </c>
      <c r="I765" s="77" t="s">
        <v>78</v>
      </c>
      <c r="J765" s="77" t="s">
        <v>3039</v>
      </c>
      <c r="K765" s="77" t="s">
        <v>80</v>
      </c>
      <c r="L765" s="77" t="s">
        <v>816</v>
      </c>
      <c r="M765" s="77" t="s">
        <v>82</v>
      </c>
      <c r="N765" s="77" t="s">
        <v>83</v>
      </c>
      <c r="Q765" s="77" t="s">
        <v>111</v>
      </c>
      <c r="T765" s="77" t="s">
        <v>112</v>
      </c>
      <c r="U765" s="77" t="s">
        <v>85</v>
      </c>
      <c r="V765" s="80" t="s">
        <v>231</v>
      </c>
      <c r="X765" s="77" t="s">
        <v>232</v>
      </c>
      <c r="Y765" s="78" t="s">
        <v>88</v>
      </c>
      <c r="AA765" s="77" t="s">
        <v>191</v>
      </c>
      <c r="AB765" s="77" t="s">
        <v>78</v>
      </c>
      <c r="AC765" s="77" t="s">
        <v>90</v>
      </c>
      <c r="AD765" s="77" t="s">
        <v>91</v>
      </c>
      <c r="AE765" s="77" t="s">
        <v>3078</v>
      </c>
      <c r="AG765" s="77" t="s">
        <v>112</v>
      </c>
    </row>
    <row r="766" spans="1:33" x14ac:dyDescent="0.3">
      <c r="A766" s="77" t="s">
        <v>3303</v>
      </c>
      <c r="B766" s="77" t="s">
        <v>818</v>
      </c>
      <c r="G766" s="77" t="s">
        <v>3077</v>
      </c>
      <c r="H766" s="77" t="s">
        <v>77</v>
      </c>
      <c r="I766" s="77" t="s">
        <v>78</v>
      </c>
      <c r="J766" s="77" t="s">
        <v>3039</v>
      </c>
      <c r="K766" s="77" t="s">
        <v>80</v>
      </c>
      <c r="L766" s="77" t="s">
        <v>819</v>
      </c>
      <c r="M766" s="77" t="s">
        <v>82</v>
      </c>
      <c r="N766" s="77" t="s">
        <v>83</v>
      </c>
      <c r="Q766" s="77" t="s">
        <v>111</v>
      </c>
      <c r="T766" s="77" t="s">
        <v>112</v>
      </c>
      <c r="U766" s="77" t="s">
        <v>85</v>
      </c>
      <c r="V766" s="80" t="s">
        <v>231</v>
      </c>
      <c r="X766" s="77" t="s">
        <v>232</v>
      </c>
      <c r="Y766" s="78" t="s">
        <v>88</v>
      </c>
      <c r="AA766" s="77" t="s">
        <v>191</v>
      </c>
      <c r="AB766" s="77" t="s">
        <v>78</v>
      </c>
      <c r="AC766" s="77" t="s">
        <v>90</v>
      </c>
      <c r="AD766" s="77" t="s">
        <v>91</v>
      </c>
      <c r="AE766" s="77" t="s">
        <v>3078</v>
      </c>
      <c r="AG766" s="77" t="s">
        <v>112</v>
      </c>
    </row>
    <row r="767" spans="1:33" hidden="1" x14ac:dyDescent="0.3">
      <c r="A767" s="77" t="s">
        <v>3304</v>
      </c>
      <c r="B767" s="77" t="s">
        <v>821</v>
      </c>
      <c r="G767" s="77" t="s">
        <v>3077</v>
      </c>
      <c r="H767" s="77" t="s">
        <v>77</v>
      </c>
      <c r="I767" s="77" t="s">
        <v>78</v>
      </c>
      <c r="J767" s="77" t="s">
        <v>3039</v>
      </c>
      <c r="K767" s="77" t="s">
        <v>80</v>
      </c>
      <c r="L767" s="77" t="s">
        <v>822</v>
      </c>
      <c r="M767" s="77" t="s">
        <v>82</v>
      </c>
      <c r="N767" s="77" t="s">
        <v>83</v>
      </c>
      <c r="Q767" s="77" t="s">
        <v>111</v>
      </c>
      <c r="T767" s="77" t="s">
        <v>112</v>
      </c>
      <c r="U767" s="77" t="s">
        <v>85</v>
      </c>
      <c r="V767" s="77" t="s">
        <v>231</v>
      </c>
      <c r="W767" s="79">
        <v>46192.188987650465</v>
      </c>
      <c r="X767" s="77" t="s">
        <v>232</v>
      </c>
      <c r="Y767" s="78" t="s">
        <v>88</v>
      </c>
      <c r="AA767" s="77" t="s">
        <v>191</v>
      </c>
      <c r="AB767" s="77" t="s">
        <v>78</v>
      </c>
      <c r="AC767" s="77" t="s">
        <v>114</v>
      </c>
      <c r="AD767" s="77" t="s">
        <v>91</v>
      </c>
      <c r="AE767" s="77" t="s">
        <v>3078</v>
      </c>
      <c r="AF767" s="77" t="s">
        <v>2706</v>
      </c>
      <c r="AG767" s="77" t="s">
        <v>112</v>
      </c>
    </row>
    <row r="768" spans="1:33" hidden="1" x14ac:dyDescent="0.3">
      <c r="A768" s="77" t="s">
        <v>3305</v>
      </c>
      <c r="B768" s="77" t="s">
        <v>824</v>
      </c>
      <c r="G768" s="77" t="s">
        <v>3077</v>
      </c>
      <c r="H768" s="77" t="s">
        <v>77</v>
      </c>
      <c r="I768" s="77" t="s">
        <v>78</v>
      </c>
      <c r="J768" s="77" t="s">
        <v>3039</v>
      </c>
      <c r="K768" s="77" t="s">
        <v>80</v>
      </c>
      <c r="L768" s="77" t="s">
        <v>825</v>
      </c>
      <c r="M768" s="77" t="s">
        <v>82</v>
      </c>
      <c r="N768" s="77" t="s">
        <v>83</v>
      </c>
      <c r="Q768" s="77" t="s">
        <v>111</v>
      </c>
      <c r="T768" s="77" t="s">
        <v>112</v>
      </c>
      <c r="U768" s="77" t="s">
        <v>85</v>
      </c>
      <c r="V768" s="77" t="s">
        <v>231</v>
      </c>
      <c r="W768" s="79">
        <v>46192.188893287035</v>
      </c>
      <c r="X768" s="77" t="s">
        <v>232</v>
      </c>
      <c r="Y768" s="78" t="s">
        <v>88</v>
      </c>
      <c r="AA768" s="77" t="s">
        <v>191</v>
      </c>
      <c r="AB768" s="77" t="s">
        <v>78</v>
      </c>
      <c r="AC768" s="77" t="s">
        <v>114</v>
      </c>
      <c r="AD768" s="77" t="s">
        <v>91</v>
      </c>
      <c r="AE768" s="77" t="s">
        <v>3078</v>
      </c>
      <c r="AF768" s="77" t="s">
        <v>2706</v>
      </c>
      <c r="AG768" s="77" t="s">
        <v>112</v>
      </c>
    </row>
    <row r="769" spans="1:33" hidden="1" x14ac:dyDescent="0.3">
      <c r="A769" s="77" t="s">
        <v>3306</v>
      </c>
      <c r="B769" s="77" t="s">
        <v>827</v>
      </c>
      <c r="G769" s="77" t="s">
        <v>3077</v>
      </c>
      <c r="H769" s="77" t="s">
        <v>77</v>
      </c>
      <c r="I769" s="77" t="s">
        <v>78</v>
      </c>
      <c r="J769" s="77" t="s">
        <v>3039</v>
      </c>
      <c r="K769" s="77" t="s">
        <v>80</v>
      </c>
      <c r="L769" s="77" t="s">
        <v>828</v>
      </c>
      <c r="M769" s="77" t="s">
        <v>82</v>
      </c>
      <c r="N769" s="77" t="s">
        <v>83</v>
      </c>
      <c r="Q769" s="77" t="s">
        <v>111</v>
      </c>
      <c r="T769" s="77" t="s">
        <v>112</v>
      </c>
      <c r="U769" s="77" t="s">
        <v>85</v>
      </c>
      <c r="V769" s="77" t="s">
        <v>231</v>
      </c>
      <c r="W769" s="79">
        <v>46192.190356099534</v>
      </c>
      <c r="X769" s="77" t="s">
        <v>232</v>
      </c>
      <c r="Y769" s="78" t="s">
        <v>88</v>
      </c>
      <c r="AA769" s="77" t="s">
        <v>191</v>
      </c>
      <c r="AB769" s="77" t="s">
        <v>78</v>
      </c>
      <c r="AC769" s="77" t="s">
        <v>114</v>
      </c>
      <c r="AD769" s="77" t="s">
        <v>91</v>
      </c>
      <c r="AE769" s="77" t="s">
        <v>3078</v>
      </c>
      <c r="AF769" s="77" t="s">
        <v>2706</v>
      </c>
      <c r="AG769" s="77" t="s">
        <v>112</v>
      </c>
    </row>
    <row r="770" spans="1:33" hidden="1" x14ac:dyDescent="0.3">
      <c r="A770" s="77" t="s">
        <v>3307</v>
      </c>
      <c r="B770" s="77" t="s">
        <v>830</v>
      </c>
      <c r="G770" s="77" t="s">
        <v>3077</v>
      </c>
      <c r="H770" s="77" t="s">
        <v>77</v>
      </c>
      <c r="I770" s="77" t="s">
        <v>78</v>
      </c>
      <c r="J770" s="77" t="s">
        <v>3039</v>
      </c>
      <c r="K770" s="77" t="s">
        <v>80</v>
      </c>
      <c r="L770" s="77" t="s">
        <v>831</v>
      </c>
      <c r="M770" s="77" t="s">
        <v>82</v>
      </c>
      <c r="N770" s="77" t="s">
        <v>83</v>
      </c>
      <c r="Q770" s="77" t="s">
        <v>111</v>
      </c>
      <c r="T770" s="77" t="s">
        <v>112</v>
      </c>
      <c r="U770" s="77" t="s">
        <v>85</v>
      </c>
      <c r="V770" s="77" t="s">
        <v>231</v>
      </c>
      <c r="W770" s="79">
        <v>46192.190429247683</v>
      </c>
      <c r="X770" s="77" t="s">
        <v>232</v>
      </c>
      <c r="Y770" s="78" t="s">
        <v>88</v>
      </c>
      <c r="AA770" s="77" t="s">
        <v>191</v>
      </c>
      <c r="AB770" s="77" t="s">
        <v>78</v>
      </c>
      <c r="AC770" s="77" t="s">
        <v>114</v>
      </c>
      <c r="AD770" s="77" t="s">
        <v>91</v>
      </c>
      <c r="AE770" s="77" t="s">
        <v>3078</v>
      </c>
      <c r="AF770" s="77" t="s">
        <v>2706</v>
      </c>
      <c r="AG770" s="77" t="s">
        <v>112</v>
      </c>
    </row>
    <row r="771" spans="1:33" hidden="1" x14ac:dyDescent="0.3">
      <c r="A771" s="77" t="s">
        <v>3308</v>
      </c>
      <c r="B771" s="77" t="s">
        <v>833</v>
      </c>
      <c r="G771" s="77" t="s">
        <v>3077</v>
      </c>
      <c r="H771" s="77" t="s">
        <v>77</v>
      </c>
      <c r="I771" s="77" t="s">
        <v>78</v>
      </c>
      <c r="J771" s="77" t="s">
        <v>3039</v>
      </c>
      <c r="K771" s="77" t="s">
        <v>80</v>
      </c>
      <c r="L771" s="77" t="s">
        <v>834</v>
      </c>
      <c r="M771" s="77" t="s">
        <v>82</v>
      </c>
      <c r="N771" s="77" t="s">
        <v>83</v>
      </c>
      <c r="Q771" s="77" t="s">
        <v>111</v>
      </c>
      <c r="T771" s="77" t="s">
        <v>112</v>
      </c>
      <c r="U771" s="77" t="s">
        <v>85</v>
      </c>
      <c r="V771" s="80" t="s">
        <v>86</v>
      </c>
      <c r="W771" s="79">
        <v>46192.190484687497</v>
      </c>
      <c r="X771" s="77" t="s">
        <v>87</v>
      </c>
      <c r="Y771" s="78" t="s">
        <v>88</v>
      </c>
      <c r="AA771" s="77" t="s">
        <v>191</v>
      </c>
      <c r="AB771" s="77" t="s">
        <v>78</v>
      </c>
      <c r="AC771" s="77" t="s">
        <v>114</v>
      </c>
      <c r="AD771" s="77" t="s">
        <v>91</v>
      </c>
      <c r="AE771" s="77" t="s">
        <v>3078</v>
      </c>
      <c r="AF771" s="77" t="s">
        <v>2706</v>
      </c>
      <c r="AG771" s="77" t="s">
        <v>112</v>
      </c>
    </row>
    <row r="772" spans="1:33" hidden="1" x14ac:dyDescent="0.3">
      <c r="A772" s="77" t="s">
        <v>3309</v>
      </c>
      <c r="B772" s="77" t="s">
        <v>836</v>
      </c>
      <c r="G772" s="77" t="s">
        <v>3077</v>
      </c>
      <c r="H772" s="77" t="s">
        <v>77</v>
      </c>
      <c r="I772" s="77" t="s">
        <v>78</v>
      </c>
      <c r="J772" s="77" t="s">
        <v>3039</v>
      </c>
      <c r="K772" s="77" t="s">
        <v>80</v>
      </c>
      <c r="L772" s="77" t="s">
        <v>837</v>
      </c>
      <c r="M772" s="77" t="s">
        <v>82</v>
      </c>
      <c r="N772" s="77" t="s">
        <v>83</v>
      </c>
      <c r="Q772" s="77" t="s">
        <v>111</v>
      </c>
      <c r="T772" s="77" t="s">
        <v>112</v>
      </c>
      <c r="U772" s="77" t="s">
        <v>85</v>
      </c>
      <c r="V772" s="80" t="s">
        <v>86</v>
      </c>
      <c r="W772" s="79">
        <v>46192.19060228009</v>
      </c>
      <c r="X772" s="77" t="s">
        <v>87</v>
      </c>
      <c r="Y772" s="78" t="s">
        <v>88</v>
      </c>
      <c r="AA772" s="77" t="s">
        <v>191</v>
      </c>
      <c r="AB772" s="77" t="s">
        <v>78</v>
      </c>
      <c r="AC772" s="77" t="s">
        <v>114</v>
      </c>
      <c r="AD772" s="77" t="s">
        <v>91</v>
      </c>
      <c r="AE772" s="77" t="s">
        <v>3078</v>
      </c>
      <c r="AF772" s="77" t="s">
        <v>2706</v>
      </c>
      <c r="AG772" s="77" t="s">
        <v>112</v>
      </c>
    </row>
    <row r="773" spans="1:33" x14ac:dyDescent="0.3">
      <c r="A773" s="77" t="s">
        <v>3310</v>
      </c>
      <c r="B773" s="77" t="s">
        <v>839</v>
      </c>
      <c r="G773" s="77" t="s">
        <v>3077</v>
      </c>
      <c r="H773" s="77" t="s">
        <v>77</v>
      </c>
      <c r="I773" s="77" t="s">
        <v>78</v>
      </c>
      <c r="J773" s="77" t="s">
        <v>3039</v>
      </c>
      <c r="K773" s="77" t="s">
        <v>80</v>
      </c>
      <c r="L773" s="77" t="s">
        <v>840</v>
      </c>
      <c r="M773" s="77" t="s">
        <v>82</v>
      </c>
      <c r="N773" s="77" t="s">
        <v>83</v>
      </c>
      <c r="Q773" s="77" t="s">
        <v>111</v>
      </c>
      <c r="T773" s="77" t="s">
        <v>112</v>
      </c>
      <c r="U773" s="77" t="s">
        <v>85</v>
      </c>
      <c r="V773" s="80" t="s">
        <v>105</v>
      </c>
      <c r="X773" s="77" t="s">
        <v>106</v>
      </c>
      <c r="Y773" s="78" t="s">
        <v>101</v>
      </c>
      <c r="AA773" s="77" t="s">
        <v>191</v>
      </c>
      <c r="AB773" s="77" t="s">
        <v>78</v>
      </c>
      <c r="AC773" s="77" t="s">
        <v>90</v>
      </c>
      <c r="AD773" s="77" t="s">
        <v>102</v>
      </c>
      <c r="AE773" s="77" t="s">
        <v>3078</v>
      </c>
      <c r="AG773" s="77" t="s">
        <v>112</v>
      </c>
    </row>
    <row r="774" spans="1:33" x14ac:dyDescent="0.3">
      <c r="A774" s="77" t="s">
        <v>3311</v>
      </c>
      <c r="B774" s="77" t="s">
        <v>842</v>
      </c>
      <c r="G774" s="77" t="s">
        <v>3077</v>
      </c>
      <c r="H774" s="77" t="s">
        <v>77</v>
      </c>
      <c r="I774" s="77" t="s">
        <v>78</v>
      </c>
      <c r="J774" s="77" t="s">
        <v>3039</v>
      </c>
      <c r="K774" s="77" t="s">
        <v>80</v>
      </c>
      <c r="L774" s="77" t="s">
        <v>843</v>
      </c>
      <c r="M774" s="77" t="s">
        <v>82</v>
      </c>
      <c r="N774" s="77" t="s">
        <v>83</v>
      </c>
      <c r="Q774" s="77" t="s">
        <v>111</v>
      </c>
      <c r="T774" s="77" t="s">
        <v>112</v>
      </c>
      <c r="U774" s="77" t="s">
        <v>85</v>
      </c>
      <c r="V774" s="80" t="s">
        <v>105</v>
      </c>
      <c r="X774" s="77" t="s">
        <v>106</v>
      </c>
      <c r="Y774" s="78" t="s">
        <v>101</v>
      </c>
      <c r="AA774" s="77" t="s">
        <v>191</v>
      </c>
      <c r="AB774" s="77" t="s">
        <v>78</v>
      </c>
      <c r="AC774" s="77" t="s">
        <v>90</v>
      </c>
      <c r="AD774" s="77" t="s">
        <v>102</v>
      </c>
      <c r="AE774" s="77" t="s">
        <v>3078</v>
      </c>
      <c r="AG774" s="77" t="s">
        <v>112</v>
      </c>
    </row>
    <row r="775" spans="1:33" hidden="1" x14ac:dyDescent="0.3">
      <c r="A775" s="77" t="s">
        <v>3312</v>
      </c>
      <c r="B775" s="77" t="s">
        <v>845</v>
      </c>
      <c r="G775" s="77" t="s">
        <v>3077</v>
      </c>
      <c r="H775" s="77" t="s">
        <v>77</v>
      </c>
      <c r="I775" s="77" t="s">
        <v>78</v>
      </c>
      <c r="J775" s="77" t="s">
        <v>3039</v>
      </c>
      <c r="K775" s="77" t="s">
        <v>80</v>
      </c>
      <c r="L775" s="77" t="s">
        <v>846</v>
      </c>
      <c r="M775" s="77" t="s">
        <v>82</v>
      </c>
      <c r="N775" s="77" t="s">
        <v>83</v>
      </c>
      <c r="Q775" s="77" t="s">
        <v>111</v>
      </c>
      <c r="T775" s="77" t="s">
        <v>112</v>
      </c>
      <c r="U775" s="77" t="s">
        <v>85</v>
      </c>
      <c r="V775" s="77" t="s">
        <v>231</v>
      </c>
      <c r="W775" s="79">
        <v>46192.355972569443</v>
      </c>
      <c r="X775" s="77" t="s">
        <v>232</v>
      </c>
      <c r="Y775" s="78" t="s">
        <v>88</v>
      </c>
      <c r="AA775" s="77" t="s">
        <v>191</v>
      </c>
      <c r="AB775" s="77" t="s">
        <v>78</v>
      </c>
      <c r="AC775" s="77" t="s">
        <v>114</v>
      </c>
      <c r="AD775" s="77" t="s">
        <v>91</v>
      </c>
      <c r="AE775" s="77" t="s">
        <v>3078</v>
      </c>
      <c r="AF775" s="77" t="s">
        <v>2706</v>
      </c>
      <c r="AG775" s="77" t="s">
        <v>112</v>
      </c>
    </row>
    <row r="776" spans="1:33" hidden="1" x14ac:dyDescent="0.3">
      <c r="A776" s="77" t="s">
        <v>3313</v>
      </c>
      <c r="B776" s="77" t="s">
        <v>848</v>
      </c>
      <c r="G776" s="77" t="s">
        <v>3077</v>
      </c>
      <c r="H776" s="77" t="s">
        <v>77</v>
      </c>
      <c r="I776" s="77" t="s">
        <v>78</v>
      </c>
      <c r="J776" s="77" t="s">
        <v>3039</v>
      </c>
      <c r="K776" s="77" t="s">
        <v>80</v>
      </c>
      <c r="L776" s="77" t="s">
        <v>849</v>
      </c>
      <c r="M776" s="77" t="s">
        <v>82</v>
      </c>
      <c r="N776" s="77" t="s">
        <v>83</v>
      </c>
      <c r="Q776" s="77" t="s">
        <v>111</v>
      </c>
      <c r="T776" s="77" t="s">
        <v>112</v>
      </c>
      <c r="U776" s="77" t="s">
        <v>85</v>
      </c>
      <c r="V776" s="77" t="s">
        <v>231</v>
      </c>
      <c r="W776" s="79">
        <v>46192.355845868056</v>
      </c>
      <c r="X776" s="77" t="s">
        <v>232</v>
      </c>
      <c r="Y776" s="78" t="s">
        <v>88</v>
      </c>
      <c r="AA776" s="77" t="s">
        <v>191</v>
      </c>
      <c r="AB776" s="77" t="s">
        <v>78</v>
      </c>
      <c r="AC776" s="77" t="s">
        <v>114</v>
      </c>
      <c r="AD776" s="77" t="s">
        <v>91</v>
      </c>
      <c r="AE776" s="77" t="s">
        <v>3078</v>
      </c>
      <c r="AF776" s="77" t="s">
        <v>2706</v>
      </c>
      <c r="AG776" s="77" t="s">
        <v>112</v>
      </c>
    </row>
    <row r="777" spans="1:33" x14ac:dyDescent="0.3">
      <c r="A777" s="77" t="s">
        <v>3314</v>
      </c>
      <c r="B777" s="77" t="s">
        <v>851</v>
      </c>
      <c r="G777" s="77" t="s">
        <v>3077</v>
      </c>
      <c r="H777" s="77" t="s">
        <v>77</v>
      </c>
      <c r="I777" s="77" t="s">
        <v>78</v>
      </c>
      <c r="J777" s="77" t="s">
        <v>3039</v>
      </c>
      <c r="K777" s="77" t="s">
        <v>80</v>
      </c>
      <c r="L777" s="77" t="s">
        <v>852</v>
      </c>
      <c r="M777" s="77" t="s">
        <v>82</v>
      </c>
      <c r="N777" s="77" t="s">
        <v>83</v>
      </c>
      <c r="Q777" s="77" t="s">
        <v>111</v>
      </c>
      <c r="T777" s="77" t="s">
        <v>112</v>
      </c>
      <c r="U777" s="77" t="s">
        <v>85</v>
      </c>
      <c r="V777" s="80" t="s">
        <v>325</v>
      </c>
      <c r="X777" s="77" t="s">
        <v>326</v>
      </c>
      <c r="Y777" s="78" t="s">
        <v>101</v>
      </c>
      <c r="AA777" s="77" t="s">
        <v>191</v>
      </c>
      <c r="AB777" s="77" t="s">
        <v>78</v>
      </c>
      <c r="AC777" s="77" t="s">
        <v>90</v>
      </c>
      <c r="AD777" s="77" t="s">
        <v>327</v>
      </c>
      <c r="AE777" s="77" t="s">
        <v>3078</v>
      </c>
      <c r="AG777" s="77" t="s">
        <v>112</v>
      </c>
    </row>
    <row r="778" spans="1:33" x14ac:dyDescent="0.3">
      <c r="A778" s="77" t="s">
        <v>3315</v>
      </c>
      <c r="B778" s="77" t="s">
        <v>854</v>
      </c>
      <c r="G778" s="77" t="s">
        <v>3077</v>
      </c>
      <c r="H778" s="77" t="s">
        <v>77</v>
      </c>
      <c r="I778" s="77" t="s">
        <v>78</v>
      </c>
      <c r="J778" s="77" t="s">
        <v>3039</v>
      </c>
      <c r="K778" s="77" t="s">
        <v>80</v>
      </c>
      <c r="L778" s="77" t="s">
        <v>855</v>
      </c>
      <c r="M778" s="77" t="s">
        <v>82</v>
      </c>
      <c r="N778" s="77" t="s">
        <v>83</v>
      </c>
      <c r="Q778" s="77" t="s">
        <v>111</v>
      </c>
      <c r="T778" s="77" t="s">
        <v>112</v>
      </c>
      <c r="U778" s="77" t="s">
        <v>85</v>
      </c>
      <c r="V778" s="80" t="s">
        <v>325</v>
      </c>
      <c r="X778" s="77" t="s">
        <v>326</v>
      </c>
      <c r="Y778" s="78" t="s">
        <v>101</v>
      </c>
      <c r="AA778" s="77" t="s">
        <v>191</v>
      </c>
      <c r="AB778" s="77" t="s">
        <v>78</v>
      </c>
      <c r="AC778" s="77" t="s">
        <v>90</v>
      </c>
      <c r="AD778" s="77" t="s">
        <v>327</v>
      </c>
      <c r="AE778" s="77" t="s">
        <v>3078</v>
      </c>
      <c r="AG778" s="77" t="s">
        <v>112</v>
      </c>
    </row>
    <row r="779" spans="1:33" hidden="1" x14ac:dyDescent="0.3">
      <c r="A779" s="77" t="s">
        <v>3316</v>
      </c>
      <c r="B779" s="77" t="s">
        <v>857</v>
      </c>
      <c r="G779" s="77" t="s">
        <v>3077</v>
      </c>
      <c r="H779" s="77" t="s">
        <v>77</v>
      </c>
      <c r="I779" s="77" t="s">
        <v>78</v>
      </c>
      <c r="J779" s="77" t="s">
        <v>3039</v>
      </c>
      <c r="K779" s="77" t="s">
        <v>80</v>
      </c>
      <c r="L779" s="77" t="s">
        <v>858</v>
      </c>
      <c r="M779" s="77" t="s">
        <v>82</v>
      </c>
      <c r="N779" s="77" t="s">
        <v>83</v>
      </c>
      <c r="Q779" s="77" t="s">
        <v>111</v>
      </c>
      <c r="T779" s="77" t="s">
        <v>112</v>
      </c>
      <c r="U779" s="77" t="s">
        <v>85</v>
      </c>
      <c r="V779" s="80" t="s">
        <v>859</v>
      </c>
      <c r="W779" s="79">
        <v>46192.203636805556</v>
      </c>
      <c r="X779" s="77" t="s">
        <v>860</v>
      </c>
      <c r="Y779" s="78" t="s">
        <v>88</v>
      </c>
      <c r="AA779" s="77" t="s">
        <v>191</v>
      </c>
      <c r="AB779" s="77" t="s">
        <v>78</v>
      </c>
      <c r="AC779" s="77" t="s">
        <v>114</v>
      </c>
      <c r="AD779" s="77" t="s">
        <v>91</v>
      </c>
      <c r="AE779" s="77" t="s">
        <v>3078</v>
      </c>
      <c r="AF779" s="77" t="s">
        <v>2706</v>
      </c>
      <c r="AG779" s="77" t="s">
        <v>112</v>
      </c>
    </row>
    <row r="780" spans="1:33" hidden="1" x14ac:dyDescent="0.3">
      <c r="A780" s="77" t="s">
        <v>3317</v>
      </c>
      <c r="B780" s="77" t="s">
        <v>862</v>
      </c>
      <c r="G780" s="77" t="s">
        <v>3077</v>
      </c>
      <c r="H780" s="77" t="s">
        <v>77</v>
      </c>
      <c r="I780" s="77" t="s">
        <v>78</v>
      </c>
      <c r="J780" s="77" t="s">
        <v>3039</v>
      </c>
      <c r="K780" s="77" t="s">
        <v>80</v>
      </c>
      <c r="L780" s="77" t="s">
        <v>863</v>
      </c>
      <c r="M780" s="77" t="s">
        <v>82</v>
      </c>
      <c r="N780" s="77" t="s">
        <v>83</v>
      </c>
      <c r="Q780" s="77" t="s">
        <v>111</v>
      </c>
      <c r="T780" s="77" t="s">
        <v>112</v>
      </c>
      <c r="U780" s="77" t="s">
        <v>85</v>
      </c>
      <c r="V780" s="77" t="s">
        <v>864</v>
      </c>
      <c r="W780" s="79">
        <v>46192.203761076387</v>
      </c>
      <c r="X780" s="77" t="s">
        <v>865</v>
      </c>
      <c r="Y780" s="78" t="s">
        <v>88</v>
      </c>
      <c r="AA780" s="77" t="s">
        <v>191</v>
      </c>
      <c r="AB780" s="77" t="s">
        <v>78</v>
      </c>
      <c r="AC780" s="77" t="s">
        <v>114</v>
      </c>
      <c r="AD780" s="77" t="s">
        <v>91</v>
      </c>
      <c r="AE780" s="77" t="s">
        <v>3078</v>
      </c>
      <c r="AF780" s="77" t="s">
        <v>2706</v>
      </c>
      <c r="AG780" s="77" t="s">
        <v>112</v>
      </c>
    </row>
    <row r="781" spans="1:33" x14ac:dyDescent="0.3">
      <c r="A781" s="77" t="s">
        <v>3318</v>
      </c>
      <c r="B781" s="77" t="s">
        <v>867</v>
      </c>
      <c r="G781" s="77" t="s">
        <v>3077</v>
      </c>
      <c r="H781" s="77" t="s">
        <v>77</v>
      </c>
      <c r="I781" s="77" t="s">
        <v>78</v>
      </c>
      <c r="J781" s="77" t="s">
        <v>3039</v>
      </c>
      <c r="K781" s="77" t="s">
        <v>80</v>
      </c>
      <c r="L781" s="77" t="s">
        <v>868</v>
      </c>
      <c r="M781" s="77" t="s">
        <v>82</v>
      </c>
      <c r="N781" s="77" t="s">
        <v>83</v>
      </c>
      <c r="Q781" s="77" t="s">
        <v>111</v>
      </c>
      <c r="T781" s="77" t="s">
        <v>112</v>
      </c>
      <c r="U781" s="77" t="s">
        <v>85</v>
      </c>
      <c r="V781" s="80" t="s">
        <v>869</v>
      </c>
      <c r="X781" s="77" t="s">
        <v>870</v>
      </c>
      <c r="Y781" s="78" t="s">
        <v>101</v>
      </c>
      <c r="AA781" s="77" t="s">
        <v>191</v>
      </c>
      <c r="AB781" s="77" t="s">
        <v>78</v>
      </c>
      <c r="AC781" s="77" t="s">
        <v>90</v>
      </c>
      <c r="AD781" s="77" t="s">
        <v>102</v>
      </c>
      <c r="AE781" s="77" t="s">
        <v>3078</v>
      </c>
      <c r="AG781" s="77" t="s">
        <v>112</v>
      </c>
    </row>
    <row r="782" spans="1:33" hidden="1" x14ac:dyDescent="0.3">
      <c r="A782" s="77" t="s">
        <v>3319</v>
      </c>
      <c r="B782" s="77" t="s">
        <v>872</v>
      </c>
      <c r="G782" s="77" t="s">
        <v>3077</v>
      </c>
      <c r="H782" s="77" t="s">
        <v>77</v>
      </c>
      <c r="I782" s="77" t="s">
        <v>78</v>
      </c>
      <c r="J782" s="77" t="s">
        <v>3039</v>
      </c>
      <c r="K782" s="77" t="s">
        <v>80</v>
      </c>
      <c r="L782" s="77" t="s">
        <v>873</v>
      </c>
      <c r="M782" s="77" t="s">
        <v>82</v>
      </c>
      <c r="N782" s="77" t="s">
        <v>83</v>
      </c>
      <c r="Q782" s="77" t="s">
        <v>111</v>
      </c>
      <c r="T782" s="77" t="s">
        <v>112</v>
      </c>
      <c r="U782" s="77" t="s">
        <v>85</v>
      </c>
      <c r="V782" s="77" t="s">
        <v>874</v>
      </c>
      <c r="W782" s="79">
        <v>46192.203833715277</v>
      </c>
      <c r="X782" s="77" t="s">
        <v>875</v>
      </c>
      <c r="Y782" s="78" t="s">
        <v>101</v>
      </c>
      <c r="AA782" s="77" t="s">
        <v>191</v>
      </c>
      <c r="AB782" s="77" t="s">
        <v>78</v>
      </c>
      <c r="AC782" s="77" t="s">
        <v>114</v>
      </c>
      <c r="AD782" s="77" t="s">
        <v>102</v>
      </c>
      <c r="AE782" s="77" t="s">
        <v>3078</v>
      </c>
      <c r="AF782" s="77" t="s">
        <v>2706</v>
      </c>
      <c r="AG782" s="77" t="s">
        <v>112</v>
      </c>
    </row>
    <row r="783" spans="1:33" hidden="1" x14ac:dyDescent="0.3">
      <c r="A783" s="77" t="s">
        <v>3320</v>
      </c>
      <c r="B783" s="77" t="s">
        <v>877</v>
      </c>
      <c r="G783" s="77" t="s">
        <v>3077</v>
      </c>
      <c r="H783" s="77" t="s">
        <v>77</v>
      </c>
      <c r="I783" s="77" t="s">
        <v>78</v>
      </c>
      <c r="J783" s="77" t="s">
        <v>3039</v>
      </c>
      <c r="K783" s="77" t="s">
        <v>80</v>
      </c>
      <c r="L783" s="77" t="s">
        <v>878</v>
      </c>
      <c r="M783" s="77" t="s">
        <v>82</v>
      </c>
      <c r="N783" s="77" t="s">
        <v>83</v>
      </c>
      <c r="Q783" s="77" t="s">
        <v>111</v>
      </c>
      <c r="T783" s="77" t="s">
        <v>112</v>
      </c>
      <c r="U783" s="77" t="s">
        <v>85</v>
      </c>
      <c r="V783" s="80" t="s">
        <v>86</v>
      </c>
      <c r="W783" s="79">
        <v>46167.732295520836</v>
      </c>
      <c r="X783" s="77" t="s">
        <v>87</v>
      </c>
      <c r="Y783" s="78" t="s">
        <v>88</v>
      </c>
      <c r="AA783" s="77" t="s">
        <v>191</v>
      </c>
      <c r="AB783" s="77" t="s">
        <v>78</v>
      </c>
      <c r="AC783" s="77" t="s">
        <v>114</v>
      </c>
      <c r="AD783" s="77" t="s">
        <v>91</v>
      </c>
      <c r="AE783" s="77" t="s">
        <v>3078</v>
      </c>
      <c r="AF783" s="77" t="s">
        <v>2706</v>
      </c>
      <c r="AG783" s="77" t="s">
        <v>112</v>
      </c>
    </row>
    <row r="784" spans="1:33" hidden="1" x14ac:dyDescent="0.3">
      <c r="A784" s="77" t="s">
        <v>3321</v>
      </c>
      <c r="B784" s="77" t="s">
        <v>880</v>
      </c>
      <c r="G784" s="77" t="s">
        <v>3077</v>
      </c>
      <c r="H784" s="77" t="s">
        <v>77</v>
      </c>
      <c r="I784" s="77" t="s">
        <v>78</v>
      </c>
      <c r="J784" s="77" t="s">
        <v>3039</v>
      </c>
      <c r="K784" s="77" t="s">
        <v>80</v>
      </c>
      <c r="L784" s="77" t="s">
        <v>881</v>
      </c>
      <c r="M784" s="77" t="s">
        <v>82</v>
      </c>
      <c r="N784" s="77" t="s">
        <v>83</v>
      </c>
      <c r="Q784" s="77" t="s">
        <v>111</v>
      </c>
      <c r="T784" s="77" t="s">
        <v>112</v>
      </c>
      <c r="U784" s="77" t="s">
        <v>85</v>
      </c>
      <c r="V784" s="77" t="s">
        <v>95</v>
      </c>
      <c r="W784" s="79">
        <v>46167.732601585645</v>
      </c>
      <c r="X784" s="77" t="s">
        <v>96</v>
      </c>
      <c r="Y784" s="78" t="s">
        <v>88</v>
      </c>
      <c r="AA784" s="77" t="s">
        <v>191</v>
      </c>
      <c r="AB784" s="77" t="s">
        <v>78</v>
      </c>
      <c r="AC784" s="77" t="s">
        <v>114</v>
      </c>
      <c r="AD784" s="77" t="s">
        <v>91</v>
      </c>
      <c r="AE784" s="77" t="s">
        <v>3078</v>
      </c>
      <c r="AF784" s="77" t="s">
        <v>2706</v>
      </c>
      <c r="AG784" s="77" t="s">
        <v>112</v>
      </c>
    </row>
    <row r="785" spans="1:33" hidden="1" x14ac:dyDescent="0.3">
      <c r="A785" s="77" t="s">
        <v>3322</v>
      </c>
      <c r="B785" s="77" t="s">
        <v>883</v>
      </c>
      <c r="G785" s="77" t="s">
        <v>3077</v>
      </c>
      <c r="H785" s="77" t="s">
        <v>77</v>
      </c>
      <c r="I785" s="77" t="s">
        <v>78</v>
      </c>
      <c r="J785" s="77" t="s">
        <v>3039</v>
      </c>
      <c r="K785" s="77" t="s">
        <v>80</v>
      </c>
      <c r="L785" s="77" t="s">
        <v>884</v>
      </c>
      <c r="M785" s="77" t="s">
        <v>82</v>
      </c>
      <c r="N785" s="77" t="s">
        <v>83</v>
      </c>
      <c r="Q785" s="77" t="s">
        <v>111</v>
      </c>
      <c r="T785" s="77" t="s">
        <v>112</v>
      </c>
      <c r="U785" s="77" t="s">
        <v>85</v>
      </c>
      <c r="V785" s="77" t="s">
        <v>99</v>
      </c>
      <c r="W785" s="79">
        <v>46171.613006863423</v>
      </c>
      <c r="X785" s="77" t="s">
        <v>100</v>
      </c>
      <c r="Y785" s="78" t="s">
        <v>101</v>
      </c>
      <c r="AA785" s="77" t="s">
        <v>191</v>
      </c>
      <c r="AB785" s="77" t="s">
        <v>78</v>
      </c>
      <c r="AC785" s="77" t="s">
        <v>114</v>
      </c>
      <c r="AD785" s="77" t="s">
        <v>102</v>
      </c>
      <c r="AE785" s="77" t="s">
        <v>3078</v>
      </c>
      <c r="AF785" s="77" t="s">
        <v>2769</v>
      </c>
      <c r="AG785" s="77" t="s">
        <v>112</v>
      </c>
    </row>
    <row r="786" spans="1:33" hidden="1" x14ac:dyDescent="0.3">
      <c r="A786" s="77" t="s">
        <v>3323</v>
      </c>
      <c r="B786" s="77" t="s">
        <v>886</v>
      </c>
      <c r="G786" s="77" t="s">
        <v>3077</v>
      </c>
      <c r="H786" s="77" t="s">
        <v>77</v>
      </c>
      <c r="I786" s="77" t="s">
        <v>78</v>
      </c>
      <c r="J786" s="77" t="s">
        <v>3039</v>
      </c>
      <c r="K786" s="77" t="s">
        <v>80</v>
      </c>
      <c r="L786" s="77" t="s">
        <v>887</v>
      </c>
      <c r="M786" s="77" t="s">
        <v>82</v>
      </c>
      <c r="N786" s="77" t="s">
        <v>83</v>
      </c>
      <c r="Q786" s="77" t="s">
        <v>111</v>
      </c>
      <c r="T786" s="77" t="s">
        <v>112</v>
      </c>
      <c r="U786" s="77" t="s">
        <v>85</v>
      </c>
      <c r="V786" s="77" t="s">
        <v>105</v>
      </c>
      <c r="W786" s="79">
        <v>46171.612555555555</v>
      </c>
      <c r="X786" s="77" t="s">
        <v>106</v>
      </c>
      <c r="Y786" s="78" t="s">
        <v>101</v>
      </c>
      <c r="AA786" s="77" t="s">
        <v>191</v>
      </c>
      <c r="AB786" s="77" t="s">
        <v>78</v>
      </c>
      <c r="AC786" s="77" t="s">
        <v>114</v>
      </c>
      <c r="AD786" s="77" t="s">
        <v>102</v>
      </c>
      <c r="AE786" s="77" t="s">
        <v>3078</v>
      </c>
      <c r="AF786" s="77" t="s">
        <v>2769</v>
      </c>
      <c r="AG786" s="77" t="s">
        <v>112</v>
      </c>
    </row>
    <row r="787" spans="1:33" hidden="1" x14ac:dyDescent="0.3">
      <c r="A787" s="77" t="s">
        <v>3324</v>
      </c>
      <c r="B787" s="77" t="s">
        <v>889</v>
      </c>
      <c r="G787" s="77" t="s">
        <v>3077</v>
      </c>
      <c r="H787" s="77" t="s">
        <v>77</v>
      </c>
      <c r="I787" s="77" t="s">
        <v>78</v>
      </c>
      <c r="J787" s="77" t="s">
        <v>3039</v>
      </c>
      <c r="K787" s="77" t="s">
        <v>80</v>
      </c>
      <c r="L787" s="77" t="s">
        <v>890</v>
      </c>
      <c r="M787" s="77" t="s">
        <v>82</v>
      </c>
      <c r="N787" s="77" t="s">
        <v>83</v>
      </c>
      <c r="Q787" s="77" t="s">
        <v>111</v>
      </c>
      <c r="T787" s="77" t="s">
        <v>112</v>
      </c>
      <c r="U787" s="77" t="s">
        <v>85</v>
      </c>
      <c r="V787" s="77" t="s">
        <v>891</v>
      </c>
      <c r="W787" s="79">
        <v>46167.730948692129</v>
      </c>
      <c r="X787" s="77" t="s">
        <v>892</v>
      </c>
      <c r="Y787" s="78" t="s">
        <v>88</v>
      </c>
      <c r="AA787" s="77" t="s">
        <v>191</v>
      </c>
      <c r="AB787" s="77" t="s">
        <v>78</v>
      </c>
      <c r="AC787" s="77" t="s">
        <v>114</v>
      </c>
      <c r="AD787" s="77" t="s">
        <v>91</v>
      </c>
      <c r="AE787" s="77" t="s">
        <v>3078</v>
      </c>
      <c r="AF787" s="77" t="s">
        <v>2706</v>
      </c>
      <c r="AG787" s="77" t="s">
        <v>112</v>
      </c>
    </row>
    <row r="788" spans="1:33" hidden="1" x14ac:dyDescent="0.3">
      <c r="A788" s="77" t="s">
        <v>3325</v>
      </c>
      <c r="B788" s="77" t="s">
        <v>894</v>
      </c>
      <c r="G788" s="77" t="s">
        <v>3077</v>
      </c>
      <c r="H788" s="77" t="s">
        <v>77</v>
      </c>
      <c r="I788" s="77" t="s">
        <v>78</v>
      </c>
      <c r="J788" s="77" t="s">
        <v>3039</v>
      </c>
      <c r="K788" s="77" t="s">
        <v>80</v>
      </c>
      <c r="L788" s="77" t="s">
        <v>895</v>
      </c>
      <c r="M788" s="77" t="s">
        <v>82</v>
      </c>
      <c r="N788" s="77" t="s">
        <v>83</v>
      </c>
      <c r="Q788" s="77" t="s">
        <v>111</v>
      </c>
      <c r="T788" s="77" t="s">
        <v>112</v>
      </c>
      <c r="U788" s="77" t="s">
        <v>85</v>
      </c>
      <c r="V788" s="77" t="s">
        <v>896</v>
      </c>
      <c r="W788" s="79">
        <v>46192.192585381941</v>
      </c>
      <c r="X788" s="77" t="s">
        <v>897</v>
      </c>
      <c r="Y788" s="78" t="s">
        <v>88</v>
      </c>
      <c r="AA788" s="77" t="s">
        <v>191</v>
      </c>
      <c r="AB788" s="77" t="s">
        <v>78</v>
      </c>
      <c r="AC788" s="77" t="s">
        <v>114</v>
      </c>
      <c r="AD788" s="77" t="s">
        <v>91</v>
      </c>
      <c r="AE788" s="77" t="s">
        <v>3078</v>
      </c>
      <c r="AF788" s="77" t="s">
        <v>2706</v>
      </c>
      <c r="AG788" s="77" t="s">
        <v>112</v>
      </c>
    </row>
    <row r="789" spans="1:33" hidden="1" x14ac:dyDescent="0.3">
      <c r="A789" s="77" t="s">
        <v>3326</v>
      </c>
      <c r="B789" s="77" t="s">
        <v>899</v>
      </c>
      <c r="G789" s="77" t="s">
        <v>3077</v>
      </c>
      <c r="H789" s="77" t="s">
        <v>77</v>
      </c>
      <c r="I789" s="77" t="s">
        <v>78</v>
      </c>
      <c r="J789" s="77" t="s">
        <v>3039</v>
      </c>
      <c r="K789" s="77" t="s">
        <v>80</v>
      </c>
      <c r="L789" s="77" t="s">
        <v>900</v>
      </c>
      <c r="M789" s="77" t="s">
        <v>82</v>
      </c>
      <c r="N789" s="77" t="s">
        <v>83</v>
      </c>
      <c r="Q789" s="77" t="s">
        <v>111</v>
      </c>
      <c r="T789" s="77" t="s">
        <v>112</v>
      </c>
      <c r="U789" s="77" t="s">
        <v>85</v>
      </c>
      <c r="V789" s="77" t="s">
        <v>896</v>
      </c>
      <c r="W789" s="79">
        <v>46192.192874224536</v>
      </c>
      <c r="X789" s="77" t="s">
        <v>897</v>
      </c>
      <c r="Y789" s="78" t="s">
        <v>88</v>
      </c>
      <c r="AA789" s="77" t="s">
        <v>191</v>
      </c>
      <c r="AB789" s="77" t="s">
        <v>78</v>
      </c>
      <c r="AC789" s="77" t="s">
        <v>114</v>
      </c>
      <c r="AD789" s="77" t="s">
        <v>91</v>
      </c>
      <c r="AE789" s="77" t="s">
        <v>3078</v>
      </c>
      <c r="AF789" s="77" t="s">
        <v>2706</v>
      </c>
      <c r="AG789" s="77" t="s">
        <v>112</v>
      </c>
    </row>
    <row r="790" spans="1:33" hidden="1" x14ac:dyDescent="0.3">
      <c r="A790" s="77" t="s">
        <v>3327</v>
      </c>
      <c r="B790" s="77" t="s">
        <v>902</v>
      </c>
      <c r="G790" s="77" t="s">
        <v>3077</v>
      </c>
      <c r="H790" s="77" t="s">
        <v>77</v>
      </c>
      <c r="I790" s="77" t="s">
        <v>78</v>
      </c>
      <c r="J790" s="77" t="s">
        <v>3039</v>
      </c>
      <c r="K790" s="77" t="s">
        <v>80</v>
      </c>
      <c r="L790" s="77" t="s">
        <v>903</v>
      </c>
      <c r="M790" s="77" t="s">
        <v>82</v>
      </c>
      <c r="N790" s="77" t="s">
        <v>83</v>
      </c>
      <c r="Q790" s="77" t="s">
        <v>111</v>
      </c>
      <c r="T790" s="77" t="s">
        <v>112</v>
      </c>
      <c r="U790" s="77" t="s">
        <v>85</v>
      </c>
      <c r="V790" s="77" t="s">
        <v>896</v>
      </c>
      <c r="W790" s="79">
        <v>46179.201117048608</v>
      </c>
      <c r="X790" s="77" t="s">
        <v>897</v>
      </c>
      <c r="Y790" s="78" t="s">
        <v>88</v>
      </c>
      <c r="AA790" s="77" t="s">
        <v>191</v>
      </c>
      <c r="AB790" s="77" t="s">
        <v>78</v>
      </c>
      <c r="AC790" s="77" t="s">
        <v>114</v>
      </c>
      <c r="AD790" s="77" t="s">
        <v>91</v>
      </c>
      <c r="AE790" s="77" t="s">
        <v>3078</v>
      </c>
      <c r="AF790" s="77" t="s">
        <v>2706</v>
      </c>
      <c r="AG790" s="77" t="s">
        <v>112</v>
      </c>
    </row>
    <row r="791" spans="1:33" hidden="1" x14ac:dyDescent="0.3">
      <c r="A791" s="77" t="s">
        <v>3328</v>
      </c>
      <c r="B791" s="77" t="s">
        <v>905</v>
      </c>
      <c r="G791" s="77" t="s">
        <v>3077</v>
      </c>
      <c r="H791" s="77" t="s">
        <v>77</v>
      </c>
      <c r="I791" s="77" t="s">
        <v>78</v>
      </c>
      <c r="J791" s="77" t="s">
        <v>3039</v>
      </c>
      <c r="K791" s="77" t="s">
        <v>80</v>
      </c>
      <c r="L791" s="77" t="s">
        <v>906</v>
      </c>
      <c r="M791" s="77" t="s">
        <v>82</v>
      </c>
      <c r="N791" s="77" t="s">
        <v>83</v>
      </c>
      <c r="Q791" s="77" t="s">
        <v>111</v>
      </c>
      <c r="T791" s="77" t="s">
        <v>112</v>
      </c>
      <c r="U791" s="77" t="s">
        <v>85</v>
      </c>
      <c r="V791" s="77" t="s">
        <v>272</v>
      </c>
      <c r="W791" s="79">
        <v>46214.391076932872</v>
      </c>
      <c r="X791" s="77" t="s">
        <v>273</v>
      </c>
      <c r="Y791" s="78" t="s">
        <v>101</v>
      </c>
      <c r="AA791" s="77" t="s">
        <v>191</v>
      </c>
      <c r="AB791" s="77" t="s">
        <v>78</v>
      </c>
      <c r="AC791" s="77" t="s">
        <v>114</v>
      </c>
      <c r="AD791" s="77" t="s">
        <v>274</v>
      </c>
      <c r="AE791" s="77" t="s">
        <v>3078</v>
      </c>
      <c r="AF791" s="77" t="s">
        <v>2706</v>
      </c>
      <c r="AG791" s="77" t="s">
        <v>112</v>
      </c>
    </row>
    <row r="792" spans="1:33" hidden="1" x14ac:dyDescent="0.3">
      <c r="A792" s="77" t="s">
        <v>3329</v>
      </c>
      <c r="B792" s="77" t="s">
        <v>908</v>
      </c>
      <c r="G792" s="77" t="s">
        <v>3077</v>
      </c>
      <c r="H792" s="77" t="s">
        <v>77</v>
      </c>
      <c r="I792" s="77" t="s">
        <v>78</v>
      </c>
      <c r="J792" s="77" t="s">
        <v>3039</v>
      </c>
      <c r="K792" s="77" t="s">
        <v>80</v>
      </c>
      <c r="L792" s="77" t="s">
        <v>909</v>
      </c>
      <c r="M792" s="77" t="s">
        <v>82</v>
      </c>
      <c r="N792" s="77" t="s">
        <v>83</v>
      </c>
      <c r="Q792" s="77" t="s">
        <v>111</v>
      </c>
      <c r="T792" s="77" t="s">
        <v>112</v>
      </c>
      <c r="U792" s="77" t="s">
        <v>85</v>
      </c>
      <c r="V792" s="77" t="s">
        <v>272</v>
      </c>
      <c r="W792" s="79">
        <v>46214.393447256945</v>
      </c>
      <c r="X792" s="77" t="s">
        <v>273</v>
      </c>
      <c r="Y792" s="78" t="s">
        <v>101</v>
      </c>
      <c r="AA792" s="77" t="s">
        <v>191</v>
      </c>
      <c r="AB792" s="77" t="s">
        <v>78</v>
      </c>
      <c r="AC792" s="77" t="s">
        <v>114</v>
      </c>
      <c r="AD792" s="77" t="s">
        <v>274</v>
      </c>
      <c r="AE792" s="77" t="s">
        <v>3078</v>
      </c>
      <c r="AF792" s="77" t="s">
        <v>2706</v>
      </c>
      <c r="AG792" s="77" t="s">
        <v>112</v>
      </c>
    </row>
    <row r="793" spans="1:33" hidden="1" x14ac:dyDescent="0.3">
      <c r="A793" s="77" t="s">
        <v>3330</v>
      </c>
      <c r="B793" s="77" t="s">
        <v>911</v>
      </c>
      <c r="G793" s="77" t="s">
        <v>3077</v>
      </c>
      <c r="H793" s="77" t="s">
        <v>77</v>
      </c>
      <c r="I793" s="77" t="s">
        <v>78</v>
      </c>
      <c r="J793" s="77" t="s">
        <v>3039</v>
      </c>
      <c r="K793" s="77" t="s">
        <v>80</v>
      </c>
      <c r="L793" s="77" t="s">
        <v>912</v>
      </c>
      <c r="M793" s="77" t="s">
        <v>82</v>
      </c>
      <c r="N793" s="77" t="s">
        <v>83</v>
      </c>
      <c r="Q793" s="77" t="s">
        <v>111</v>
      </c>
      <c r="S793" s="77" t="s">
        <v>111</v>
      </c>
      <c r="T793" s="77" t="s">
        <v>112</v>
      </c>
      <c r="U793" s="77" t="s">
        <v>85</v>
      </c>
      <c r="V793" s="77" t="s">
        <v>272</v>
      </c>
      <c r="W793" s="79">
        <v>46178.336480405094</v>
      </c>
      <c r="X793" s="77" t="s">
        <v>273</v>
      </c>
      <c r="Y793" s="78" t="s">
        <v>101</v>
      </c>
      <c r="AA793" s="77" t="s">
        <v>191</v>
      </c>
      <c r="AB793" s="77" t="s">
        <v>78</v>
      </c>
      <c r="AC793" s="77" t="s">
        <v>114</v>
      </c>
      <c r="AD793" s="77" t="s">
        <v>274</v>
      </c>
      <c r="AE793" s="77" t="s">
        <v>3078</v>
      </c>
      <c r="AF793" s="77" t="s">
        <v>2706</v>
      </c>
      <c r="AG793" s="77" t="s">
        <v>112</v>
      </c>
    </row>
    <row r="794" spans="1:33" x14ac:dyDescent="0.3">
      <c r="A794" s="77" t="s">
        <v>3331</v>
      </c>
      <c r="B794" s="77" t="s">
        <v>914</v>
      </c>
      <c r="G794" s="77" t="s">
        <v>3077</v>
      </c>
      <c r="H794" s="77" t="s">
        <v>77</v>
      </c>
      <c r="I794" s="77" t="s">
        <v>78</v>
      </c>
      <c r="J794" s="77" t="s">
        <v>3039</v>
      </c>
      <c r="K794" s="77" t="s">
        <v>80</v>
      </c>
      <c r="L794" s="77" t="s">
        <v>915</v>
      </c>
      <c r="M794" s="77" t="s">
        <v>82</v>
      </c>
      <c r="N794" s="77" t="s">
        <v>83</v>
      </c>
      <c r="Q794" s="77" t="s">
        <v>111</v>
      </c>
      <c r="T794" s="77" t="s">
        <v>112</v>
      </c>
      <c r="U794" s="77" t="s">
        <v>85</v>
      </c>
      <c r="V794" s="80" t="s">
        <v>272</v>
      </c>
      <c r="X794" s="77" t="s">
        <v>273</v>
      </c>
      <c r="Y794" s="78" t="s">
        <v>101</v>
      </c>
      <c r="AA794" s="77" t="s">
        <v>191</v>
      </c>
      <c r="AB794" s="77" t="s">
        <v>78</v>
      </c>
      <c r="AC794" s="77" t="s">
        <v>90</v>
      </c>
      <c r="AD794" s="77" t="s">
        <v>274</v>
      </c>
      <c r="AE794" s="77" t="s">
        <v>3078</v>
      </c>
      <c r="AG794" s="77" t="s">
        <v>112</v>
      </c>
    </row>
    <row r="795" spans="1:33" x14ac:dyDescent="0.3">
      <c r="A795" s="77" t="s">
        <v>3332</v>
      </c>
      <c r="B795" s="77" t="s">
        <v>917</v>
      </c>
      <c r="G795" s="77" t="s">
        <v>3077</v>
      </c>
      <c r="H795" s="77" t="s">
        <v>77</v>
      </c>
      <c r="I795" s="77" t="s">
        <v>78</v>
      </c>
      <c r="J795" s="77" t="s">
        <v>3039</v>
      </c>
      <c r="K795" s="77" t="s">
        <v>80</v>
      </c>
      <c r="L795" s="77" t="s">
        <v>918</v>
      </c>
      <c r="M795" s="77" t="s">
        <v>82</v>
      </c>
      <c r="N795" s="77" t="s">
        <v>83</v>
      </c>
      <c r="Q795" s="77" t="s">
        <v>111</v>
      </c>
      <c r="T795" s="77" t="s">
        <v>112</v>
      </c>
      <c r="U795" s="77" t="s">
        <v>85</v>
      </c>
      <c r="V795" s="80" t="s">
        <v>272</v>
      </c>
      <c r="X795" s="77" t="s">
        <v>273</v>
      </c>
      <c r="Y795" s="78" t="s">
        <v>101</v>
      </c>
      <c r="AA795" s="77" t="s">
        <v>191</v>
      </c>
      <c r="AB795" s="77" t="s">
        <v>78</v>
      </c>
      <c r="AC795" s="77" t="s">
        <v>90</v>
      </c>
      <c r="AD795" s="77" t="s">
        <v>274</v>
      </c>
      <c r="AE795" s="77" t="s">
        <v>3078</v>
      </c>
      <c r="AG795" s="77" t="s">
        <v>112</v>
      </c>
    </row>
    <row r="796" spans="1:33" hidden="1" x14ac:dyDescent="0.3">
      <c r="A796" s="77" t="s">
        <v>3333</v>
      </c>
      <c r="B796" s="77" t="s">
        <v>920</v>
      </c>
      <c r="G796" s="77" t="s">
        <v>3077</v>
      </c>
      <c r="H796" s="77" t="s">
        <v>77</v>
      </c>
      <c r="I796" s="77" t="s">
        <v>78</v>
      </c>
      <c r="J796" s="77" t="s">
        <v>3039</v>
      </c>
      <c r="K796" s="77" t="s">
        <v>80</v>
      </c>
      <c r="L796" s="77" t="s">
        <v>921</v>
      </c>
      <c r="M796" s="77" t="s">
        <v>82</v>
      </c>
      <c r="N796" s="77" t="s">
        <v>83</v>
      </c>
      <c r="Q796" s="77" t="s">
        <v>111</v>
      </c>
      <c r="T796" s="77" t="s">
        <v>112</v>
      </c>
      <c r="U796" s="77" t="s">
        <v>85</v>
      </c>
      <c r="V796" s="77" t="s">
        <v>272</v>
      </c>
      <c r="W796" s="79">
        <v>46178.337905706016</v>
      </c>
      <c r="X796" s="77" t="s">
        <v>273</v>
      </c>
      <c r="Y796" s="78" t="s">
        <v>101</v>
      </c>
      <c r="AA796" s="77" t="s">
        <v>191</v>
      </c>
      <c r="AB796" s="77" t="s">
        <v>78</v>
      </c>
      <c r="AC796" s="77" t="s">
        <v>114</v>
      </c>
      <c r="AD796" s="77" t="s">
        <v>274</v>
      </c>
      <c r="AE796" s="77" t="s">
        <v>3078</v>
      </c>
      <c r="AF796" s="77" t="s">
        <v>2706</v>
      </c>
      <c r="AG796" s="77" t="s">
        <v>112</v>
      </c>
    </row>
    <row r="797" spans="1:33" hidden="1" x14ac:dyDescent="0.3">
      <c r="A797" s="77" t="s">
        <v>3334</v>
      </c>
      <c r="B797" s="77" t="s">
        <v>923</v>
      </c>
      <c r="G797" s="77" t="s">
        <v>3077</v>
      </c>
      <c r="H797" s="77" t="s">
        <v>77</v>
      </c>
      <c r="I797" s="77" t="s">
        <v>78</v>
      </c>
      <c r="J797" s="77" t="s">
        <v>3039</v>
      </c>
      <c r="K797" s="77" t="s">
        <v>80</v>
      </c>
      <c r="L797" s="77" t="s">
        <v>924</v>
      </c>
      <c r="M797" s="77" t="s">
        <v>82</v>
      </c>
      <c r="N797" s="77" t="s">
        <v>83</v>
      </c>
      <c r="Q797" s="77" t="s">
        <v>111</v>
      </c>
      <c r="T797" s="77" t="s">
        <v>112</v>
      </c>
      <c r="U797" s="77" t="s">
        <v>85</v>
      </c>
      <c r="V797" s="77" t="s">
        <v>925</v>
      </c>
      <c r="W797" s="79">
        <v>46184.205284756943</v>
      </c>
      <c r="X797" s="77" t="s">
        <v>926</v>
      </c>
      <c r="Y797" s="78" t="s">
        <v>101</v>
      </c>
      <c r="AA797" s="77" t="s">
        <v>191</v>
      </c>
      <c r="AB797" s="77" t="s">
        <v>78</v>
      </c>
      <c r="AC797" s="77" t="s">
        <v>114</v>
      </c>
      <c r="AD797" s="77" t="s">
        <v>274</v>
      </c>
      <c r="AE797" s="77" t="s">
        <v>3078</v>
      </c>
      <c r="AF797" s="77" t="s">
        <v>2706</v>
      </c>
      <c r="AG797" s="77" t="s">
        <v>112</v>
      </c>
    </row>
    <row r="798" spans="1:33" hidden="1" x14ac:dyDescent="0.3">
      <c r="A798" s="77" t="s">
        <v>3335</v>
      </c>
      <c r="B798" s="77" t="s">
        <v>928</v>
      </c>
      <c r="G798" s="77" t="s">
        <v>3077</v>
      </c>
      <c r="H798" s="77" t="s">
        <v>77</v>
      </c>
      <c r="I798" s="77" t="s">
        <v>78</v>
      </c>
      <c r="J798" s="77" t="s">
        <v>3039</v>
      </c>
      <c r="K798" s="77" t="s">
        <v>80</v>
      </c>
      <c r="L798" s="77" t="s">
        <v>929</v>
      </c>
      <c r="M798" s="77" t="s">
        <v>82</v>
      </c>
      <c r="N798" s="77" t="s">
        <v>83</v>
      </c>
      <c r="Q798" s="77" t="s">
        <v>111</v>
      </c>
      <c r="T798" s="77" t="s">
        <v>112</v>
      </c>
      <c r="U798" s="77" t="s">
        <v>85</v>
      </c>
      <c r="V798" s="77" t="s">
        <v>930</v>
      </c>
      <c r="W798" s="79">
        <v>46177.749149884257</v>
      </c>
      <c r="X798" s="77" t="s">
        <v>931</v>
      </c>
      <c r="Y798" s="78" t="s">
        <v>88</v>
      </c>
      <c r="AA798" s="77" t="s">
        <v>191</v>
      </c>
      <c r="AB798" s="77" t="s">
        <v>78</v>
      </c>
      <c r="AC798" s="77" t="s">
        <v>114</v>
      </c>
      <c r="AD798" s="77" t="s">
        <v>91</v>
      </c>
      <c r="AE798" s="77" t="s">
        <v>3078</v>
      </c>
      <c r="AF798" s="77" t="s">
        <v>2706</v>
      </c>
      <c r="AG798" s="77" t="s">
        <v>112</v>
      </c>
    </row>
    <row r="799" spans="1:33" hidden="1" x14ac:dyDescent="0.3">
      <c r="A799" s="77" t="s">
        <v>3336</v>
      </c>
      <c r="B799" s="77" t="s">
        <v>933</v>
      </c>
      <c r="G799" s="77" t="s">
        <v>3077</v>
      </c>
      <c r="H799" s="77" t="s">
        <v>77</v>
      </c>
      <c r="I799" s="77" t="s">
        <v>78</v>
      </c>
      <c r="J799" s="77" t="s">
        <v>3039</v>
      </c>
      <c r="K799" s="77" t="s">
        <v>80</v>
      </c>
      <c r="L799" s="77" t="s">
        <v>934</v>
      </c>
      <c r="M799" s="77" t="s">
        <v>82</v>
      </c>
      <c r="N799" s="77" t="s">
        <v>83</v>
      </c>
      <c r="Q799" s="77" t="s">
        <v>111</v>
      </c>
      <c r="T799" s="77" t="s">
        <v>112</v>
      </c>
      <c r="U799" s="77" t="s">
        <v>85</v>
      </c>
      <c r="V799" s="77" t="s">
        <v>925</v>
      </c>
      <c r="W799" s="79">
        <v>46184.205567442128</v>
      </c>
      <c r="X799" s="77" t="s">
        <v>926</v>
      </c>
      <c r="Y799" s="78" t="s">
        <v>101</v>
      </c>
      <c r="AA799" s="77" t="s">
        <v>191</v>
      </c>
      <c r="AB799" s="77" t="s">
        <v>78</v>
      </c>
      <c r="AC799" s="77" t="s">
        <v>114</v>
      </c>
      <c r="AD799" s="77" t="s">
        <v>274</v>
      </c>
      <c r="AE799" s="77" t="s">
        <v>3078</v>
      </c>
      <c r="AF799" s="77" t="s">
        <v>2706</v>
      </c>
      <c r="AG799" s="77" t="s">
        <v>112</v>
      </c>
    </row>
    <row r="800" spans="1:33" hidden="1" x14ac:dyDescent="0.3">
      <c r="A800" s="77" t="s">
        <v>3337</v>
      </c>
      <c r="B800" s="77" t="s">
        <v>936</v>
      </c>
      <c r="G800" s="77" t="s">
        <v>3077</v>
      </c>
      <c r="H800" s="77" t="s">
        <v>77</v>
      </c>
      <c r="I800" s="77" t="s">
        <v>78</v>
      </c>
      <c r="J800" s="77" t="s">
        <v>3039</v>
      </c>
      <c r="K800" s="77" t="s">
        <v>80</v>
      </c>
      <c r="L800" s="77" t="s">
        <v>937</v>
      </c>
      <c r="M800" s="77" t="s">
        <v>82</v>
      </c>
      <c r="N800" s="77" t="s">
        <v>83</v>
      </c>
      <c r="Q800" s="77" t="s">
        <v>111</v>
      </c>
      <c r="T800" s="77" t="s">
        <v>112</v>
      </c>
      <c r="U800" s="77" t="s">
        <v>85</v>
      </c>
      <c r="V800" s="77" t="s">
        <v>930</v>
      </c>
      <c r="W800" s="79">
        <v>46177.749659490742</v>
      </c>
      <c r="X800" s="77" t="s">
        <v>931</v>
      </c>
      <c r="Y800" s="78" t="s">
        <v>88</v>
      </c>
      <c r="AA800" s="77" t="s">
        <v>191</v>
      </c>
      <c r="AB800" s="77" t="s">
        <v>78</v>
      </c>
      <c r="AC800" s="77" t="s">
        <v>114</v>
      </c>
      <c r="AD800" s="77" t="s">
        <v>91</v>
      </c>
      <c r="AE800" s="77" t="s">
        <v>3078</v>
      </c>
      <c r="AF800" s="77" t="s">
        <v>2706</v>
      </c>
      <c r="AG800" s="77" t="s">
        <v>112</v>
      </c>
    </row>
    <row r="801" spans="1:33" hidden="1" x14ac:dyDescent="0.3">
      <c r="A801" s="77" t="s">
        <v>3338</v>
      </c>
      <c r="B801" s="77" t="s">
        <v>939</v>
      </c>
      <c r="G801" s="77" t="s">
        <v>3077</v>
      </c>
      <c r="H801" s="77" t="s">
        <v>77</v>
      </c>
      <c r="I801" s="77" t="s">
        <v>78</v>
      </c>
      <c r="J801" s="77" t="s">
        <v>3039</v>
      </c>
      <c r="K801" s="77" t="s">
        <v>80</v>
      </c>
      <c r="L801" s="77" t="s">
        <v>940</v>
      </c>
      <c r="M801" s="77" t="s">
        <v>82</v>
      </c>
      <c r="N801" s="77" t="s">
        <v>83</v>
      </c>
      <c r="Q801" s="77" t="s">
        <v>111</v>
      </c>
      <c r="T801" s="77" t="s">
        <v>112</v>
      </c>
      <c r="U801" s="77" t="s">
        <v>85</v>
      </c>
      <c r="V801" s="77" t="s">
        <v>925</v>
      </c>
      <c r="W801" s="79">
        <v>46177.750676932868</v>
      </c>
      <c r="X801" s="77" t="s">
        <v>926</v>
      </c>
      <c r="Y801" s="78" t="s">
        <v>101</v>
      </c>
      <c r="AA801" s="77" t="s">
        <v>191</v>
      </c>
      <c r="AB801" s="77" t="s">
        <v>78</v>
      </c>
      <c r="AC801" s="77" t="s">
        <v>114</v>
      </c>
      <c r="AD801" s="77" t="s">
        <v>274</v>
      </c>
      <c r="AE801" s="77" t="s">
        <v>3078</v>
      </c>
      <c r="AF801" s="77" t="s">
        <v>2706</v>
      </c>
      <c r="AG801" s="77" t="s">
        <v>112</v>
      </c>
    </row>
    <row r="802" spans="1:33" hidden="1" x14ac:dyDescent="0.3">
      <c r="A802" s="77" t="s">
        <v>3339</v>
      </c>
      <c r="B802" s="77" t="s">
        <v>942</v>
      </c>
      <c r="G802" s="77" t="s">
        <v>3077</v>
      </c>
      <c r="H802" s="77" t="s">
        <v>77</v>
      </c>
      <c r="I802" s="77" t="s">
        <v>78</v>
      </c>
      <c r="J802" s="77" t="s">
        <v>3039</v>
      </c>
      <c r="K802" s="77" t="s">
        <v>80</v>
      </c>
      <c r="L802" s="77" t="s">
        <v>943</v>
      </c>
      <c r="M802" s="77" t="s">
        <v>82</v>
      </c>
      <c r="N802" s="77" t="s">
        <v>83</v>
      </c>
      <c r="Q802" s="77" t="s">
        <v>111</v>
      </c>
      <c r="T802" s="77" t="s">
        <v>112</v>
      </c>
      <c r="U802" s="77" t="s">
        <v>85</v>
      </c>
      <c r="V802" s="77" t="s">
        <v>925</v>
      </c>
      <c r="W802" s="79">
        <v>46184.206566932873</v>
      </c>
      <c r="X802" s="77" t="s">
        <v>926</v>
      </c>
      <c r="Y802" s="78" t="s">
        <v>101</v>
      </c>
      <c r="AA802" s="77" t="s">
        <v>191</v>
      </c>
      <c r="AB802" s="77" t="s">
        <v>78</v>
      </c>
      <c r="AC802" s="77" t="s">
        <v>114</v>
      </c>
      <c r="AD802" s="77" t="s">
        <v>274</v>
      </c>
      <c r="AE802" s="77" t="s">
        <v>3078</v>
      </c>
      <c r="AF802" s="77" t="s">
        <v>2706</v>
      </c>
      <c r="AG802" s="77" t="s">
        <v>112</v>
      </c>
    </row>
    <row r="803" spans="1:33" hidden="1" x14ac:dyDescent="0.3">
      <c r="A803" s="77" t="s">
        <v>3340</v>
      </c>
      <c r="B803" s="77" t="s">
        <v>945</v>
      </c>
      <c r="G803" s="77" t="s">
        <v>3077</v>
      </c>
      <c r="H803" s="77" t="s">
        <v>77</v>
      </c>
      <c r="I803" s="77" t="s">
        <v>78</v>
      </c>
      <c r="J803" s="77" t="s">
        <v>3039</v>
      </c>
      <c r="K803" s="77" t="s">
        <v>80</v>
      </c>
      <c r="L803" s="77" t="s">
        <v>946</v>
      </c>
      <c r="M803" s="77" t="s">
        <v>82</v>
      </c>
      <c r="N803" s="77" t="s">
        <v>83</v>
      </c>
      <c r="Q803" s="77" t="s">
        <v>111</v>
      </c>
      <c r="T803" s="77" t="s">
        <v>112</v>
      </c>
      <c r="U803" s="77" t="s">
        <v>85</v>
      </c>
      <c r="V803" s="77" t="s">
        <v>947</v>
      </c>
      <c r="W803" s="79">
        <v>46167.730196331016</v>
      </c>
      <c r="X803" s="77" t="s">
        <v>948</v>
      </c>
      <c r="Y803" s="78" t="s">
        <v>88</v>
      </c>
      <c r="AA803" s="77" t="s">
        <v>191</v>
      </c>
      <c r="AB803" s="77" t="s">
        <v>78</v>
      </c>
      <c r="AC803" s="77" t="s">
        <v>114</v>
      </c>
      <c r="AD803" s="77" t="s">
        <v>91</v>
      </c>
      <c r="AE803" s="77" t="s">
        <v>3078</v>
      </c>
      <c r="AF803" s="77" t="s">
        <v>2706</v>
      </c>
      <c r="AG803" s="77" t="s">
        <v>112</v>
      </c>
    </row>
    <row r="804" spans="1:33" x14ac:dyDescent="0.3">
      <c r="A804" s="77" t="s">
        <v>3341</v>
      </c>
      <c r="B804" s="77" t="s">
        <v>950</v>
      </c>
      <c r="G804" s="77" t="s">
        <v>3077</v>
      </c>
      <c r="H804" s="77" t="s">
        <v>77</v>
      </c>
      <c r="I804" s="77" t="s">
        <v>78</v>
      </c>
      <c r="J804" s="77" t="s">
        <v>3039</v>
      </c>
      <c r="K804" s="77" t="s">
        <v>80</v>
      </c>
      <c r="L804" s="77" t="s">
        <v>951</v>
      </c>
      <c r="M804" s="77" t="s">
        <v>82</v>
      </c>
      <c r="N804" s="77" t="s">
        <v>83</v>
      </c>
      <c r="Q804" s="77" t="s">
        <v>111</v>
      </c>
      <c r="T804" s="77" t="s">
        <v>112</v>
      </c>
      <c r="U804" s="77" t="s">
        <v>85</v>
      </c>
      <c r="V804" s="80" t="s">
        <v>952</v>
      </c>
      <c r="X804" s="77" t="s">
        <v>953</v>
      </c>
      <c r="Y804" s="78" t="s">
        <v>101</v>
      </c>
      <c r="AA804" s="77" t="s">
        <v>191</v>
      </c>
      <c r="AB804" s="77" t="s">
        <v>78</v>
      </c>
      <c r="AC804" s="77" t="s">
        <v>90</v>
      </c>
      <c r="AD804" s="77" t="s">
        <v>954</v>
      </c>
      <c r="AE804" s="77" t="s">
        <v>3078</v>
      </c>
      <c r="AG804" s="77" t="s">
        <v>112</v>
      </c>
    </row>
    <row r="805" spans="1:33" hidden="1" x14ac:dyDescent="0.3">
      <c r="A805" s="77" t="s">
        <v>3342</v>
      </c>
      <c r="B805" s="77" t="s">
        <v>956</v>
      </c>
      <c r="G805" s="77" t="s">
        <v>3077</v>
      </c>
      <c r="H805" s="77" t="s">
        <v>77</v>
      </c>
      <c r="I805" s="77" t="s">
        <v>78</v>
      </c>
      <c r="J805" s="77" t="s">
        <v>3039</v>
      </c>
      <c r="K805" s="77" t="s">
        <v>80</v>
      </c>
      <c r="L805" s="77" t="s">
        <v>957</v>
      </c>
      <c r="M805" s="77" t="s">
        <v>82</v>
      </c>
      <c r="N805" s="77" t="s">
        <v>83</v>
      </c>
      <c r="Q805" s="77" t="s">
        <v>111</v>
      </c>
      <c r="T805" s="77" t="s">
        <v>112</v>
      </c>
      <c r="U805" s="77" t="s">
        <v>85</v>
      </c>
      <c r="V805" s="77" t="s">
        <v>947</v>
      </c>
      <c r="W805" s="79">
        <v>46167.728755358796</v>
      </c>
      <c r="X805" s="77" t="s">
        <v>948</v>
      </c>
      <c r="Y805" s="78" t="s">
        <v>88</v>
      </c>
      <c r="AA805" s="77" t="s">
        <v>191</v>
      </c>
      <c r="AB805" s="77" t="s">
        <v>78</v>
      </c>
      <c r="AC805" s="77" t="s">
        <v>114</v>
      </c>
      <c r="AD805" s="77" t="s">
        <v>91</v>
      </c>
      <c r="AE805" s="77" t="s">
        <v>3078</v>
      </c>
      <c r="AF805" s="77" t="s">
        <v>2706</v>
      </c>
      <c r="AG805" s="77" t="s">
        <v>112</v>
      </c>
    </row>
    <row r="806" spans="1:33" hidden="1" x14ac:dyDescent="0.3">
      <c r="A806" s="77" t="s">
        <v>3343</v>
      </c>
      <c r="B806" s="77" t="s">
        <v>959</v>
      </c>
      <c r="G806" s="77" t="s">
        <v>3077</v>
      </c>
      <c r="H806" s="77" t="s">
        <v>77</v>
      </c>
      <c r="I806" s="77" t="s">
        <v>78</v>
      </c>
      <c r="J806" s="77" t="s">
        <v>3039</v>
      </c>
      <c r="K806" s="77" t="s">
        <v>80</v>
      </c>
      <c r="L806" s="77" t="s">
        <v>237</v>
      </c>
      <c r="M806" s="77" t="s">
        <v>82</v>
      </c>
      <c r="N806" s="77" t="s">
        <v>83</v>
      </c>
      <c r="Q806" s="77" t="s">
        <v>111</v>
      </c>
      <c r="U806" s="77" t="s">
        <v>85</v>
      </c>
      <c r="V806" s="80" t="s">
        <v>238</v>
      </c>
      <c r="W806" s="79">
        <v>46200.372557372684</v>
      </c>
      <c r="X806" s="77" t="s">
        <v>239</v>
      </c>
      <c r="Y806" s="78" t="s">
        <v>88</v>
      </c>
      <c r="AA806" s="77" t="s">
        <v>191</v>
      </c>
      <c r="AB806" s="77" t="s">
        <v>78</v>
      </c>
      <c r="AC806" s="77" t="s">
        <v>114</v>
      </c>
      <c r="AD806" s="77" t="s">
        <v>91</v>
      </c>
      <c r="AE806" s="77" t="s">
        <v>3078</v>
      </c>
      <c r="AF806" s="77" t="s">
        <v>2706</v>
      </c>
    </row>
    <row r="807" spans="1:33" hidden="1" x14ac:dyDescent="0.3">
      <c r="A807" s="77" t="s">
        <v>3344</v>
      </c>
      <c r="B807" s="77" t="s">
        <v>961</v>
      </c>
      <c r="G807" s="77" t="s">
        <v>3077</v>
      </c>
      <c r="H807" s="77" t="s">
        <v>77</v>
      </c>
      <c r="I807" s="77" t="s">
        <v>78</v>
      </c>
      <c r="J807" s="77" t="s">
        <v>3039</v>
      </c>
      <c r="K807" s="77" t="s">
        <v>80</v>
      </c>
      <c r="L807" s="77" t="s">
        <v>244</v>
      </c>
      <c r="M807" s="77" t="s">
        <v>82</v>
      </c>
      <c r="N807" s="77" t="s">
        <v>83</v>
      </c>
      <c r="Q807" s="77" t="s">
        <v>111</v>
      </c>
      <c r="U807" s="77" t="s">
        <v>85</v>
      </c>
      <c r="V807" s="77" t="s">
        <v>245</v>
      </c>
      <c r="W807" s="79">
        <v>46200.384338738426</v>
      </c>
      <c r="X807" s="77" t="s">
        <v>246</v>
      </c>
      <c r="Y807" s="78" t="s">
        <v>88</v>
      </c>
      <c r="AA807" s="77" t="s">
        <v>191</v>
      </c>
      <c r="AB807" s="77" t="s">
        <v>78</v>
      </c>
      <c r="AC807" s="77" t="s">
        <v>114</v>
      </c>
      <c r="AD807" s="77" t="s">
        <v>91</v>
      </c>
      <c r="AE807" s="77" t="s">
        <v>3078</v>
      </c>
      <c r="AF807" s="77" t="s">
        <v>2706</v>
      </c>
    </row>
    <row r="808" spans="1:33" hidden="1" x14ac:dyDescent="0.3">
      <c r="A808" s="77" t="s">
        <v>3345</v>
      </c>
      <c r="B808" s="77" t="s">
        <v>963</v>
      </c>
      <c r="G808" s="77" t="s">
        <v>3077</v>
      </c>
      <c r="H808" s="77" t="s">
        <v>77</v>
      </c>
      <c r="I808" s="77" t="s">
        <v>78</v>
      </c>
      <c r="J808" s="77" t="s">
        <v>3039</v>
      </c>
      <c r="K808" s="77" t="s">
        <v>80</v>
      </c>
      <c r="L808" s="77" t="s">
        <v>251</v>
      </c>
      <c r="M808" s="77" t="s">
        <v>82</v>
      </c>
      <c r="N808" s="77" t="s">
        <v>83</v>
      </c>
      <c r="Q808" s="77" t="s">
        <v>111</v>
      </c>
      <c r="U808" s="77" t="s">
        <v>85</v>
      </c>
      <c r="V808" s="77" t="s">
        <v>252</v>
      </c>
      <c r="W808" s="79">
        <v>46214.566416435184</v>
      </c>
      <c r="X808" s="77" t="s">
        <v>253</v>
      </c>
      <c r="Y808" s="78" t="s">
        <v>101</v>
      </c>
      <c r="AA808" s="77" t="s">
        <v>191</v>
      </c>
      <c r="AB808" s="77" t="s">
        <v>78</v>
      </c>
      <c r="AC808" s="77" t="s">
        <v>114</v>
      </c>
      <c r="AD808" s="77" t="s">
        <v>102</v>
      </c>
      <c r="AE808" s="77" t="s">
        <v>3078</v>
      </c>
      <c r="AF808" s="77" t="s">
        <v>2706</v>
      </c>
    </row>
    <row r="809" spans="1:33" hidden="1" x14ac:dyDescent="0.3">
      <c r="A809" s="77" t="s">
        <v>3346</v>
      </c>
      <c r="B809" s="77" t="s">
        <v>965</v>
      </c>
      <c r="G809" s="77" t="s">
        <v>3077</v>
      </c>
      <c r="H809" s="77" t="s">
        <v>77</v>
      </c>
      <c r="I809" s="77" t="s">
        <v>78</v>
      </c>
      <c r="J809" s="77" t="s">
        <v>3039</v>
      </c>
      <c r="K809" s="77" t="s">
        <v>80</v>
      </c>
      <c r="L809" s="77" t="s">
        <v>258</v>
      </c>
      <c r="M809" s="77" t="s">
        <v>82</v>
      </c>
      <c r="N809" s="77" t="s">
        <v>83</v>
      </c>
      <c r="Q809" s="77" t="s">
        <v>111</v>
      </c>
      <c r="U809" s="77" t="s">
        <v>85</v>
      </c>
      <c r="V809" s="77" t="s">
        <v>259</v>
      </c>
      <c r="W809" s="79">
        <v>46192.182212615742</v>
      </c>
      <c r="X809" s="77" t="s">
        <v>260</v>
      </c>
      <c r="Y809" s="78" t="s">
        <v>101</v>
      </c>
      <c r="AA809" s="77" t="s">
        <v>191</v>
      </c>
      <c r="AB809" s="77" t="s">
        <v>78</v>
      </c>
      <c r="AC809" s="77" t="s">
        <v>114</v>
      </c>
      <c r="AD809" s="77" t="s">
        <v>102</v>
      </c>
      <c r="AE809" s="77" t="s">
        <v>3078</v>
      </c>
      <c r="AF809" s="77" t="s">
        <v>2706</v>
      </c>
    </row>
    <row r="810" spans="1:33" hidden="1" x14ac:dyDescent="0.3">
      <c r="A810" s="77" t="s">
        <v>3347</v>
      </c>
      <c r="B810" s="77" t="s">
        <v>967</v>
      </c>
      <c r="G810" s="77" t="s">
        <v>3077</v>
      </c>
      <c r="H810" s="77" t="s">
        <v>77</v>
      </c>
      <c r="I810" s="77" t="s">
        <v>78</v>
      </c>
      <c r="J810" s="77" t="s">
        <v>3039</v>
      </c>
      <c r="K810" s="77" t="s">
        <v>80</v>
      </c>
      <c r="L810" s="77" t="s">
        <v>968</v>
      </c>
      <c r="M810" s="77" t="s">
        <v>82</v>
      </c>
      <c r="N810" s="77" t="s">
        <v>83</v>
      </c>
      <c r="Q810" s="77" t="s">
        <v>111</v>
      </c>
      <c r="U810" s="77" t="s">
        <v>85</v>
      </c>
      <c r="V810" s="80" t="s">
        <v>238</v>
      </c>
      <c r="W810" s="79">
        <v>46204.527465543979</v>
      </c>
      <c r="X810" s="77" t="s">
        <v>239</v>
      </c>
      <c r="Y810" s="78" t="s">
        <v>88</v>
      </c>
      <c r="AA810" s="77" t="s">
        <v>191</v>
      </c>
      <c r="AB810" s="77" t="s">
        <v>78</v>
      </c>
      <c r="AC810" s="77" t="s">
        <v>114</v>
      </c>
      <c r="AD810" s="77" t="s">
        <v>91</v>
      </c>
      <c r="AE810" s="77" t="s">
        <v>3078</v>
      </c>
      <c r="AF810" s="77" t="s">
        <v>2706</v>
      </c>
    </row>
    <row r="811" spans="1:33" x14ac:dyDescent="0.3">
      <c r="A811" s="77" t="s">
        <v>3348</v>
      </c>
      <c r="B811" s="77" t="s">
        <v>970</v>
      </c>
      <c r="G811" s="77" t="s">
        <v>3077</v>
      </c>
      <c r="H811" s="77" t="s">
        <v>77</v>
      </c>
      <c r="I811" s="77" t="s">
        <v>78</v>
      </c>
      <c r="J811" s="77" t="s">
        <v>3039</v>
      </c>
      <c r="K811" s="77" t="s">
        <v>80</v>
      </c>
      <c r="L811" s="77" t="s">
        <v>971</v>
      </c>
      <c r="M811" s="77" t="s">
        <v>82</v>
      </c>
      <c r="N811" s="77" t="s">
        <v>83</v>
      </c>
      <c r="Q811" s="77" t="s">
        <v>111</v>
      </c>
      <c r="U811" s="77" t="s">
        <v>85</v>
      </c>
      <c r="V811" s="80" t="s">
        <v>245</v>
      </c>
      <c r="X811" s="77" t="s">
        <v>246</v>
      </c>
      <c r="Y811" s="78" t="s">
        <v>88</v>
      </c>
      <c r="AA811" s="77" t="s">
        <v>191</v>
      </c>
      <c r="AB811" s="77" t="s">
        <v>78</v>
      </c>
      <c r="AC811" s="77" t="s">
        <v>90</v>
      </c>
      <c r="AD811" s="77" t="s">
        <v>91</v>
      </c>
      <c r="AE811" s="77" t="s">
        <v>3078</v>
      </c>
    </row>
    <row r="812" spans="1:33" x14ac:dyDescent="0.3">
      <c r="A812" s="77" t="s">
        <v>3349</v>
      </c>
      <c r="B812" s="77" t="s">
        <v>973</v>
      </c>
      <c r="G812" s="77" t="s">
        <v>3077</v>
      </c>
      <c r="H812" s="77" t="s">
        <v>77</v>
      </c>
      <c r="I812" s="77" t="s">
        <v>78</v>
      </c>
      <c r="J812" s="77" t="s">
        <v>3039</v>
      </c>
      <c r="K812" s="77" t="s">
        <v>80</v>
      </c>
      <c r="L812" s="77" t="s">
        <v>974</v>
      </c>
      <c r="M812" s="77" t="s">
        <v>82</v>
      </c>
      <c r="N812" s="77" t="s">
        <v>83</v>
      </c>
      <c r="Q812" s="77" t="s">
        <v>111</v>
      </c>
      <c r="U812" s="77" t="s">
        <v>85</v>
      </c>
      <c r="V812" s="80" t="s">
        <v>252</v>
      </c>
      <c r="X812" s="77" t="s">
        <v>253</v>
      </c>
      <c r="Y812" s="78" t="s">
        <v>101</v>
      </c>
      <c r="AA812" s="77" t="s">
        <v>191</v>
      </c>
      <c r="AB812" s="77" t="s">
        <v>78</v>
      </c>
      <c r="AC812" s="77" t="s">
        <v>90</v>
      </c>
      <c r="AD812" s="77" t="s">
        <v>102</v>
      </c>
      <c r="AE812" s="77" t="s">
        <v>3078</v>
      </c>
    </row>
    <row r="813" spans="1:33" x14ac:dyDescent="0.3">
      <c r="A813" s="77" t="s">
        <v>3350</v>
      </c>
      <c r="B813" s="77" t="s">
        <v>976</v>
      </c>
      <c r="G813" s="77" t="s">
        <v>3077</v>
      </c>
      <c r="H813" s="77" t="s">
        <v>77</v>
      </c>
      <c r="I813" s="77" t="s">
        <v>78</v>
      </c>
      <c r="J813" s="77" t="s">
        <v>3039</v>
      </c>
      <c r="K813" s="77" t="s">
        <v>80</v>
      </c>
      <c r="L813" s="77" t="s">
        <v>977</v>
      </c>
      <c r="M813" s="77" t="s">
        <v>82</v>
      </c>
      <c r="N813" s="77" t="s">
        <v>83</v>
      </c>
      <c r="Q813" s="77" t="s">
        <v>111</v>
      </c>
      <c r="U813" s="77" t="s">
        <v>85</v>
      </c>
      <c r="V813" s="80" t="s">
        <v>259</v>
      </c>
      <c r="X813" s="77" t="s">
        <v>260</v>
      </c>
      <c r="Y813" s="78" t="s">
        <v>101</v>
      </c>
      <c r="AA813" s="77" t="s">
        <v>191</v>
      </c>
      <c r="AB813" s="77" t="s">
        <v>78</v>
      </c>
      <c r="AC813" s="77" t="s">
        <v>90</v>
      </c>
      <c r="AD813" s="77" t="s">
        <v>102</v>
      </c>
      <c r="AE813" s="77" t="s">
        <v>3078</v>
      </c>
    </row>
    <row r="814" spans="1:33" hidden="1" x14ac:dyDescent="0.3">
      <c r="A814" s="77" t="s">
        <v>3351</v>
      </c>
      <c r="B814" s="77" t="s">
        <v>979</v>
      </c>
      <c r="G814" s="77" t="s">
        <v>3077</v>
      </c>
      <c r="H814" s="77" t="s">
        <v>77</v>
      </c>
      <c r="I814" s="77" t="s">
        <v>78</v>
      </c>
      <c r="J814" s="77" t="s">
        <v>3039</v>
      </c>
      <c r="K814" s="77" t="s">
        <v>80</v>
      </c>
      <c r="L814" s="77" t="s">
        <v>980</v>
      </c>
      <c r="M814" s="77" t="s">
        <v>82</v>
      </c>
      <c r="N814" s="77" t="s">
        <v>83</v>
      </c>
      <c r="Q814" s="77" t="s">
        <v>111</v>
      </c>
      <c r="U814" s="77" t="s">
        <v>85</v>
      </c>
      <c r="V814" s="80" t="s">
        <v>238</v>
      </c>
      <c r="W814" s="79">
        <v>46204.527050659723</v>
      </c>
      <c r="X814" s="77" t="s">
        <v>239</v>
      </c>
      <c r="Y814" s="78" t="s">
        <v>88</v>
      </c>
      <c r="AA814" s="77" t="s">
        <v>191</v>
      </c>
      <c r="AB814" s="77" t="s">
        <v>78</v>
      </c>
      <c r="AC814" s="77" t="s">
        <v>114</v>
      </c>
      <c r="AD814" s="77" t="s">
        <v>91</v>
      </c>
      <c r="AE814" s="77" t="s">
        <v>3078</v>
      </c>
      <c r="AF814" s="77" t="s">
        <v>2706</v>
      </c>
    </row>
    <row r="815" spans="1:33" hidden="1" x14ac:dyDescent="0.3">
      <c r="A815" s="77" t="s">
        <v>3352</v>
      </c>
      <c r="B815" s="77" t="s">
        <v>982</v>
      </c>
      <c r="G815" s="77" t="s">
        <v>3077</v>
      </c>
      <c r="H815" s="77" t="s">
        <v>77</v>
      </c>
      <c r="I815" s="77" t="s">
        <v>78</v>
      </c>
      <c r="J815" s="77" t="s">
        <v>3039</v>
      </c>
      <c r="K815" s="77" t="s">
        <v>80</v>
      </c>
      <c r="L815" s="77" t="s">
        <v>983</v>
      </c>
      <c r="M815" s="77" t="s">
        <v>82</v>
      </c>
      <c r="N815" s="77" t="s">
        <v>83</v>
      </c>
      <c r="Q815" s="77" t="s">
        <v>111</v>
      </c>
      <c r="U815" s="77" t="s">
        <v>85</v>
      </c>
      <c r="V815" s="77" t="s">
        <v>245</v>
      </c>
      <c r="W815" s="79">
        <v>46204.559159108794</v>
      </c>
      <c r="X815" s="77" t="s">
        <v>246</v>
      </c>
      <c r="Y815" s="78" t="s">
        <v>88</v>
      </c>
      <c r="AA815" s="77" t="s">
        <v>191</v>
      </c>
      <c r="AB815" s="77" t="s">
        <v>78</v>
      </c>
      <c r="AC815" s="77" t="s">
        <v>114</v>
      </c>
      <c r="AD815" s="77" t="s">
        <v>91</v>
      </c>
      <c r="AE815" s="77" t="s">
        <v>3078</v>
      </c>
      <c r="AF815" s="77" t="s">
        <v>2706</v>
      </c>
    </row>
    <row r="816" spans="1:33" x14ac:dyDescent="0.3">
      <c r="A816" s="77" t="s">
        <v>3353</v>
      </c>
      <c r="B816" s="77" t="s">
        <v>985</v>
      </c>
      <c r="G816" s="77" t="s">
        <v>3077</v>
      </c>
      <c r="H816" s="77" t="s">
        <v>77</v>
      </c>
      <c r="I816" s="77" t="s">
        <v>78</v>
      </c>
      <c r="J816" s="77" t="s">
        <v>3039</v>
      </c>
      <c r="K816" s="77" t="s">
        <v>80</v>
      </c>
      <c r="L816" s="77" t="s">
        <v>986</v>
      </c>
      <c r="M816" s="77" t="s">
        <v>82</v>
      </c>
      <c r="N816" s="77" t="s">
        <v>83</v>
      </c>
      <c r="Q816" s="77" t="s">
        <v>111</v>
      </c>
      <c r="U816" s="77" t="s">
        <v>85</v>
      </c>
      <c r="V816" s="80" t="s">
        <v>252</v>
      </c>
      <c r="X816" s="77" t="s">
        <v>253</v>
      </c>
      <c r="Y816" s="78" t="s">
        <v>101</v>
      </c>
      <c r="AA816" s="77" t="s">
        <v>191</v>
      </c>
      <c r="AB816" s="77" t="s">
        <v>78</v>
      </c>
      <c r="AC816" s="77" t="s">
        <v>90</v>
      </c>
      <c r="AD816" s="77" t="s">
        <v>102</v>
      </c>
      <c r="AE816" s="77" t="s">
        <v>3078</v>
      </c>
    </row>
    <row r="817" spans="1:32" x14ac:dyDescent="0.3">
      <c r="A817" s="77" t="s">
        <v>3354</v>
      </c>
      <c r="B817" s="77" t="s">
        <v>988</v>
      </c>
      <c r="G817" s="77" t="s">
        <v>3077</v>
      </c>
      <c r="H817" s="77" t="s">
        <v>77</v>
      </c>
      <c r="I817" s="77" t="s">
        <v>78</v>
      </c>
      <c r="J817" s="77" t="s">
        <v>3039</v>
      </c>
      <c r="K817" s="77" t="s">
        <v>80</v>
      </c>
      <c r="L817" s="77" t="s">
        <v>989</v>
      </c>
      <c r="M817" s="77" t="s">
        <v>82</v>
      </c>
      <c r="N817" s="77" t="s">
        <v>83</v>
      </c>
      <c r="Q817" s="77" t="s">
        <v>111</v>
      </c>
      <c r="U817" s="77" t="s">
        <v>85</v>
      </c>
      <c r="V817" s="80" t="s">
        <v>259</v>
      </c>
      <c r="X817" s="77" t="s">
        <v>260</v>
      </c>
      <c r="Y817" s="78" t="s">
        <v>101</v>
      </c>
      <c r="AA817" s="77" t="s">
        <v>191</v>
      </c>
      <c r="AB817" s="77" t="s">
        <v>78</v>
      </c>
      <c r="AC817" s="77" t="s">
        <v>90</v>
      </c>
      <c r="AD817" s="77" t="s">
        <v>102</v>
      </c>
      <c r="AE817" s="77" t="s">
        <v>3078</v>
      </c>
    </row>
    <row r="818" spans="1:32" hidden="1" x14ac:dyDescent="0.3">
      <c r="A818" s="77" t="s">
        <v>3355</v>
      </c>
      <c r="B818" s="77" t="s">
        <v>991</v>
      </c>
      <c r="G818" s="77" t="s">
        <v>3077</v>
      </c>
      <c r="H818" s="77" t="s">
        <v>77</v>
      </c>
      <c r="I818" s="77" t="s">
        <v>78</v>
      </c>
      <c r="J818" s="77" t="s">
        <v>3039</v>
      </c>
      <c r="K818" s="77" t="s">
        <v>80</v>
      </c>
      <c r="L818" s="77" t="s">
        <v>992</v>
      </c>
      <c r="M818" s="77" t="s">
        <v>82</v>
      </c>
      <c r="N818" s="77" t="s">
        <v>83</v>
      </c>
      <c r="Q818" s="77" t="s">
        <v>111</v>
      </c>
      <c r="U818" s="77" t="s">
        <v>85</v>
      </c>
      <c r="V818" s="80" t="s">
        <v>238</v>
      </c>
      <c r="W818" s="79">
        <v>46204.526677893518</v>
      </c>
      <c r="X818" s="77" t="s">
        <v>239</v>
      </c>
      <c r="Y818" s="78" t="s">
        <v>88</v>
      </c>
      <c r="AA818" s="77" t="s">
        <v>191</v>
      </c>
      <c r="AB818" s="77" t="s">
        <v>78</v>
      </c>
      <c r="AC818" s="77" t="s">
        <v>114</v>
      </c>
      <c r="AD818" s="77" t="s">
        <v>91</v>
      </c>
      <c r="AE818" s="77" t="s">
        <v>3078</v>
      </c>
      <c r="AF818" s="77" t="s">
        <v>2706</v>
      </c>
    </row>
    <row r="819" spans="1:32" hidden="1" x14ac:dyDescent="0.3">
      <c r="A819" s="77" t="s">
        <v>3356</v>
      </c>
      <c r="B819" s="77" t="s">
        <v>994</v>
      </c>
      <c r="G819" s="77" t="s">
        <v>3077</v>
      </c>
      <c r="H819" s="77" t="s">
        <v>77</v>
      </c>
      <c r="I819" s="77" t="s">
        <v>78</v>
      </c>
      <c r="J819" s="77" t="s">
        <v>3039</v>
      </c>
      <c r="K819" s="77" t="s">
        <v>80</v>
      </c>
      <c r="L819" s="77" t="s">
        <v>992</v>
      </c>
      <c r="M819" s="77" t="s">
        <v>82</v>
      </c>
      <c r="N819" s="77" t="s">
        <v>83</v>
      </c>
      <c r="Q819" s="77" t="s">
        <v>111</v>
      </c>
      <c r="U819" s="77" t="s">
        <v>85</v>
      </c>
      <c r="V819" s="80" t="s">
        <v>238</v>
      </c>
      <c r="W819" s="79">
        <v>46204.591482754629</v>
      </c>
      <c r="X819" s="77" t="s">
        <v>239</v>
      </c>
      <c r="Y819" s="78" t="s">
        <v>88</v>
      </c>
      <c r="AA819" s="77" t="s">
        <v>191</v>
      </c>
      <c r="AB819" s="77" t="s">
        <v>78</v>
      </c>
      <c r="AC819" s="77" t="s">
        <v>114</v>
      </c>
      <c r="AD819" s="77" t="s">
        <v>91</v>
      </c>
      <c r="AE819" s="77" t="s">
        <v>3078</v>
      </c>
      <c r="AF819" s="77" t="s">
        <v>2706</v>
      </c>
    </row>
    <row r="820" spans="1:32" hidden="1" x14ac:dyDescent="0.3">
      <c r="A820" s="77" t="s">
        <v>3357</v>
      </c>
      <c r="B820" s="77" t="s">
        <v>996</v>
      </c>
      <c r="G820" s="77" t="s">
        <v>3077</v>
      </c>
      <c r="H820" s="77" t="s">
        <v>77</v>
      </c>
      <c r="I820" s="77" t="s">
        <v>78</v>
      </c>
      <c r="J820" s="77" t="s">
        <v>3039</v>
      </c>
      <c r="K820" s="77" t="s">
        <v>80</v>
      </c>
      <c r="L820" s="77" t="s">
        <v>992</v>
      </c>
      <c r="M820" s="77" t="s">
        <v>82</v>
      </c>
      <c r="N820" s="77" t="s">
        <v>83</v>
      </c>
      <c r="Q820" s="77" t="s">
        <v>111</v>
      </c>
      <c r="U820" s="77" t="s">
        <v>85</v>
      </c>
      <c r="V820" s="80" t="s">
        <v>238</v>
      </c>
      <c r="W820" s="79">
        <v>46204.560932025466</v>
      </c>
      <c r="X820" s="77" t="s">
        <v>239</v>
      </c>
      <c r="Y820" s="78" t="s">
        <v>88</v>
      </c>
      <c r="AA820" s="77" t="s">
        <v>191</v>
      </c>
      <c r="AB820" s="77" t="s">
        <v>78</v>
      </c>
      <c r="AC820" s="77" t="s">
        <v>114</v>
      </c>
      <c r="AD820" s="77" t="s">
        <v>91</v>
      </c>
      <c r="AE820" s="77" t="s">
        <v>3078</v>
      </c>
      <c r="AF820" s="77" t="s">
        <v>2706</v>
      </c>
    </row>
    <row r="821" spans="1:32" hidden="1" x14ac:dyDescent="0.3">
      <c r="A821" s="77" t="s">
        <v>3358</v>
      </c>
      <c r="B821" s="77" t="s">
        <v>998</v>
      </c>
      <c r="G821" s="77" t="s">
        <v>3077</v>
      </c>
      <c r="H821" s="77" t="s">
        <v>77</v>
      </c>
      <c r="I821" s="77" t="s">
        <v>78</v>
      </c>
      <c r="J821" s="77" t="s">
        <v>3039</v>
      </c>
      <c r="K821" s="77" t="s">
        <v>80</v>
      </c>
      <c r="L821" s="77" t="s">
        <v>992</v>
      </c>
      <c r="M821" s="77" t="s">
        <v>82</v>
      </c>
      <c r="N821" s="77" t="s">
        <v>83</v>
      </c>
      <c r="Q821" s="77" t="s">
        <v>111</v>
      </c>
      <c r="U821" s="77" t="s">
        <v>85</v>
      </c>
      <c r="V821" s="80" t="s">
        <v>238</v>
      </c>
      <c r="W821" s="79">
        <v>46204.525116585646</v>
      </c>
      <c r="X821" s="77" t="s">
        <v>239</v>
      </c>
      <c r="Y821" s="78" t="s">
        <v>88</v>
      </c>
      <c r="AA821" s="77" t="s">
        <v>191</v>
      </c>
      <c r="AB821" s="77" t="s">
        <v>78</v>
      </c>
      <c r="AC821" s="77" t="s">
        <v>114</v>
      </c>
      <c r="AD821" s="77" t="s">
        <v>91</v>
      </c>
      <c r="AE821" s="77" t="s">
        <v>3078</v>
      </c>
      <c r="AF821" s="77" t="s">
        <v>2706</v>
      </c>
    </row>
    <row r="822" spans="1:32" hidden="1" x14ac:dyDescent="0.3">
      <c r="A822" s="77" t="s">
        <v>3359</v>
      </c>
      <c r="B822" s="77" t="s">
        <v>1000</v>
      </c>
      <c r="G822" s="77" t="s">
        <v>3077</v>
      </c>
      <c r="H822" s="77" t="s">
        <v>77</v>
      </c>
      <c r="I822" s="77" t="s">
        <v>78</v>
      </c>
      <c r="J822" s="77" t="s">
        <v>3039</v>
      </c>
      <c r="K822" s="77" t="s">
        <v>80</v>
      </c>
      <c r="L822" s="77" t="s">
        <v>992</v>
      </c>
      <c r="M822" s="77" t="s">
        <v>82</v>
      </c>
      <c r="N822" s="77" t="s">
        <v>83</v>
      </c>
      <c r="Q822" s="77" t="s">
        <v>111</v>
      </c>
      <c r="U822" s="77" t="s">
        <v>85</v>
      </c>
      <c r="V822" s="80" t="s">
        <v>238</v>
      </c>
      <c r="W822" s="79">
        <v>46204.523525775461</v>
      </c>
      <c r="X822" s="77" t="s">
        <v>239</v>
      </c>
      <c r="Y822" s="78" t="s">
        <v>88</v>
      </c>
      <c r="AA822" s="77" t="s">
        <v>191</v>
      </c>
      <c r="AB822" s="77" t="s">
        <v>78</v>
      </c>
      <c r="AC822" s="77" t="s">
        <v>114</v>
      </c>
      <c r="AD822" s="77" t="s">
        <v>91</v>
      </c>
      <c r="AE822" s="77" t="s">
        <v>3078</v>
      </c>
      <c r="AF822" s="77" t="s">
        <v>2706</v>
      </c>
    </row>
    <row r="823" spans="1:32" hidden="1" x14ac:dyDescent="0.3">
      <c r="A823" s="77" t="s">
        <v>3360</v>
      </c>
      <c r="B823" s="77" t="s">
        <v>1002</v>
      </c>
      <c r="G823" s="77" t="s">
        <v>3077</v>
      </c>
      <c r="H823" s="77" t="s">
        <v>77</v>
      </c>
      <c r="I823" s="77" t="s">
        <v>78</v>
      </c>
      <c r="J823" s="77" t="s">
        <v>3039</v>
      </c>
      <c r="K823" s="77" t="s">
        <v>80</v>
      </c>
      <c r="L823" s="77" t="s">
        <v>992</v>
      </c>
      <c r="M823" s="77" t="s">
        <v>82</v>
      </c>
      <c r="N823" s="77" t="s">
        <v>83</v>
      </c>
      <c r="Q823" s="77" t="s">
        <v>111</v>
      </c>
      <c r="U823" s="77" t="s">
        <v>85</v>
      </c>
      <c r="V823" s="80" t="s">
        <v>238</v>
      </c>
      <c r="W823" s="79">
        <v>46204.523061805558</v>
      </c>
      <c r="X823" s="77" t="s">
        <v>239</v>
      </c>
      <c r="Y823" s="78" t="s">
        <v>88</v>
      </c>
      <c r="AA823" s="77" t="s">
        <v>191</v>
      </c>
      <c r="AB823" s="77" t="s">
        <v>78</v>
      </c>
      <c r="AC823" s="77" t="s">
        <v>114</v>
      </c>
      <c r="AD823" s="77" t="s">
        <v>91</v>
      </c>
      <c r="AE823" s="77" t="s">
        <v>3078</v>
      </c>
      <c r="AF823" s="77" t="s">
        <v>2706</v>
      </c>
    </row>
    <row r="824" spans="1:32" hidden="1" x14ac:dyDescent="0.3">
      <c r="A824" s="77" t="s">
        <v>3361</v>
      </c>
      <c r="B824" s="77" t="s">
        <v>1004</v>
      </c>
      <c r="G824" s="77" t="s">
        <v>3077</v>
      </c>
      <c r="H824" s="77" t="s">
        <v>77</v>
      </c>
      <c r="I824" s="77" t="s">
        <v>78</v>
      </c>
      <c r="J824" s="77" t="s">
        <v>3039</v>
      </c>
      <c r="K824" s="77" t="s">
        <v>80</v>
      </c>
      <c r="L824" s="77" t="s">
        <v>992</v>
      </c>
      <c r="M824" s="77" t="s">
        <v>82</v>
      </c>
      <c r="N824" s="77" t="s">
        <v>83</v>
      </c>
      <c r="Q824" s="77" t="s">
        <v>111</v>
      </c>
      <c r="U824" s="77" t="s">
        <v>85</v>
      </c>
      <c r="V824" s="80" t="s">
        <v>238</v>
      </c>
      <c r="W824" s="79">
        <v>46204.52258769676</v>
      </c>
      <c r="X824" s="77" t="s">
        <v>239</v>
      </c>
      <c r="Y824" s="78" t="s">
        <v>88</v>
      </c>
      <c r="AA824" s="77" t="s">
        <v>191</v>
      </c>
      <c r="AB824" s="77" t="s">
        <v>78</v>
      </c>
      <c r="AC824" s="77" t="s">
        <v>114</v>
      </c>
      <c r="AD824" s="77" t="s">
        <v>91</v>
      </c>
      <c r="AE824" s="77" t="s">
        <v>3078</v>
      </c>
      <c r="AF824" s="77" t="s">
        <v>2706</v>
      </c>
    </row>
    <row r="825" spans="1:32" hidden="1" x14ac:dyDescent="0.3">
      <c r="A825" s="77" t="s">
        <v>3362</v>
      </c>
      <c r="B825" s="77" t="s">
        <v>1006</v>
      </c>
      <c r="G825" s="77" t="s">
        <v>3077</v>
      </c>
      <c r="H825" s="77" t="s">
        <v>77</v>
      </c>
      <c r="I825" s="77" t="s">
        <v>78</v>
      </c>
      <c r="J825" s="77" t="s">
        <v>3039</v>
      </c>
      <c r="K825" s="77" t="s">
        <v>80</v>
      </c>
      <c r="L825" s="77" t="s">
        <v>992</v>
      </c>
      <c r="M825" s="77" t="s">
        <v>82</v>
      </c>
      <c r="N825" s="77" t="s">
        <v>83</v>
      </c>
      <c r="Q825" s="77" t="s">
        <v>111</v>
      </c>
      <c r="U825" s="77" t="s">
        <v>85</v>
      </c>
      <c r="V825" s="80" t="s">
        <v>238</v>
      </c>
      <c r="W825" s="79">
        <v>46204.522245451386</v>
      </c>
      <c r="X825" s="77" t="s">
        <v>239</v>
      </c>
      <c r="Y825" s="78" t="s">
        <v>88</v>
      </c>
      <c r="AA825" s="77" t="s">
        <v>191</v>
      </c>
      <c r="AB825" s="77" t="s">
        <v>78</v>
      </c>
      <c r="AC825" s="77" t="s">
        <v>114</v>
      </c>
      <c r="AD825" s="77" t="s">
        <v>91</v>
      </c>
      <c r="AE825" s="77" t="s">
        <v>3078</v>
      </c>
      <c r="AF825" s="77" t="s">
        <v>2706</v>
      </c>
    </row>
    <row r="826" spans="1:32" hidden="1" x14ac:dyDescent="0.3">
      <c r="A826" s="77" t="s">
        <v>3363</v>
      </c>
      <c r="B826" s="77" t="s">
        <v>1008</v>
      </c>
      <c r="G826" s="77" t="s">
        <v>3077</v>
      </c>
      <c r="H826" s="77" t="s">
        <v>77</v>
      </c>
      <c r="I826" s="77" t="s">
        <v>78</v>
      </c>
      <c r="J826" s="77" t="s">
        <v>3039</v>
      </c>
      <c r="K826" s="77" t="s">
        <v>80</v>
      </c>
      <c r="L826" s="77" t="s">
        <v>992</v>
      </c>
      <c r="M826" s="77" t="s">
        <v>82</v>
      </c>
      <c r="N826" s="77" t="s">
        <v>83</v>
      </c>
      <c r="Q826" s="77" t="s">
        <v>111</v>
      </c>
      <c r="U826" s="77" t="s">
        <v>85</v>
      </c>
      <c r="V826" s="80" t="s">
        <v>238</v>
      </c>
      <c r="W826" s="79">
        <v>46204.561637928244</v>
      </c>
      <c r="X826" s="77" t="s">
        <v>239</v>
      </c>
      <c r="Y826" s="78" t="s">
        <v>88</v>
      </c>
      <c r="AA826" s="77" t="s">
        <v>191</v>
      </c>
      <c r="AB826" s="77" t="s">
        <v>78</v>
      </c>
      <c r="AC826" s="77" t="s">
        <v>114</v>
      </c>
      <c r="AD826" s="77" t="s">
        <v>91</v>
      </c>
      <c r="AE826" s="77" t="s">
        <v>3078</v>
      </c>
      <c r="AF826" s="77" t="s">
        <v>2706</v>
      </c>
    </row>
    <row r="827" spans="1:32" hidden="1" x14ac:dyDescent="0.3">
      <c r="A827" s="77" t="s">
        <v>3364</v>
      </c>
      <c r="B827" s="77" t="s">
        <v>1010</v>
      </c>
      <c r="G827" s="77" t="s">
        <v>3077</v>
      </c>
      <c r="H827" s="77" t="s">
        <v>77</v>
      </c>
      <c r="I827" s="77" t="s">
        <v>78</v>
      </c>
      <c r="J827" s="77" t="s">
        <v>3039</v>
      </c>
      <c r="K827" s="77" t="s">
        <v>80</v>
      </c>
      <c r="L827" s="77" t="s">
        <v>992</v>
      </c>
      <c r="M827" s="77" t="s">
        <v>82</v>
      </c>
      <c r="N827" s="77" t="s">
        <v>83</v>
      </c>
      <c r="Q827" s="77" t="s">
        <v>111</v>
      </c>
      <c r="U827" s="77" t="s">
        <v>85</v>
      </c>
      <c r="V827" s="80" t="s">
        <v>238</v>
      </c>
      <c r="W827" s="79">
        <v>46204.521891284719</v>
      </c>
      <c r="X827" s="77" t="s">
        <v>239</v>
      </c>
      <c r="Y827" s="78" t="s">
        <v>88</v>
      </c>
      <c r="AA827" s="77" t="s">
        <v>191</v>
      </c>
      <c r="AB827" s="77" t="s">
        <v>78</v>
      </c>
      <c r="AC827" s="77" t="s">
        <v>114</v>
      </c>
      <c r="AD827" s="77" t="s">
        <v>91</v>
      </c>
      <c r="AE827" s="77" t="s">
        <v>3078</v>
      </c>
      <c r="AF827" s="77" t="s">
        <v>2706</v>
      </c>
    </row>
    <row r="828" spans="1:32" hidden="1" x14ac:dyDescent="0.3">
      <c r="A828" s="77" t="s">
        <v>3365</v>
      </c>
      <c r="B828" s="77" t="s">
        <v>1012</v>
      </c>
      <c r="G828" s="77" t="s">
        <v>3077</v>
      </c>
      <c r="H828" s="77" t="s">
        <v>77</v>
      </c>
      <c r="I828" s="77" t="s">
        <v>78</v>
      </c>
      <c r="J828" s="77" t="s">
        <v>3039</v>
      </c>
      <c r="K828" s="77" t="s">
        <v>80</v>
      </c>
      <c r="L828" s="77" t="s">
        <v>992</v>
      </c>
      <c r="M828" s="77" t="s">
        <v>82</v>
      </c>
      <c r="N828" s="77" t="s">
        <v>83</v>
      </c>
      <c r="Q828" s="77" t="s">
        <v>111</v>
      </c>
      <c r="U828" s="77" t="s">
        <v>85</v>
      </c>
      <c r="V828" s="80" t="s">
        <v>238</v>
      </c>
      <c r="W828" s="79">
        <v>46204.520550462963</v>
      </c>
      <c r="X828" s="77" t="s">
        <v>239</v>
      </c>
      <c r="Y828" s="78" t="s">
        <v>88</v>
      </c>
      <c r="AA828" s="77" t="s">
        <v>191</v>
      </c>
      <c r="AB828" s="77" t="s">
        <v>78</v>
      </c>
      <c r="AC828" s="77" t="s">
        <v>114</v>
      </c>
      <c r="AD828" s="77" t="s">
        <v>91</v>
      </c>
      <c r="AE828" s="77" t="s">
        <v>3078</v>
      </c>
      <c r="AF828" s="77" t="s">
        <v>2706</v>
      </c>
    </row>
    <row r="829" spans="1:32" hidden="1" x14ac:dyDescent="0.3">
      <c r="A829" s="77" t="s">
        <v>3366</v>
      </c>
      <c r="B829" s="77" t="s">
        <v>1014</v>
      </c>
      <c r="G829" s="77" t="s">
        <v>3077</v>
      </c>
      <c r="H829" s="77" t="s">
        <v>77</v>
      </c>
      <c r="I829" s="77" t="s">
        <v>78</v>
      </c>
      <c r="J829" s="77" t="s">
        <v>3039</v>
      </c>
      <c r="K829" s="77" t="s">
        <v>80</v>
      </c>
      <c r="L829" s="77" t="s">
        <v>1015</v>
      </c>
      <c r="M829" s="77" t="s">
        <v>82</v>
      </c>
      <c r="N829" s="77" t="s">
        <v>83</v>
      </c>
      <c r="Q829" s="77" t="s">
        <v>111</v>
      </c>
      <c r="U829" s="77" t="s">
        <v>85</v>
      </c>
      <c r="V829" s="77" t="s">
        <v>245</v>
      </c>
      <c r="W829" s="79">
        <v>46204.52012685185</v>
      </c>
      <c r="X829" s="77" t="s">
        <v>246</v>
      </c>
      <c r="Y829" s="78" t="s">
        <v>88</v>
      </c>
      <c r="AA829" s="77" t="s">
        <v>191</v>
      </c>
      <c r="AB829" s="77" t="s">
        <v>78</v>
      </c>
      <c r="AC829" s="77" t="s">
        <v>114</v>
      </c>
      <c r="AD829" s="77" t="s">
        <v>91</v>
      </c>
      <c r="AE829" s="77" t="s">
        <v>3078</v>
      </c>
      <c r="AF829" s="77" t="s">
        <v>2706</v>
      </c>
    </row>
    <row r="830" spans="1:32" hidden="1" x14ac:dyDescent="0.3">
      <c r="A830" s="77" t="s">
        <v>3367</v>
      </c>
      <c r="B830" s="77" t="s">
        <v>1017</v>
      </c>
      <c r="G830" s="77" t="s">
        <v>3077</v>
      </c>
      <c r="H830" s="77" t="s">
        <v>77</v>
      </c>
      <c r="I830" s="77" t="s">
        <v>78</v>
      </c>
      <c r="J830" s="77" t="s">
        <v>3039</v>
      </c>
      <c r="K830" s="77" t="s">
        <v>80</v>
      </c>
      <c r="L830" s="77" t="s">
        <v>1015</v>
      </c>
      <c r="M830" s="77" t="s">
        <v>82</v>
      </c>
      <c r="N830" s="77" t="s">
        <v>83</v>
      </c>
      <c r="Q830" s="77" t="s">
        <v>111</v>
      </c>
      <c r="U830" s="77" t="s">
        <v>85</v>
      </c>
      <c r="V830" s="77" t="s">
        <v>245</v>
      </c>
      <c r="W830" s="79">
        <v>46204.562924108795</v>
      </c>
      <c r="X830" s="77" t="s">
        <v>246</v>
      </c>
      <c r="Y830" s="78" t="s">
        <v>88</v>
      </c>
      <c r="AA830" s="77" t="s">
        <v>191</v>
      </c>
      <c r="AB830" s="77" t="s">
        <v>78</v>
      </c>
      <c r="AC830" s="77" t="s">
        <v>114</v>
      </c>
      <c r="AD830" s="77" t="s">
        <v>91</v>
      </c>
      <c r="AE830" s="77" t="s">
        <v>3078</v>
      </c>
      <c r="AF830" s="77" t="s">
        <v>2706</v>
      </c>
    </row>
    <row r="831" spans="1:32" hidden="1" x14ac:dyDescent="0.3">
      <c r="A831" s="77" t="s">
        <v>3368</v>
      </c>
      <c r="B831" s="77" t="s">
        <v>1019</v>
      </c>
      <c r="G831" s="77" t="s">
        <v>3077</v>
      </c>
      <c r="H831" s="77" t="s">
        <v>77</v>
      </c>
      <c r="I831" s="77" t="s">
        <v>78</v>
      </c>
      <c r="J831" s="77" t="s">
        <v>3039</v>
      </c>
      <c r="K831" s="77" t="s">
        <v>80</v>
      </c>
      <c r="L831" s="77" t="s">
        <v>1015</v>
      </c>
      <c r="M831" s="77" t="s">
        <v>82</v>
      </c>
      <c r="N831" s="77" t="s">
        <v>83</v>
      </c>
      <c r="Q831" s="77" t="s">
        <v>111</v>
      </c>
      <c r="U831" s="77" t="s">
        <v>85</v>
      </c>
      <c r="V831" s="77" t="s">
        <v>245</v>
      </c>
      <c r="W831" s="79">
        <v>46204.563542326388</v>
      </c>
      <c r="X831" s="77" t="s">
        <v>246</v>
      </c>
      <c r="Y831" s="78" t="s">
        <v>88</v>
      </c>
      <c r="AA831" s="77" t="s">
        <v>191</v>
      </c>
      <c r="AB831" s="77" t="s">
        <v>78</v>
      </c>
      <c r="AC831" s="77" t="s">
        <v>114</v>
      </c>
      <c r="AD831" s="77" t="s">
        <v>91</v>
      </c>
      <c r="AE831" s="77" t="s">
        <v>3078</v>
      </c>
      <c r="AF831" s="77" t="s">
        <v>2706</v>
      </c>
    </row>
    <row r="832" spans="1:32" hidden="1" x14ac:dyDescent="0.3">
      <c r="A832" s="77" t="s">
        <v>3369</v>
      </c>
      <c r="B832" s="77" t="s">
        <v>1021</v>
      </c>
      <c r="G832" s="77" t="s">
        <v>3077</v>
      </c>
      <c r="H832" s="77" t="s">
        <v>77</v>
      </c>
      <c r="I832" s="77" t="s">
        <v>78</v>
      </c>
      <c r="J832" s="77" t="s">
        <v>3039</v>
      </c>
      <c r="K832" s="77" t="s">
        <v>80</v>
      </c>
      <c r="L832" s="77" t="s">
        <v>1015</v>
      </c>
      <c r="M832" s="77" t="s">
        <v>82</v>
      </c>
      <c r="N832" s="77" t="s">
        <v>83</v>
      </c>
      <c r="Q832" s="77" t="s">
        <v>111</v>
      </c>
      <c r="U832" s="77" t="s">
        <v>85</v>
      </c>
      <c r="V832" s="77" t="s">
        <v>245</v>
      </c>
      <c r="W832" s="79">
        <v>46204.519662037033</v>
      </c>
      <c r="X832" s="77" t="s">
        <v>246</v>
      </c>
      <c r="Y832" s="78" t="s">
        <v>88</v>
      </c>
      <c r="AA832" s="77" t="s">
        <v>191</v>
      </c>
      <c r="AB832" s="77" t="s">
        <v>78</v>
      </c>
      <c r="AC832" s="77" t="s">
        <v>114</v>
      </c>
      <c r="AD832" s="77" t="s">
        <v>91</v>
      </c>
      <c r="AE832" s="77" t="s">
        <v>3078</v>
      </c>
      <c r="AF832" s="77" t="s">
        <v>2706</v>
      </c>
    </row>
    <row r="833" spans="1:32" hidden="1" x14ac:dyDescent="0.3">
      <c r="A833" s="77" t="s">
        <v>3370</v>
      </c>
      <c r="B833" s="77" t="s">
        <v>1023</v>
      </c>
      <c r="G833" s="77" t="s">
        <v>3077</v>
      </c>
      <c r="H833" s="77" t="s">
        <v>77</v>
      </c>
      <c r="I833" s="77" t="s">
        <v>78</v>
      </c>
      <c r="J833" s="77" t="s">
        <v>3039</v>
      </c>
      <c r="K833" s="77" t="s">
        <v>80</v>
      </c>
      <c r="L833" s="77" t="s">
        <v>1015</v>
      </c>
      <c r="M833" s="77" t="s">
        <v>82</v>
      </c>
      <c r="N833" s="77" t="s">
        <v>83</v>
      </c>
      <c r="Q833" s="77" t="s">
        <v>111</v>
      </c>
      <c r="U833" s="77" t="s">
        <v>85</v>
      </c>
      <c r="V833" s="77" t="s">
        <v>245</v>
      </c>
      <c r="W833" s="79">
        <v>46204.519211076389</v>
      </c>
      <c r="X833" s="77" t="s">
        <v>246</v>
      </c>
      <c r="Y833" s="78" t="s">
        <v>88</v>
      </c>
      <c r="AA833" s="77" t="s">
        <v>191</v>
      </c>
      <c r="AB833" s="77" t="s">
        <v>78</v>
      </c>
      <c r="AC833" s="77" t="s">
        <v>114</v>
      </c>
      <c r="AD833" s="77" t="s">
        <v>91</v>
      </c>
      <c r="AE833" s="77" t="s">
        <v>3078</v>
      </c>
      <c r="AF833" s="77" t="s">
        <v>2706</v>
      </c>
    </row>
    <row r="834" spans="1:32" hidden="1" x14ac:dyDescent="0.3">
      <c r="A834" s="77" t="s">
        <v>3371</v>
      </c>
      <c r="B834" s="77" t="s">
        <v>1025</v>
      </c>
      <c r="G834" s="77" t="s">
        <v>3077</v>
      </c>
      <c r="H834" s="77" t="s">
        <v>77</v>
      </c>
      <c r="I834" s="77" t="s">
        <v>78</v>
      </c>
      <c r="J834" s="77" t="s">
        <v>3039</v>
      </c>
      <c r="K834" s="77" t="s">
        <v>80</v>
      </c>
      <c r="L834" s="77" t="s">
        <v>1015</v>
      </c>
      <c r="M834" s="77" t="s">
        <v>82</v>
      </c>
      <c r="N834" s="77" t="s">
        <v>83</v>
      </c>
      <c r="Q834" s="77" t="s">
        <v>111</v>
      </c>
      <c r="U834" s="77" t="s">
        <v>85</v>
      </c>
      <c r="V834" s="77" t="s">
        <v>245</v>
      </c>
      <c r="W834" s="79">
        <v>46204.518753668985</v>
      </c>
      <c r="X834" s="77" t="s">
        <v>246</v>
      </c>
      <c r="Y834" s="78" t="s">
        <v>88</v>
      </c>
      <c r="AA834" s="77" t="s">
        <v>191</v>
      </c>
      <c r="AB834" s="77" t="s">
        <v>78</v>
      </c>
      <c r="AC834" s="77" t="s">
        <v>114</v>
      </c>
      <c r="AD834" s="77" t="s">
        <v>91</v>
      </c>
      <c r="AE834" s="77" t="s">
        <v>3078</v>
      </c>
      <c r="AF834" s="77" t="s">
        <v>2706</v>
      </c>
    </row>
    <row r="835" spans="1:32" hidden="1" x14ac:dyDescent="0.3">
      <c r="A835" s="77" t="s">
        <v>3372</v>
      </c>
      <c r="B835" s="77" t="s">
        <v>1027</v>
      </c>
      <c r="G835" s="77" t="s">
        <v>3077</v>
      </c>
      <c r="H835" s="77" t="s">
        <v>77</v>
      </c>
      <c r="I835" s="77" t="s">
        <v>78</v>
      </c>
      <c r="J835" s="77" t="s">
        <v>3039</v>
      </c>
      <c r="K835" s="77" t="s">
        <v>80</v>
      </c>
      <c r="L835" s="77" t="s">
        <v>1015</v>
      </c>
      <c r="M835" s="77" t="s">
        <v>82</v>
      </c>
      <c r="N835" s="77" t="s">
        <v>83</v>
      </c>
      <c r="Q835" s="77" t="s">
        <v>111</v>
      </c>
      <c r="U835" s="77" t="s">
        <v>85</v>
      </c>
      <c r="V835" s="77" t="s">
        <v>245</v>
      </c>
      <c r="W835" s="79">
        <v>46204.518339085647</v>
      </c>
      <c r="X835" s="77" t="s">
        <v>246</v>
      </c>
      <c r="Y835" s="78" t="s">
        <v>88</v>
      </c>
      <c r="AA835" s="77" t="s">
        <v>191</v>
      </c>
      <c r="AB835" s="77" t="s">
        <v>78</v>
      </c>
      <c r="AC835" s="77" t="s">
        <v>114</v>
      </c>
      <c r="AD835" s="77" t="s">
        <v>91</v>
      </c>
      <c r="AE835" s="77" t="s">
        <v>3078</v>
      </c>
      <c r="AF835" s="77" t="s">
        <v>2706</v>
      </c>
    </row>
    <row r="836" spans="1:32" hidden="1" x14ac:dyDescent="0.3">
      <c r="A836" s="77" t="s">
        <v>3373</v>
      </c>
      <c r="B836" s="77" t="s">
        <v>1029</v>
      </c>
      <c r="G836" s="77" t="s">
        <v>3077</v>
      </c>
      <c r="H836" s="77" t="s">
        <v>77</v>
      </c>
      <c r="I836" s="77" t="s">
        <v>78</v>
      </c>
      <c r="J836" s="77" t="s">
        <v>3039</v>
      </c>
      <c r="K836" s="77" t="s">
        <v>80</v>
      </c>
      <c r="L836" s="77" t="s">
        <v>1015</v>
      </c>
      <c r="M836" s="77" t="s">
        <v>82</v>
      </c>
      <c r="N836" s="77" t="s">
        <v>83</v>
      </c>
      <c r="Q836" s="77" t="s">
        <v>111</v>
      </c>
      <c r="U836" s="77" t="s">
        <v>85</v>
      </c>
      <c r="V836" s="77" t="s">
        <v>245</v>
      </c>
      <c r="W836" s="79">
        <v>46204.517638773148</v>
      </c>
      <c r="X836" s="77" t="s">
        <v>246</v>
      </c>
      <c r="Y836" s="78" t="s">
        <v>88</v>
      </c>
      <c r="AA836" s="77" t="s">
        <v>191</v>
      </c>
      <c r="AB836" s="77" t="s">
        <v>78</v>
      </c>
      <c r="AC836" s="77" t="s">
        <v>114</v>
      </c>
      <c r="AD836" s="77" t="s">
        <v>91</v>
      </c>
      <c r="AE836" s="77" t="s">
        <v>3078</v>
      </c>
      <c r="AF836" s="77" t="s">
        <v>2706</v>
      </c>
    </row>
    <row r="837" spans="1:32" hidden="1" x14ac:dyDescent="0.3">
      <c r="A837" s="77" t="s">
        <v>3374</v>
      </c>
      <c r="B837" s="77" t="s">
        <v>1031</v>
      </c>
      <c r="G837" s="77" t="s">
        <v>3077</v>
      </c>
      <c r="H837" s="77" t="s">
        <v>77</v>
      </c>
      <c r="I837" s="77" t="s">
        <v>78</v>
      </c>
      <c r="J837" s="77" t="s">
        <v>3039</v>
      </c>
      <c r="K837" s="77" t="s">
        <v>80</v>
      </c>
      <c r="L837" s="77" t="s">
        <v>1015</v>
      </c>
      <c r="M837" s="77" t="s">
        <v>82</v>
      </c>
      <c r="N837" s="77" t="s">
        <v>83</v>
      </c>
      <c r="Q837" s="77" t="s">
        <v>111</v>
      </c>
      <c r="U837" s="77" t="s">
        <v>85</v>
      </c>
      <c r="V837" s="77" t="s">
        <v>245</v>
      </c>
      <c r="W837" s="79">
        <v>46204.517282141205</v>
      </c>
      <c r="X837" s="77" t="s">
        <v>246</v>
      </c>
      <c r="Y837" s="78" t="s">
        <v>88</v>
      </c>
      <c r="AA837" s="77" t="s">
        <v>191</v>
      </c>
      <c r="AB837" s="77" t="s">
        <v>78</v>
      </c>
      <c r="AC837" s="77" t="s">
        <v>114</v>
      </c>
      <c r="AD837" s="77" t="s">
        <v>91</v>
      </c>
      <c r="AE837" s="77" t="s">
        <v>3078</v>
      </c>
      <c r="AF837" s="77" t="s">
        <v>2706</v>
      </c>
    </row>
    <row r="838" spans="1:32" hidden="1" x14ac:dyDescent="0.3">
      <c r="A838" s="77" t="s">
        <v>3375</v>
      </c>
      <c r="B838" s="77" t="s">
        <v>1033</v>
      </c>
      <c r="G838" s="77" t="s">
        <v>3077</v>
      </c>
      <c r="H838" s="77" t="s">
        <v>77</v>
      </c>
      <c r="I838" s="77" t="s">
        <v>78</v>
      </c>
      <c r="J838" s="77" t="s">
        <v>3039</v>
      </c>
      <c r="K838" s="77" t="s">
        <v>80</v>
      </c>
      <c r="L838" s="77" t="s">
        <v>1015</v>
      </c>
      <c r="M838" s="77" t="s">
        <v>82</v>
      </c>
      <c r="N838" s="77" t="s">
        <v>83</v>
      </c>
      <c r="Q838" s="77" t="s">
        <v>111</v>
      </c>
      <c r="U838" s="77" t="s">
        <v>85</v>
      </c>
      <c r="V838" s="77" t="s">
        <v>245</v>
      </c>
      <c r="W838" s="79">
        <v>46204.516968750002</v>
      </c>
      <c r="X838" s="77" t="s">
        <v>246</v>
      </c>
      <c r="Y838" s="78" t="s">
        <v>88</v>
      </c>
      <c r="AA838" s="77" t="s">
        <v>191</v>
      </c>
      <c r="AB838" s="77" t="s">
        <v>78</v>
      </c>
      <c r="AC838" s="77" t="s">
        <v>114</v>
      </c>
      <c r="AD838" s="77" t="s">
        <v>91</v>
      </c>
      <c r="AE838" s="77" t="s">
        <v>3078</v>
      </c>
      <c r="AF838" s="77" t="s">
        <v>2706</v>
      </c>
    </row>
    <row r="839" spans="1:32" hidden="1" x14ac:dyDescent="0.3">
      <c r="A839" s="77" t="s">
        <v>3376</v>
      </c>
      <c r="B839" s="77" t="s">
        <v>1035</v>
      </c>
      <c r="G839" s="77" t="s">
        <v>3077</v>
      </c>
      <c r="H839" s="77" t="s">
        <v>77</v>
      </c>
      <c r="I839" s="77" t="s">
        <v>78</v>
      </c>
      <c r="J839" s="77" t="s">
        <v>3039</v>
      </c>
      <c r="K839" s="77" t="s">
        <v>80</v>
      </c>
      <c r="L839" s="77" t="s">
        <v>1015</v>
      </c>
      <c r="M839" s="77" t="s">
        <v>82</v>
      </c>
      <c r="N839" s="77" t="s">
        <v>83</v>
      </c>
      <c r="Q839" s="77" t="s">
        <v>111</v>
      </c>
      <c r="U839" s="77" t="s">
        <v>85</v>
      </c>
      <c r="V839" s="77" t="s">
        <v>245</v>
      </c>
      <c r="W839" s="79">
        <v>46204.516575891204</v>
      </c>
      <c r="X839" s="77" t="s">
        <v>246</v>
      </c>
      <c r="Y839" s="78" t="s">
        <v>88</v>
      </c>
      <c r="AA839" s="77" t="s">
        <v>191</v>
      </c>
      <c r="AB839" s="77" t="s">
        <v>78</v>
      </c>
      <c r="AC839" s="77" t="s">
        <v>114</v>
      </c>
      <c r="AD839" s="77" t="s">
        <v>91</v>
      </c>
      <c r="AE839" s="77" t="s">
        <v>3078</v>
      </c>
      <c r="AF839" s="77" t="s">
        <v>2706</v>
      </c>
    </row>
    <row r="840" spans="1:32" hidden="1" x14ac:dyDescent="0.3">
      <c r="A840" s="77" t="s">
        <v>3377</v>
      </c>
      <c r="B840" s="77" t="s">
        <v>1037</v>
      </c>
      <c r="G840" s="77" t="s">
        <v>3077</v>
      </c>
      <c r="H840" s="77" t="s">
        <v>77</v>
      </c>
      <c r="I840" s="77" t="s">
        <v>78</v>
      </c>
      <c r="J840" s="77" t="s">
        <v>3039</v>
      </c>
      <c r="K840" s="77" t="s">
        <v>80</v>
      </c>
      <c r="L840" s="77" t="s">
        <v>1038</v>
      </c>
      <c r="M840" s="77" t="s">
        <v>82</v>
      </c>
      <c r="N840" s="77" t="s">
        <v>83</v>
      </c>
      <c r="Q840" s="77" t="s">
        <v>111</v>
      </c>
      <c r="U840" s="77" t="s">
        <v>85</v>
      </c>
      <c r="V840" s="77" t="s">
        <v>252</v>
      </c>
      <c r="W840" s="79">
        <v>46214.273959988423</v>
      </c>
      <c r="X840" s="77" t="s">
        <v>253</v>
      </c>
      <c r="Y840" s="78" t="s">
        <v>101</v>
      </c>
      <c r="AA840" s="77" t="s">
        <v>191</v>
      </c>
      <c r="AB840" s="77" t="s">
        <v>78</v>
      </c>
      <c r="AC840" s="77" t="s">
        <v>114</v>
      </c>
      <c r="AD840" s="77" t="s">
        <v>102</v>
      </c>
      <c r="AE840" s="77" t="s">
        <v>3078</v>
      </c>
      <c r="AF840" s="77" t="s">
        <v>2706</v>
      </c>
    </row>
    <row r="841" spans="1:32" x14ac:dyDescent="0.3">
      <c r="A841" s="77" t="s">
        <v>3378</v>
      </c>
      <c r="B841" s="77" t="s">
        <v>1040</v>
      </c>
      <c r="G841" s="77" t="s">
        <v>3077</v>
      </c>
      <c r="H841" s="77" t="s">
        <v>77</v>
      </c>
      <c r="I841" s="77" t="s">
        <v>78</v>
      </c>
      <c r="J841" s="77" t="s">
        <v>3039</v>
      </c>
      <c r="K841" s="77" t="s">
        <v>80</v>
      </c>
      <c r="L841" s="77" t="s">
        <v>1038</v>
      </c>
      <c r="M841" s="77" t="s">
        <v>82</v>
      </c>
      <c r="N841" s="77" t="s">
        <v>83</v>
      </c>
      <c r="Q841" s="77" t="s">
        <v>111</v>
      </c>
      <c r="U841" s="77" t="s">
        <v>85</v>
      </c>
      <c r="V841" s="80" t="s">
        <v>252</v>
      </c>
      <c r="X841" s="77" t="s">
        <v>253</v>
      </c>
      <c r="Y841" s="78" t="s">
        <v>101</v>
      </c>
      <c r="AA841" s="77" t="s">
        <v>191</v>
      </c>
      <c r="AB841" s="77" t="s">
        <v>78</v>
      </c>
      <c r="AC841" s="77" t="s">
        <v>90</v>
      </c>
      <c r="AD841" s="77" t="s">
        <v>102</v>
      </c>
      <c r="AE841" s="77" t="s">
        <v>3078</v>
      </c>
    </row>
    <row r="842" spans="1:32" x14ac:dyDescent="0.3">
      <c r="A842" s="77" t="s">
        <v>3379</v>
      </c>
      <c r="B842" s="77" t="s">
        <v>1042</v>
      </c>
      <c r="G842" s="77" t="s">
        <v>3077</v>
      </c>
      <c r="H842" s="77" t="s">
        <v>77</v>
      </c>
      <c r="I842" s="77" t="s">
        <v>78</v>
      </c>
      <c r="J842" s="77" t="s">
        <v>3039</v>
      </c>
      <c r="K842" s="77" t="s">
        <v>80</v>
      </c>
      <c r="L842" s="77" t="s">
        <v>1038</v>
      </c>
      <c r="M842" s="77" t="s">
        <v>82</v>
      </c>
      <c r="N842" s="77" t="s">
        <v>83</v>
      </c>
      <c r="Q842" s="77" t="s">
        <v>111</v>
      </c>
      <c r="U842" s="77" t="s">
        <v>85</v>
      </c>
      <c r="V842" s="80" t="s">
        <v>252</v>
      </c>
      <c r="X842" s="77" t="s">
        <v>253</v>
      </c>
      <c r="Y842" s="78" t="s">
        <v>101</v>
      </c>
      <c r="AA842" s="77" t="s">
        <v>191</v>
      </c>
      <c r="AB842" s="77" t="s">
        <v>78</v>
      </c>
      <c r="AC842" s="77" t="s">
        <v>90</v>
      </c>
      <c r="AD842" s="77" t="s">
        <v>102</v>
      </c>
      <c r="AE842" s="77" t="s">
        <v>3078</v>
      </c>
    </row>
    <row r="843" spans="1:32" x14ac:dyDescent="0.3">
      <c r="A843" s="77" t="s">
        <v>3380</v>
      </c>
      <c r="B843" s="77" t="s">
        <v>1044</v>
      </c>
      <c r="G843" s="77" t="s">
        <v>3077</v>
      </c>
      <c r="H843" s="77" t="s">
        <v>77</v>
      </c>
      <c r="I843" s="77" t="s">
        <v>78</v>
      </c>
      <c r="J843" s="77" t="s">
        <v>3039</v>
      </c>
      <c r="K843" s="77" t="s">
        <v>80</v>
      </c>
      <c r="L843" s="77" t="s">
        <v>1038</v>
      </c>
      <c r="M843" s="77" t="s">
        <v>82</v>
      </c>
      <c r="N843" s="77" t="s">
        <v>83</v>
      </c>
      <c r="Q843" s="77" t="s">
        <v>111</v>
      </c>
      <c r="U843" s="77" t="s">
        <v>85</v>
      </c>
      <c r="V843" s="80" t="s">
        <v>252</v>
      </c>
      <c r="X843" s="77" t="s">
        <v>253</v>
      </c>
      <c r="Y843" s="78" t="s">
        <v>101</v>
      </c>
      <c r="AA843" s="77" t="s">
        <v>191</v>
      </c>
      <c r="AB843" s="77" t="s">
        <v>78</v>
      </c>
      <c r="AC843" s="77" t="s">
        <v>90</v>
      </c>
      <c r="AD843" s="77" t="s">
        <v>102</v>
      </c>
      <c r="AE843" s="77" t="s">
        <v>3078</v>
      </c>
    </row>
    <row r="844" spans="1:32" x14ac:dyDescent="0.3">
      <c r="A844" s="77" t="s">
        <v>3381</v>
      </c>
      <c r="B844" s="77" t="s">
        <v>1046</v>
      </c>
      <c r="G844" s="77" t="s">
        <v>3077</v>
      </c>
      <c r="H844" s="77" t="s">
        <v>77</v>
      </c>
      <c r="I844" s="77" t="s">
        <v>78</v>
      </c>
      <c r="J844" s="77" t="s">
        <v>3039</v>
      </c>
      <c r="K844" s="77" t="s">
        <v>80</v>
      </c>
      <c r="L844" s="77" t="s">
        <v>1038</v>
      </c>
      <c r="M844" s="77" t="s">
        <v>82</v>
      </c>
      <c r="N844" s="77" t="s">
        <v>83</v>
      </c>
      <c r="Q844" s="77" t="s">
        <v>111</v>
      </c>
      <c r="U844" s="77" t="s">
        <v>85</v>
      </c>
      <c r="V844" s="80" t="s">
        <v>252</v>
      </c>
      <c r="X844" s="77" t="s">
        <v>253</v>
      </c>
      <c r="Y844" s="78" t="s">
        <v>101</v>
      </c>
      <c r="AA844" s="77" t="s">
        <v>191</v>
      </c>
      <c r="AB844" s="77" t="s">
        <v>78</v>
      </c>
      <c r="AC844" s="77" t="s">
        <v>90</v>
      </c>
      <c r="AD844" s="77" t="s">
        <v>102</v>
      </c>
      <c r="AE844" s="77" t="s">
        <v>3078</v>
      </c>
    </row>
    <row r="845" spans="1:32" x14ac:dyDescent="0.3">
      <c r="A845" s="77" t="s">
        <v>3382</v>
      </c>
      <c r="B845" s="77" t="s">
        <v>1048</v>
      </c>
      <c r="G845" s="77" t="s">
        <v>3077</v>
      </c>
      <c r="H845" s="77" t="s">
        <v>77</v>
      </c>
      <c r="I845" s="77" t="s">
        <v>78</v>
      </c>
      <c r="J845" s="77" t="s">
        <v>3039</v>
      </c>
      <c r="K845" s="77" t="s">
        <v>80</v>
      </c>
      <c r="L845" s="77" t="s">
        <v>1038</v>
      </c>
      <c r="M845" s="77" t="s">
        <v>82</v>
      </c>
      <c r="N845" s="77" t="s">
        <v>83</v>
      </c>
      <c r="Q845" s="77" t="s">
        <v>111</v>
      </c>
      <c r="U845" s="77" t="s">
        <v>85</v>
      </c>
      <c r="V845" s="80" t="s">
        <v>252</v>
      </c>
      <c r="X845" s="77" t="s">
        <v>253</v>
      </c>
      <c r="Y845" s="78" t="s">
        <v>101</v>
      </c>
      <c r="AA845" s="77" t="s">
        <v>191</v>
      </c>
      <c r="AB845" s="77" t="s">
        <v>78</v>
      </c>
      <c r="AC845" s="77" t="s">
        <v>90</v>
      </c>
      <c r="AD845" s="77" t="s">
        <v>102</v>
      </c>
      <c r="AE845" s="77" t="s">
        <v>3078</v>
      </c>
    </row>
    <row r="846" spans="1:32" x14ac:dyDescent="0.3">
      <c r="A846" s="77" t="s">
        <v>3383</v>
      </c>
      <c r="B846" s="77" t="s">
        <v>1050</v>
      </c>
      <c r="G846" s="77" t="s">
        <v>3077</v>
      </c>
      <c r="H846" s="77" t="s">
        <v>77</v>
      </c>
      <c r="I846" s="77" t="s">
        <v>78</v>
      </c>
      <c r="J846" s="77" t="s">
        <v>3039</v>
      </c>
      <c r="K846" s="77" t="s">
        <v>80</v>
      </c>
      <c r="L846" s="77" t="s">
        <v>1038</v>
      </c>
      <c r="M846" s="77" t="s">
        <v>82</v>
      </c>
      <c r="N846" s="77" t="s">
        <v>83</v>
      </c>
      <c r="Q846" s="77" t="s">
        <v>111</v>
      </c>
      <c r="U846" s="77" t="s">
        <v>85</v>
      </c>
      <c r="V846" s="80" t="s">
        <v>252</v>
      </c>
      <c r="X846" s="77" t="s">
        <v>253</v>
      </c>
      <c r="Y846" s="78" t="s">
        <v>101</v>
      </c>
      <c r="AA846" s="77" t="s">
        <v>191</v>
      </c>
      <c r="AB846" s="77" t="s">
        <v>78</v>
      </c>
      <c r="AC846" s="77" t="s">
        <v>90</v>
      </c>
      <c r="AD846" s="77" t="s">
        <v>102</v>
      </c>
      <c r="AE846" s="77" t="s">
        <v>3078</v>
      </c>
    </row>
    <row r="847" spans="1:32" x14ac:dyDescent="0.3">
      <c r="A847" s="77" t="s">
        <v>3384</v>
      </c>
      <c r="B847" s="77" t="s">
        <v>1052</v>
      </c>
      <c r="G847" s="77" t="s">
        <v>3077</v>
      </c>
      <c r="H847" s="77" t="s">
        <v>77</v>
      </c>
      <c r="I847" s="77" t="s">
        <v>78</v>
      </c>
      <c r="J847" s="77" t="s">
        <v>3039</v>
      </c>
      <c r="K847" s="77" t="s">
        <v>80</v>
      </c>
      <c r="L847" s="77" t="s">
        <v>1038</v>
      </c>
      <c r="M847" s="77" t="s">
        <v>82</v>
      </c>
      <c r="N847" s="77" t="s">
        <v>83</v>
      </c>
      <c r="Q847" s="77" t="s">
        <v>111</v>
      </c>
      <c r="U847" s="77" t="s">
        <v>85</v>
      </c>
      <c r="V847" s="80" t="s">
        <v>252</v>
      </c>
      <c r="X847" s="77" t="s">
        <v>253</v>
      </c>
      <c r="Y847" s="78" t="s">
        <v>101</v>
      </c>
      <c r="AA847" s="77" t="s">
        <v>191</v>
      </c>
      <c r="AB847" s="77" t="s">
        <v>78</v>
      </c>
      <c r="AC847" s="77" t="s">
        <v>90</v>
      </c>
      <c r="AD847" s="77" t="s">
        <v>102</v>
      </c>
      <c r="AE847" s="77" t="s">
        <v>3078</v>
      </c>
    </row>
    <row r="848" spans="1:32" x14ac:dyDescent="0.3">
      <c r="A848" s="77" t="s">
        <v>3385</v>
      </c>
      <c r="B848" s="77" t="s">
        <v>1054</v>
      </c>
      <c r="G848" s="77" t="s">
        <v>3077</v>
      </c>
      <c r="H848" s="77" t="s">
        <v>77</v>
      </c>
      <c r="I848" s="77" t="s">
        <v>78</v>
      </c>
      <c r="J848" s="77" t="s">
        <v>3039</v>
      </c>
      <c r="K848" s="77" t="s">
        <v>80</v>
      </c>
      <c r="L848" s="77" t="s">
        <v>1038</v>
      </c>
      <c r="M848" s="77" t="s">
        <v>82</v>
      </c>
      <c r="N848" s="77" t="s">
        <v>83</v>
      </c>
      <c r="Q848" s="77" t="s">
        <v>111</v>
      </c>
      <c r="U848" s="77" t="s">
        <v>85</v>
      </c>
      <c r="V848" s="80" t="s">
        <v>252</v>
      </c>
      <c r="X848" s="77" t="s">
        <v>253</v>
      </c>
      <c r="Y848" s="78" t="s">
        <v>101</v>
      </c>
      <c r="AA848" s="77" t="s">
        <v>191</v>
      </c>
      <c r="AB848" s="77" t="s">
        <v>78</v>
      </c>
      <c r="AC848" s="77" t="s">
        <v>90</v>
      </c>
      <c r="AD848" s="77" t="s">
        <v>102</v>
      </c>
      <c r="AE848" s="77" t="s">
        <v>3078</v>
      </c>
    </row>
    <row r="849" spans="1:32" x14ac:dyDescent="0.3">
      <c r="A849" s="77" t="s">
        <v>3386</v>
      </c>
      <c r="B849" s="77" t="s">
        <v>1056</v>
      </c>
      <c r="G849" s="77" t="s">
        <v>3077</v>
      </c>
      <c r="H849" s="77" t="s">
        <v>77</v>
      </c>
      <c r="I849" s="77" t="s">
        <v>78</v>
      </c>
      <c r="J849" s="77" t="s">
        <v>3039</v>
      </c>
      <c r="K849" s="77" t="s">
        <v>80</v>
      </c>
      <c r="L849" s="77" t="s">
        <v>1038</v>
      </c>
      <c r="M849" s="77" t="s">
        <v>82</v>
      </c>
      <c r="N849" s="77" t="s">
        <v>83</v>
      </c>
      <c r="Q849" s="77" t="s">
        <v>111</v>
      </c>
      <c r="U849" s="77" t="s">
        <v>85</v>
      </c>
      <c r="V849" s="80" t="s">
        <v>252</v>
      </c>
      <c r="X849" s="77" t="s">
        <v>253</v>
      </c>
      <c r="Y849" s="78" t="s">
        <v>101</v>
      </c>
      <c r="AA849" s="77" t="s">
        <v>191</v>
      </c>
      <c r="AB849" s="77" t="s">
        <v>78</v>
      </c>
      <c r="AC849" s="77" t="s">
        <v>90</v>
      </c>
      <c r="AD849" s="77" t="s">
        <v>102</v>
      </c>
      <c r="AE849" s="77" t="s">
        <v>3078</v>
      </c>
    </row>
    <row r="850" spans="1:32" x14ac:dyDescent="0.3">
      <c r="A850" s="77" t="s">
        <v>3387</v>
      </c>
      <c r="B850" s="77" t="s">
        <v>1058</v>
      </c>
      <c r="G850" s="77" t="s">
        <v>3077</v>
      </c>
      <c r="H850" s="77" t="s">
        <v>77</v>
      </c>
      <c r="I850" s="77" t="s">
        <v>78</v>
      </c>
      <c r="J850" s="77" t="s">
        <v>3039</v>
      </c>
      <c r="K850" s="77" t="s">
        <v>80</v>
      </c>
      <c r="L850" s="77" t="s">
        <v>1038</v>
      </c>
      <c r="M850" s="77" t="s">
        <v>82</v>
      </c>
      <c r="N850" s="77" t="s">
        <v>83</v>
      </c>
      <c r="Q850" s="77" t="s">
        <v>111</v>
      </c>
      <c r="U850" s="77" t="s">
        <v>85</v>
      </c>
      <c r="V850" s="80" t="s">
        <v>252</v>
      </c>
      <c r="X850" s="77" t="s">
        <v>253</v>
      </c>
      <c r="Y850" s="78" t="s">
        <v>101</v>
      </c>
      <c r="AA850" s="77" t="s">
        <v>191</v>
      </c>
      <c r="AB850" s="77" t="s">
        <v>78</v>
      </c>
      <c r="AC850" s="77" t="s">
        <v>90</v>
      </c>
      <c r="AD850" s="77" t="s">
        <v>102</v>
      </c>
      <c r="AE850" s="77" t="s">
        <v>3078</v>
      </c>
    </row>
    <row r="851" spans="1:32" hidden="1" x14ac:dyDescent="0.3">
      <c r="A851" s="77" t="s">
        <v>3388</v>
      </c>
      <c r="B851" s="77" t="s">
        <v>1060</v>
      </c>
      <c r="G851" s="77" t="s">
        <v>3077</v>
      </c>
      <c r="H851" s="77" t="s">
        <v>77</v>
      </c>
      <c r="I851" s="77" t="s">
        <v>78</v>
      </c>
      <c r="J851" s="77" t="s">
        <v>3039</v>
      </c>
      <c r="K851" s="77" t="s">
        <v>80</v>
      </c>
      <c r="L851" s="77" t="s">
        <v>1061</v>
      </c>
      <c r="M851" s="77" t="s">
        <v>82</v>
      </c>
      <c r="N851" s="77" t="s">
        <v>83</v>
      </c>
      <c r="Q851" s="77" t="s">
        <v>111</v>
      </c>
      <c r="U851" s="77" t="s">
        <v>85</v>
      </c>
      <c r="V851" s="77" t="s">
        <v>259</v>
      </c>
      <c r="W851" s="79">
        <v>46214.275535567132</v>
      </c>
      <c r="X851" s="77" t="s">
        <v>260</v>
      </c>
      <c r="Y851" s="78" t="s">
        <v>101</v>
      </c>
      <c r="AA851" s="77" t="s">
        <v>191</v>
      </c>
      <c r="AB851" s="77" t="s">
        <v>78</v>
      </c>
      <c r="AC851" s="77" t="s">
        <v>114</v>
      </c>
      <c r="AD851" s="77" t="s">
        <v>102</v>
      </c>
      <c r="AE851" s="77" t="s">
        <v>3078</v>
      </c>
      <c r="AF851" s="77" t="s">
        <v>2706</v>
      </c>
    </row>
    <row r="852" spans="1:32" x14ac:dyDescent="0.3">
      <c r="A852" s="77" t="s">
        <v>3389</v>
      </c>
      <c r="B852" s="77" t="s">
        <v>1063</v>
      </c>
      <c r="G852" s="77" t="s">
        <v>3077</v>
      </c>
      <c r="H852" s="77" t="s">
        <v>77</v>
      </c>
      <c r="I852" s="77" t="s">
        <v>78</v>
      </c>
      <c r="J852" s="77" t="s">
        <v>3039</v>
      </c>
      <c r="K852" s="77" t="s">
        <v>80</v>
      </c>
      <c r="L852" s="77" t="s">
        <v>1061</v>
      </c>
      <c r="M852" s="77" t="s">
        <v>82</v>
      </c>
      <c r="N852" s="77" t="s">
        <v>83</v>
      </c>
      <c r="Q852" s="77" t="s">
        <v>111</v>
      </c>
      <c r="U852" s="77" t="s">
        <v>85</v>
      </c>
      <c r="V852" s="80" t="s">
        <v>259</v>
      </c>
      <c r="X852" s="77" t="s">
        <v>260</v>
      </c>
      <c r="Y852" s="78" t="s">
        <v>101</v>
      </c>
      <c r="AA852" s="77" t="s">
        <v>191</v>
      </c>
      <c r="AB852" s="77" t="s">
        <v>78</v>
      </c>
      <c r="AC852" s="77" t="s">
        <v>90</v>
      </c>
      <c r="AD852" s="77" t="s">
        <v>102</v>
      </c>
      <c r="AE852" s="77" t="s">
        <v>3078</v>
      </c>
    </row>
    <row r="853" spans="1:32" x14ac:dyDescent="0.3">
      <c r="A853" s="77" t="s">
        <v>3390</v>
      </c>
      <c r="B853" s="77" t="s">
        <v>1065</v>
      </c>
      <c r="G853" s="77" t="s">
        <v>3077</v>
      </c>
      <c r="H853" s="77" t="s">
        <v>77</v>
      </c>
      <c r="I853" s="77" t="s">
        <v>78</v>
      </c>
      <c r="J853" s="77" t="s">
        <v>3039</v>
      </c>
      <c r="K853" s="77" t="s">
        <v>80</v>
      </c>
      <c r="L853" s="77" t="s">
        <v>1061</v>
      </c>
      <c r="M853" s="77" t="s">
        <v>82</v>
      </c>
      <c r="N853" s="77" t="s">
        <v>83</v>
      </c>
      <c r="Q853" s="77" t="s">
        <v>111</v>
      </c>
      <c r="U853" s="77" t="s">
        <v>85</v>
      </c>
      <c r="V853" s="80" t="s">
        <v>259</v>
      </c>
      <c r="X853" s="77" t="s">
        <v>260</v>
      </c>
      <c r="Y853" s="78" t="s">
        <v>101</v>
      </c>
      <c r="AA853" s="77" t="s">
        <v>191</v>
      </c>
      <c r="AB853" s="77" t="s">
        <v>78</v>
      </c>
      <c r="AC853" s="77" t="s">
        <v>90</v>
      </c>
      <c r="AD853" s="77" t="s">
        <v>102</v>
      </c>
      <c r="AE853" s="77" t="s">
        <v>3078</v>
      </c>
    </row>
    <row r="854" spans="1:32" x14ac:dyDescent="0.3">
      <c r="A854" s="77" t="s">
        <v>3391</v>
      </c>
      <c r="B854" s="77" t="s">
        <v>1067</v>
      </c>
      <c r="G854" s="77" t="s">
        <v>3077</v>
      </c>
      <c r="H854" s="77" t="s">
        <v>77</v>
      </c>
      <c r="I854" s="77" t="s">
        <v>78</v>
      </c>
      <c r="J854" s="77" t="s">
        <v>3039</v>
      </c>
      <c r="K854" s="77" t="s">
        <v>80</v>
      </c>
      <c r="L854" s="77" t="s">
        <v>1061</v>
      </c>
      <c r="M854" s="77" t="s">
        <v>82</v>
      </c>
      <c r="N854" s="77" t="s">
        <v>83</v>
      </c>
      <c r="Q854" s="77" t="s">
        <v>111</v>
      </c>
      <c r="U854" s="77" t="s">
        <v>85</v>
      </c>
      <c r="V854" s="80" t="s">
        <v>259</v>
      </c>
      <c r="X854" s="77" t="s">
        <v>260</v>
      </c>
      <c r="Y854" s="78" t="s">
        <v>101</v>
      </c>
      <c r="AA854" s="77" t="s">
        <v>191</v>
      </c>
      <c r="AB854" s="77" t="s">
        <v>78</v>
      </c>
      <c r="AC854" s="77" t="s">
        <v>90</v>
      </c>
      <c r="AD854" s="77" t="s">
        <v>102</v>
      </c>
      <c r="AE854" s="77" t="s">
        <v>3078</v>
      </c>
    </row>
    <row r="855" spans="1:32" x14ac:dyDescent="0.3">
      <c r="A855" s="77" t="s">
        <v>3392</v>
      </c>
      <c r="B855" s="77" t="s">
        <v>1069</v>
      </c>
      <c r="G855" s="77" t="s">
        <v>3077</v>
      </c>
      <c r="H855" s="77" t="s">
        <v>77</v>
      </c>
      <c r="I855" s="77" t="s">
        <v>78</v>
      </c>
      <c r="J855" s="77" t="s">
        <v>3039</v>
      </c>
      <c r="K855" s="77" t="s">
        <v>80</v>
      </c>
      <c r="L855" s="77" t="s">
        <v>1061</v>
      </c>
      <c r="M855" s="77" t="s">
        <v>82</v>
      </c>
      <c r="N855" s="77" t="s">
        <v>83</v>
      </c>
      <c r="Q855" s="77" t="s">
        <v>111</v>
      </c>
      <c r="U855" s="77" t="s">
        <v>85</v>
      </c>
      <c r="V855" s="80" t="s">
        <v>259</v>
      </c>
      <c r="X855" s="77" t="s">
        <v>260</v>
      </c>
      <c r="Y855" s="78" t="s">
        <v>101</v>
      </c>
      <c r="AA855" s="77" t="s">
        <v>191</v>
      </c>
      <c r="AB855" s="77" t="s">
        <v>78</v>
      </c>
      <c r="AC855" s="77" t="s">
        <v>90</v>
      </c>
      <c r="AD855" s="77" t="s">
        <v>102</v>
      </c>
      <c r="AE855" s="77" t="s">
        <v>3078</v>
      </c>
    </row>
    <row r="856" spans="1:32" x14ac:dyDescent="0.3">
      <c r="A856" s="77" t="s">
        <v>3393</v>
      </c>
      <c r="B856" s="77" t="s">
        <v>1071</v>
      </c>
      <c r="G856" s="77" t="s">
        <v>3077</v>
      </c>
      <c r="H856" s="77" t="s">
        <v>77</v>
      </c>
      <c r="I856" s="77" t="s">
        <v>78</v>
      </c>
      <c r="J856" s="77" t="s">
        <v>3039</v>
      </c>
      <c r="K856" s="77" t="s">
        <v>80</v>
      </c>
      <c r="L856" s="77" t="s">
        <v>1061</v>
      </c>
      <c r="M856" s="77" t="s">
        <v>82</v>
      </c>
      <c r="N856" s="77" t="s">
        <v>83</v>
      </c>
      <c r="Q856" s="77" t="s">
        <v>111</v>
      </c>
      <c r="U856" s="77" t="s">
        <v>85</v>
      </c>
      <c r="V856" s="80" t="s">
        <v>259</v>
      </c>
      <c r="X856" s="77" t="s">
        <v>260</v>
      </c>
      <c r="Y856" s="78" t="s">
        <v>101</v>
      </c>
      <c r="AA856" s="77" t="s">
        <v>191</v>
      </c>
      <c r="AB856" s="77" t="s">
        <v>78</v>
      </c>
      <c r="AC856" s="77" t="s">
        <v>90</v>
      </c>
      <c r="AD856" s="77" t="s">
        <v>102</v>
      </c>
      <c r="AE856" s="77" t="s">
        <v>3078</v>
      </c>
    </row>
    <row r="857" spans="1:32" x14ac:dyDescent="0.3">
      <c r="A857" s="77" t="s">
        <v>3394</v>
      </c>
      <c r="B857" s="77" t="s">
        <v>1073</v>
      </c>
      <c r="G857" s="77" t="s">
        <v>3077</v>
      </c>
      <c r="H857" s="77" t="s">
        <v>77</v>
      </c>
      <c r="I857" s="77" t="s">
        <v>78</v>
      </c>
      <c r="J857" s="77" t="s">
        <v>3039</v>
      </c>
      <c r="K857" s="77" t="s">
        <v>80</v>
      </c>
      <c r="L857" s="77" t="s">
        <v>1061</v>
      </c>
      <c r="M857" s="77" t="s">
        <v>82</v>
      </c>
      <c r="N857" s="77" t="s">
        <v>83</v>
      </c>
      <c r="Q857" s="77" t="s">
        <v>111</v>
      </c>
      <c r="U857" s="77" t="s">
        <v>85</v>
      </c>
      <c r="V857" s="80" t="s">
        <v>259</v>
      </c>
      <c r="X857" s="77" t="s">
        <v>260</v>
      </c>
      <c r="Y857" s="78" t="s">
        <v>101</v>
      </c>
      <c r="AA857" s="77" t="s">
        <v>191</v>
      </c>
      <c r="AB857" s="77" t="s">
        <v>78</v>
      </c>
      <c r="AC857" s="77" t="s">
        <v>90</v>
      </c>
      <c r="AD857" s="77" t="s">
        <v>102</v>
      </c>
      <c r="AE857" s="77" t="s">
        <v>3078</v>
      </c>
    </row>
    <row r="858" spans="1:32" x14ac:dyDescent="0.3">
      <c r="A858" s="77" t="s">
        <v>3395</v>
      </c>
      <c r="B858" s="77" t="s">
        <v>1075</v>
      </c>
      <c r="G858" s="77" t="s">
        <v>3077</v>
      </c>
      <c r="H858" s="77" t="s">
        <v>77</v>
      </c>
      <c r="I858" s="77" t="s">
        <v>78</v>
      </c>
      <c r="J858" s="77" t="s">
        <v>3039</v>
      </c>
      <c r="K858" s="77" t="s">
        <v>80</v>
      </c>
      <c r="L858" s="77" t="s">
        <v>1061</v>
      </c>
      <c r="M858" s="77" t="s">
        <v>82</v>
      </c>
      <c r="N858" s="77" t="s">
        <v>83</v>
      </c>
      <c r="Q858" s="77" t="s">
        <v>111</v>
      </c>
      <c r="U858" s="77" t="s">
        <v>85</v>
      </c>
      <c r="V858" s="80" t="s">
        <v>259</v>
      </c>
      <c r="X858" s="77" t="s">
        <v>260</v>
      </c>
      <c r="Y858" s="78" t="s">
        <v>101</v>
      </c>
      <c r="AA858" s="77" t="s">
        <v>191</v>
      </c>
      <c r="AB858" s="77" t="s">
        <v>78</v>
      </c>
      <c r="AC858" s="77" t="s">
        <v>90</v>
      </c>
      <c r="AD858" s="77" t="s">
        <v>102</v>
      </c>
      <c r="AE858" s="77" t="s">
        <v>3078</v>
      </c>
    </row>
    <row r="859" spans="1:32" x14ac:dyDescent="0.3">
      <c r="A859" s="77" t="s">
        <v>3396</v>
      </c>
      <c r="B859" s="77" t="s">
        <v>1077</v>
      </c>
      <c r="G859" s="77" t="s">
        <v>3077</v>
      </c>
      <c r="H859" s="77" t="s">
        <v>77</v>
      </c>
      <c r="I859" s="77" t="s">
        <v>78</v>
      </c>
      <c r="J859" s="77" t="s">
        <v>3039</v>
      </c>
      <c r="K859" s="77" t="s">
        <v>80</v>
      </c>
      <c r="L859" s="77" t="s">
        <v>1061</v>
      </c>
      <c r="M859" s="77" t="s">
        <v>82</v>
      </c>
      <c r="N859" s="77" t="s">
        <v>83</v>
      </c>
      <c r="Q859" s="77" t="s">
        <v>111</v>
      </c>
      <c r="U859" s="77" t="s">
        <v>85</v>
      </c>
      <c r="V859" s="80" t="s">
        <v>259</v>
      </c>
      <c r="X859" s="77" t="s">
        <v>260</v>
      </c>
      <c r="Y859" s="78" t="s">
        <v>101</v>
      </c>
      <c r="AA859" s="77" t="s">
        <v>191</v>
      </c>
      <c r="AB859" s="77" t="s">
        <v>78</v>
      </c>
      <c r="AC859" s="77" t="s">
        <v>90</v>
      </c>
      <c r="AD859" s="77" t="s">
        <v>102</v>
      </c>
      <c r="AE859" s="77" t="s">
        <v>3078</v>
      </c>
    </row>
    <row r="860" spans="1:32" x14ac:dyDescent="0.3">
      <c r="A860" s="77" t="s">
        <v>3397</v>
      </c>
      <c r="B860" s="77" t="s">
        <v>1079</v>
      </c>
      <c r="G860" s="77" t="s">
        <v>3077</v>
      </c>
      <c r="H860" s="77" t="s">
        <v>77</v>
      </c>
      <c r="I860" s="77" t="s">
        <v>78</v>
      </c>
      <c r="J860" s="77" t="s">
        <v>3039</v>
      </c>
      <c r="K860" s="77" t="s">
        <v>80</v>
      </c>
      <c r="L860" s="77" t="s">
        <v>1061</v>
      </c>
      <c r="M860" s="77" t="s">
        <v>82</v>
      </c>
      <c r="N860" s="77" t="s">
        <v>83</v>
      </c>
      <c r="Q860" s="77" t="s">
        <v>111</v>
      </c>
      <c r="U860" s="77" t="s">
        <v>85</v>
      </c>
      <c r="V860" s="80" t="s">
        <v>259</v>
      </c>
      <c r="X860" s="77" t="s">
        <v>260</v>
      </c>
      <c r="Y860" s="78" t="s">
        <v>101</v>
      </c>
      <c r="AA860" s="77" t="s">
        <v>191</v>
      </c>
      <c r="AB860" s="77" t="s">
        <v>78</v>
      </c>
      <c r="AC860" s="77" t="s">
        <v>90</v>
      </c>
      <c r="AD860" s="77" t="s">
        <v>102</v>
      </c>
      <c r="AE860" s="77" t="s">
        <v>3078</v>
      </c>
    </row>
    <row r="861" spans="1:32" x14ac:dyDescent="0.3">
      <c r="A861" s="77" t="s">
        <v>3398</v>
      </c>
      <c r="B861" s="77" t="s">
        <v>1081</v>
      </c>
      <c r="G861" s="77" t="s">
        <v>3077</v>
      </c>
      <c r="H861" s="77" t="s">
        <v>77</v>
      </c>
      <c r="I861" s="77" t="s">
        <v>78</v>
      </c>
      <c r="J861" s="77" t="s">
        <v>3039</v>
      </c>
      <c r="K861" s="77" t="s">
        <v>80</v>
      </c>
      <c r="L861" s="77" t="s">
        <v>1061</v>
      </c>
      <c r="M861" s="77" t="s">
        <v>82</v>
      </c>
      <c r="N861" s="77" t="s">
        <v>83</v>
      </c>
      <c r="Q861" s="77" t="s">
        <v>111</v>
      </c>
      <c r="U861" s="77" t="s">
        <v>85</v>
      </c>
      <c r="V861" s="80" t="s">
        <v>259</v>
      </c>
      <c r="X861" s="77" t="s">
        <v>260</v>
      </c>
      <c r="Y861" s="78" t="s">
        <v>101</v>
      </c>
      <c r="AA861" s="77" t="s">
        <v>191</v>
      </c>
      <c r="AB861" s="77" t="s">
        <v>78</v>
      </c>
      <c r="AC861" s="77" t="s">
        <v>90</v>
      </c>
      <c r="AD861" s="77" t="s">
        <v>102</v>
      </c>
      <c r="AE861" s="77" t="s">
        <v>3078</v>
      </c>
    </row>
    <row r="862" spans="1:32" hidden="1" x14ac:dyDescent="0.3">
      <c r="A862" s="77" t="s">
        <v>3399</v>
      </c>
      <c r="B862" s="77" t="s">
        <v>1083</v>
      </c>
      <c r="G862" s="77" t="s">
        <v>3077</v>
      </c>
      <c r="H862" s="77" t="s">
        <v>77</v>
      </c>
      <c r="I862" s="77" t="s">
        <v>78</v>
      </c>
      <c r="J862" s="77" t="s">
        <v>3039</v>
      </c>
      <c r="K862" s="77" t="s">
        <v>80</v>
      </c>
      <c r="L862" s="77" t="s">
        <v>1084</v>
      </c>
      <c r="M862" s="77" t="s">
        <v>82</v>
      </c>
      <c r="N862" s="77" t="s">
        <v>83</v>
      </c>
      <c r="Q862" s="77" t="s">
        <v>111</v>
      </c>
      <c r="U862" s="77" t="s">
        <v>85</v>
      </c>
      <c r="V862" s="80" t="s">
        <v>238</v>
      </c>
      <c r="W862" s="79">
        <v>46204.516227581022</v>
      </c>
      <c r="X862" s="77" t="s">
        <v>239</v>
      </c>
      <c r="Y862" s="78" t="s">
        <v>88</v>
      </c>
      <c r="AA862" s="77" t="s">
        <v>191</v>
      </c>
      <c r="AB862" s="77" t="s">
        <v>78</v>
      </c>
      <c r="AC862" s="77" t="s">
        <v>114</v>
      </c>
      <c r="AD862" s="77" t="s">
        <v>91</v>
      </c>
      <c r="AE862" s="77" t="s">
        <v>3078</v>
      </c>
      <c r="AF862" s="77" t="s">
        <v>2706</v>
      </c>
    </row>
    <row r="863" spans="1:32" hidden="1" x14ac:dyDescent="0.3">
      <c r="A863" s="77" t="s">
        <v>3400</v>
      </c>
      <c r="B863" s="77" t="s">
        <v>1086</v>
      </c>
      <c r="G863" s="77" t="s">
        <v>3077</v>
      </c>
      <c r="H863" s="77" t="s">
        <v>77</v>
      </c>
      <c r="I863" s="77" t="s">
        <v>78</v>
      </c>
      <c r="J863" s="77" t="s">
        <v>3039</v>
      </c>
      <c r="K863" s="77" t="s">
        <v>80</v>
      </c>
      <c r="L863" s="77" t="s">
        <v>1087</v>
      </c>
      <c r="M863" s="77" t="s">
        <v>82</v>
      </c>
      <c r="N863" s="77" t="s">
        <v>83</v>
      </c>
      <c r="Q863" s="77" t="s">
        <v>111</v>
      </c>
      <c r="U863" s="77" t="s">
        <v>85</v>
      </c>
      <c r="V863" s="77" t="s">
        <v>245</v>
      </c>
      <c r="W863" s="79">
        <v>46204.515812418984</v>
      </c>
      <c r="X863" s="77" t="s">
        <v>246</v>
      </c>
      <c r="Y863" s="78" t="s">
        <v>88</v>
      </c>
      <c r="AA863" s="77" t="s">
        <v>191</v>
      </c>
      <c r="AB863" s="77" t="s">
        <v>78</v>
      </c>
      <c r="AC863" s="77" t="s">
        <v>114</v>
      </c>
      <c r="AD863" s="77" t="s">
        <v>91</v>
      </c>
      <c r="AE863" s="77" t="s">
        <v>3078</v>
      </c>
      <c r="AF863" s="77" t="s">
        <v>2706</v>
      </c>
    </row>
    <row r="864" spans="1:32" x14ac:dyDescent="0.3">
      <c r="A864" s="77" t="s">
        <v>3401</v>
      </c>
      <c r="B864" s="77" t="s">
        <v>1089</v>
      </c>
      <c r="G864" s="77" t="s">
        <v>3077</v>
      </c>
      <c r="H864" s="77" t="s">
        <v>77</v>
      </c>
      <c r="I864" s="77" t="s">
        <v>78</v>
      </c>
      <c r="J864" s="77" t="s">
        <v>3039</v>
      </c>
      <c r="K864" s="77" t="s">
        <v>80</v>
      </c>
      <c r="L864" s="77" t="s">
        <v>1090</v>
      </c>
      <c r="M864" s="77" t="s">
        <v>82</v>
      </c>
      <c r="N864" s="77" t="s">
        <v>83</v>
      </c>
      <c r="Q864" s="77" t="s">
        <v>111</v>
      </c>
      <c r="U864" s="77" t="s">
        <v>85</v>
      </c>
      <c r="V864" s="80" t="s">
        <v>252</v>
      </c>
      <c r="X864" s="77" t="s">
        <v>253</v>
      </c>
      <c r="Y864" s="78" t="s">
        <v>101</v>
      </c>
      <c r="AA864" s="77" t="s">
        <v>191</v>
      </c>
      <c r="AB864" s="77" t="s">
        <v>78</v>
      </c>
      <c r="AC864" s="77" t="s">
        <v>90</v>
      </c>
      <c r="AD864" s="77" t="s">
        <v>102</v>
      </c>
      <c r="AE864" s="77" t="s">
        <v>3078</v>
      </c>
    </row>
    <row r="865" spans="1:32" x14ac:dyDescent="0.3">
      <c r="A865" s="77" t="s">
        <v>3402</v>
      </c>
      <c r="B865" s="77" t="s">
        <v>1092</v>
      </c>
      <c r="G865" s="77" t="s">
        <v>3077</v>
      </c>
      <c r="H865" s="77" t="s">
        <v>77</v>
      </c>
      <c r="I865" s="77" t="s">
        <v>78</v>
      </c>
      <c r="J865" s="77" t="s">
        <v>3039</v>
      </c>
      <c r="K865" s="77" t="s">
        <v>80</v>
      </c>
      <c r="L865" s="77" t="s">
        <v>1093</v>
      </c>
      <c r="M865" s="77" t="s">
        <v>82</v>
      </c>
      <c r="N865" s="77" t="s">
        <v>83</v>
      </c>
      <c r="Q865" s="77" t="s">
        <v>111</v>
      </c>
      <c r="U865" s="77" t="s">
        <v>85</v>
      </c>
      <c r="V865" s="80" t="s">
        <v>259</v>
      </c>
      <c r="X865" s="77" t="s">
        <v>260</v>
      </c>
      <c r="Y865" s="78" t="s">
        <v>101</v>
      </c>
      <c r="AA865" s="77" t="s">
        <v>191</v>
      </c>
      <c r="AB865" s="77" t="s">
        <v>78</v>
      </c>
      <c r="AC865" s="77" t="s">
        <v>90</v>
      </c>
      <c r="AD865" s="77" t="s">
        <v>102</v>
      </c>
      <c r="AE865" s="77" t="s">
        <v>3078</v>
      </c>
    </row>
    <row r="866" spans="1:32" x14ac:dyDescent="0.3">
      <c r="A866" s="77" t="s">
        <v>3403</v>
      </c>
      <c r="B866" s="77" t="s">
        <v>1095</v>
      </c>
      <c r="G866" s="77" t="s">
        <v>3077</v>
      </c>
      <c r="H866" s="77" t="s">
        <v>77</v>
      </c>
      <c r="I866" s="77" t="s">
        <v>78</v>
      </c>
      <c r="J866" s="77" t="s">
        <v>3039</v>
      </c>
      <c r="K866" s="77" t="s">
        <v>80</v>
      </c>
      <c r="L866" s="77" t="s">
        <v>1096</v>
      </c>
      <c r="M866" s="77" t="s">
        <v>82</v>
      </c>
      <c r="N866" s="77" t="s">
        <v>83</v>
      </c>
      <c r="Q866" s="77" t="s">
        <v>111</v>
      </c>
      <c r="U866" s="77" t="s">
        <v>85</v>
      </c>
      <c r="V866" s="80" t="s">
        <v>238</v>
      </c>
      <c r="X866" s="77" t="s">
        <v>239</v>
      </c>
      <c r="Y866" s="78" t="s">
        <v>88</v>
      </c>
      <c r="AA866" s="77" t="s">
        <v>191</v>
      </c>
      <c r="AB866" s="77" t="s">
        <v>78</v>
      </c>
      <c r="AC866" s="77" t="s">
        <v>90</v>
      </c>
      <c r="AD866" s="77" t="s">
        <v>91</v>
      </c>
      <c r="AE866" s="77" t="s">
        <v>3078</v>
      </c>
    </row>
    <row r="867" spans="1:32" x14ac:dyDescent="0.3">
      <c r="A867" s="77" t="s">
        <v>3404</v>
      </c>
      <c r="B867" s="77" t="s">
        <v>1098</v>
      </c>
      <c r="G867" s="77" t="s">
        <v>3077</v>
      </c>
      <c r="H867" s="77" t="s">
        <v>77</v>
      </c>
      <c r="I867" s="77" t="s">
        <v>78</v>
      </c>
      <c r="J867" s="77" t="s">
        <v>3039</v>
      </c>
      <c r="K867" s="77" t="s">
        <v>80</v>
      </c>
      <c r="L867" s="77" t="s">
        <v>1099</v>
      </c>
      <c r="M867" s="77" t="s">
        <v>82</v>
      </c>
      <c r="N867" s="77" t="s">
        <v>83</v>
      </c>
      <c r="Q867" s="77" t="s">
        <v>111</v>
      </c>
      <c r="U867" s="77" t="s">
        <v>85</v>
      </c>
      <c r="V867" s="80" t="s">
        <v>245</v>
      </c>
      <c r="X867" s="77" t="s">
        <v>246</v>
      </c>
      <c r="Y867" s="78" t="s">
        <v>88</v>
      </c>
      <c r="AA867" s="77" t="s">
        <v>191</v>
      </c>
      <c r="AB867" s="77" t="s">
        <v>78</v>
      </c>
      <c r="AC867" s="77" t="s">
        <v>90</v>
      </c>
      <c r="AD867" s="77" t="s">
        <v>91</v>
      </c>
      <c r="AE867" s="77" t="s">
        <v>3078</v>
      </c>
    </row>
    <row r="868" spans="1:32" hidden="1" x14ac:dyDescent="0.3">
      <c r="A868" s="77" t="s">
        <v>3405</v>
      </c>
      <c r="B868" s="77" t="s">
        <v>1101</v>
      </c>
      <c r="G868" s="77" t="s">
        <v>3077</v>
      </c>
      <c r="H868" s="77" t="s">
        <v>77</v>
      </c>
      <c r="I868" s="77" t="s">
        <v>78</v>
      </c>
      <c r="J868" s="77" t="s">
        <v>3039</v>
      </c>
      <c r="K868" s="77" t="s">
        <v>80</v>
      </c>
      <c r="L868" s="77" t="s">
        <v>1102</v>
      </c>
      <c r="M868" s="77" t="s">
        <v>82</v>
      </c>
      <c r="N868" s="77" t="s">
        <v>83</v>
      </c>
      <c r="Q868" s="77" t="s">
        <v>111</v>
      </c>
      <c r="U868" s="77" t="s">
        <v>85</v>
      </c>
      <c r="V868" s="77" t="s">
        <v>252</v>
      </c>
      <c r="W868" s="79">
        <v>46214.279085150461</v>
      </c>
      <c r="X868" s="77" t="s">
        <v>253</v>
      </c>
      <c r="Y868" s="78" t="s">
        <v>101</v>
      </c>
      <c r="AA868" s="77" t="s">
        <v>191</v>
      </c>
      <c r="AB868" s="77" t="s">
        <v>78</v>
      </c>
      <c r="AC868" s="77" t="s">
        <v>114</v>
      </c>
      <c r="AD868" s="77" t="s">
        <v>102</v>
      </c>
      <c r="AE868" s="77" t="s">
        <v>3078</v>
      </c>
      <c r="AF868" s="77" t="s">
        <v>2706</v>
      </c>
    </row>
    <row r="869" spans="1:32" hidden="1" x14ac:dyDescent="0.3">
      <c r="A869" s="77" t="s">
        <v>3406</v>
      </c>
      <c r="B869" s="77" t="s">
        <v>1104</v>
      </c>
      <c r="G869" s="77" t="s">
        <v>3077</v>
      </c>
      <c r="H869" s="77" t="s">
        <v>77</v>
      </c>
      <c r="I869" s="77" t="s">
        <v>78</v>
      </c>
      <c r="J869" s="77" t="s">
        <v>3039</v>
      </c>
      <c r="K869" s="77" t="s">
        <v>80</v>
      </c>
      <c r="L869" s="77" t="s">
        <v>1105</v>
      </c>
      <c r="M869" s="77" t="s">
        <v>82</v>
      </c>
      <c r="N869" s="77" t="s">
        <v>83</v>
      </c>
      <c r="Q869" s="77" t="s">
        <v>111</v>
      </c>
      <c r="U869" s="77" t="s">
        <v>85</v>
      </c>
      <c r="V869" s="77" t="s">
        <v>259</v>
      </c>
      <c r="W869" s="79">
        <v>46214.281356331019</v>
      </c>
      <c r="X869" s="77" t="s">
        <v>260</v>
      </c>
      <c r="Y869" s="78" t="s">
        <v>101</v>
      </c>
      <c r="AA869" s="77" t="s">
        <v>191</v>
      </c>
      <c r="AB869" s="77" t="s">
        <v>78</v>
      </c>
      <c r="AC869" s="77" t="s">
        <v>114</v>
      </c>
      <c r="AD869" s="77" t="s">
        <v>102</v>
      </c>
      <c r="AE869" s="77" t="s">
        <v>3078</v>
      </c>
      <c r="AF869" s="77" t="s">
        <v>2706</v>
      </c>
    </row>
    <row r="870" spans="1:32" hidden="1" x14ac:dyDescent="0.3">
      <c r="A870" s="77" t="s">
        <v>3407</v>
      </c>
      <c r="B870" s="77" t="s">
        <v>1107</v>
      </c>
      <c r="G870" s="77" t="s">
        <v>3077</v>
      </c>
      <c r="H870" s="77" t="s">
        <v>77</v>
      </c>
      <c r="I870" s="77" t="s">
        <v>78</v>
      </c>
      <c r="J870" s="77" t="s">
        <v>3039</v>
      </c>
      <c r="K870" s="77" t="s">
        <v>80</v>
      </c>
      <c r="L870" s="77" t="s">
        <v>1108</v>
      </c>
      <c r="M870" s="77" t="s">
        <v>82</v>
      </c>
      <c r="N870" s="77" t="s">
        <v>83</v>
      </c>
      <c r="Q870" s="77" t="s">
        <v>111</v>
      </c>
      <c r="U870" s="77" t="s">
        <v>85</v>
      </c>
      <c r="V870" s="77" t="s">
        <v>925</v>
      </c>
      <c r="W870" s="79">
        <v>46206.388242627312</v>
      </c>
      <c r="X870" s="77" t="s">
        <v>926</v>
      </c>
      <c r="Y870" s="78" t="s">
        <v>101</v>
      </c>
      <c r="AA870" s="77" t="s">
        <v>191</v>
      </c>
      <c r="AB870" s="77" t="s">
        <v>78</v>
      </c>
      <c r="AC870" s="77" t="s">
        <v>114</v>
      </c>
      <c r="AD870" s="77" t="s">
        <v>274</v>
      </c>
      <c r="AE870" s="77" t="s">
        <v>3078</v>
      </c>
      <c r="AF870" s="77" t="s">
        <v>2706</v>
      </c>
    </row>
    <row r="871" spans="1:32" x14ac:dyDescent="0.3">
      <c r="A871" s="77" t="s">
        <v>3408</v>
      </c>
      <c r="B871" s="77" t="s">
        <v>1110</v>
      </c>
      <c r="G871" s="77" t="s">
        <v>3077</v>
      </c>
      <c r="H871" s="77" t="s">
        <v>77</v>
      </c>
      <c r="I871" s="77" t="s">
        <v>78</v>
      </c>
      <c r="J871" s="77" t="s">
        <v>3039</v>
      </c>
      <c r="K871" s="77" t="s">
        <v>80</v>
      </c>
      <c r="L871" s="77" t="s">
        <v>1108</v>
      </c>
      <c r="M871" s="77" t="s">
        <v>82</v>
      </c>
      <c r="N871" s="77" t="s">
        <v>83</v>
      </c>
      <c r="Q871" s="77" t="s">
        <v>111</v>
      </c>
      <c r="U871" s="77" t="s">
        <v>85</v>
      </c>
      <c r="V871" s="80" t="s">
        <v>925</v>
      </c>
      <c r="X871" s="77" t="s">
        <v>926</v>
      </c>
      <c r="Y871" s="78" t="s">
        <v>101</v>
      </c>
      <c r="AA871" s="77" t="s">
        <v>191</v>
      </c>
      <c r="AB871" s="77" t="s">
        <v>78</v>
      </c>
      <c r="AC871" s="77" t="s">
        <v>90</v>
      </c>
      <c r="AD871" s="77" t="s">
        <v>274</v>
      </c>
      <c r="AE871" s="77" t="s">
        <v>3078</v>
      </c>
    </row>
    <row r="872" spans="1:32" hidden="1" x14ac:dyDescent="0.3">
      <c r="A872" s="77" t="s">
        <v>3409</v>
      </c>
      <c r="B872" s="77" t="s">
        <v>1112</v>
      </c>
      <c r="G872" s="77" t="s">
        <v>3077</v>
      </c>
      <c r="H872" s="77" t="s">
        <v>77</v>
      </c>
      <c r="I872" s="77" t="s">
        <v>78</v>
      </c>
      <c r="J872" s="77" t="s">
        <v>3039</v>
      </c>
      <c r="K872" s="77" t="s">
        <v>80</v>
      </c>
      <c r="L872" s="77" t="s">
        <v>1108</v>
      </c>
      <c r="M872" s="77" t="s">
        <v>82</v>
      </c>
      <c r="N872" s="77" t="s">
        <v>83</v>
      </c>
      <c r="Q872" s="77" t="s">
        <v>111</v>
      </c>
      <c r="U872" s="77" t="s">
        <v>85</v>
      </c>
      <c r="V872" s="77" t="s">
        <v>925</v>
      </c>
      <c r="W872" s="79">
        <v>46206.389907141202</v>
      </c>
      <c r="X872" s="77" t="s">
        <v>926</v>
      </c>
      <c r="Y872" s="78" t="s">
        <v>101</v>
      </c>
      <c r="AA872" s="77" t="s">
        <v>191</v>
      </c>
      <c r="AB872" s="77" t="s">
        <v>78</v>
      </c>
      <c r="AC872" s="77" t="s">
        <v>114</v>
      </c>
      <c r="AD872" s="77" t="s">
        <v>274</v>
      </c>
      <c r="AE872" s="77" t="s">
        <v>3078</v>
      </c>
      <c r="AF872" s="77" t="s">
        <v>2706</v>
      </c>
    </row>
    <row r="873" spans="1:32" hidden="1" x14ac:dyDescent="0.3">
      <c r="A873" s="77" t="s">
        <v>3410</v>
      </c>
      <c r="B873" s="77" t="s">
        <v>1114</v>
      </c>
      <c r="G873" s="77" t="s">
        <v>3077</v>
      </c>
      <c r="H873" s="77" t="s">
        <v>77</v>
      </c>
      <c r="I873" s="77" t="s">
        <v>78</v>
      </c>
      <c r="J873" s="77" t="s">
        <v>3039</v>
      </c>
      <c r="K873" s="77" t="s">
        <v>80</v>
      </c>
      <c r="L873" s="77" t="s">
        <v>1115</v>
      </c>
      <c r="M873" s="77" t="s">
        <v>82</v>
      </c>
      <c r="N873" s="77" t="s">
        <v>83</v>
      </c>
      <c r="Q873" s="77" t="s">
        <v>111</v>
      </c>
      <c r="U873" s="77" t="s">
        <v>85</v>
      </c>
      <c r="V873" s="77" t="s">
        <v>925</v>
      </c>
      <c r="W873" s="79">
        <v>46206.391697488427</v>
      </c>
      <c r="X873" s="77" t="s">
        <v>926</v>
      </c>
      <c r="Y873" s="78" t="s">
        <v>101</v>
      </c>
      <c r="AA873" s="77" t="s">
        <v>191</v>
      </c>
      <c r="AB873" s="77" t="s">
        <v>78</v>
      </c>
      <c r="AC873" s="77" t="s">
        <v>114</v>
      </c>
      <c r="AD873" s="77" t="s">
        <v>274</v>
      </c>
      <c r="AE873" s="77" t="s">
        <v>3078</v>
      </c>
      <c r="AF873" s="77" t="s">
        <v>2706</v>
      </c>
    </row>
    <row r="874" spans="1:32" hidden="1" x14ac:dyDescent="0.3">
      <c r="A874" s="77" t="s">
        <v>3411</v>
      </c>
      <c r="B874" s="77" t="s">
        <v>1117</v>
      </c>
      <c r="G874" s="77" t="s">
        <v>3077</v>
      </c>
      <c r="H874" s="77" t="s">
        <v>77</v>
      </c>
      <c r="I874" s="77" t="s">
        <v>78</v>
      </c>
      <c r="J874" s="77" t="s">
        <v>3039</v>
      </c>
      <c r="K874" s="77" t="s">
        <v>80</v>
      </c>
      <c r="L874" s="77" t="s">
        <v>1115</v>
      </c>
      <c r="M874" s="77" t="s">
        <v>82</v>
      </c>
      <c r="N874" s="77" t="s">
        <v>83</v>
      </c>
      <c r="Q874" s="77" t="s">
        <v>111</v>
      </c>
      <c r="U874" s="77" t="s">
        <v>85</v>
      </c>
      <c r="V874" s="77" t="s">
        <v>925</v>
      </c>
      <c r="W874" s="79">
        <v>46214.586512881942</v>
      </c>
      <c r="X874" s="77" t="s">
        <v>926</v>
      </c>
      <c r="Y874" s="78" t="s">
        <v>101</v>
      </c>
      <c r="AA874" s="77" t="s">
        <v>191</v>
      </c>
      <c r="AB874" s="77" t="s">
        <v>78</v>
      </c>
      <c r="AC874" s="77" t="s">
        <v>114</v>
      </c>
      <c r="AD874" s="77" t="s">
        <v>274</v>
      </c>
      <c r="AE874" s="77" t="s">
        <v>3078</v>
      </c>
      <c r="AF874" s="77" t="s">
        <v>2706</v>
      </c>
    </row>
    <row r="875" spans="1:32" x14ac:dyDescent="0.3">
      <c r="A875" s="77" t="s">
        <v>3412</v>
      </c>
      <c r="B875" s="77" t="s">
        <v>1119</v>
      </c>
      <c r="G875" s="77" t="s">
        <v>3077</v>
      </c>
      <c r="H875" s="77" t="s">
        <v>77</v>
      </c>
      <c r="I875" s="77" t="s">
        <v>78</v>
      </c>
      <c r="J875" s="77" t="s">
        <v>3039</v>
      </c>
      <c r="K875" s="77" t="s">
        <v>80</v>
      </c>
      <c r="L875" s="77" t="s">
        <v>1115</v>
      </c>
      <c r="M875" s="77" t="s">
        <v>82</v>
      </c>
      <c r="N875" s="77" t="s">
        <v>83</v>
      </c>
      <c r="Q875" s="77" t="s">
        <v>111</v>
      </c>
      <c r="U875" s="77" t="s">
        <v>85</v>
      </c>
      <c r="V875" s="80" t="s">
        <v>925</v>
      </c>
      <c r="X875" s="77" t="s">
        <v>926</v>
      </c>
      <c r="Y875" s="78" t="s">
        <v>101</v>
      </c>
      <c r="AA875" s="77" t="s">
        <v>191</v>
      </c>
      <c r="AB875" s="77" t="s">
        <v>78</v>
      </c>
      <c r="AC875" s="77" t="s">
        <v>90</v>
      </c>
      <c r="AD875" s="77" t="s">
        <v>274</v>
      </c>
      <c r="AE875" s="77" t="s">
        <v>3078</v>
      </c>
    </row>
    <row r="876" spans="1:32" x14ac:dyDescent="0.3">
      <c r="A876" s="77" t="s">
        <v>3413</v>
      </c>
      <c r="B876" s="77" t="s">
        <v>1121</v>
      </c>
      <c r="G876" s="77" t="s">
        <v>3077</v>
      </c>
      <c r="H876" s="77" t="s">
        <v>77</v>
      </c>
      <c r="I876" s="77" t="s">
        <v>78</v>
      </c>
      <c r="J876" s="77" t="s">
        <v>3039</v>
      </c>
      <c r="K876" s="77" t="s">
        <v>80</v>
      </c>
      <c r="L876" s="77" t="s">
        <v>1115</v>
      </c>
      <c r="M876" s="77" t="s">
        <v>82</v>
      </c>
      <c r="N876" s="77" t="s">
        <v>83</v>
      </c>
      <c r="Q876" s="77" t="s">
        <v>111</v>
      </c>
      <c r="U876" s="77" t="s">
        <v>85</v>
      </c>
      <c r="V876" s="80" t="s">
        <v>925</v>
      </c>
      <c r="X876" s="77" t="s">
        <v>926</v>
      </c>
      <c r="Y876" s="78" t="s">
        <v>101</v>
      </c>
      <c r="AA876" s="77" t="s">
        <v>191</v>
      </c>
      <c r="AB876" s="77" t="s">
        <v>78</v>
      </c>
      <c r="AC876" s="77" t="s">
        <v>90</v>
      </c>
      <c r="AD876" s="77" t="s">
        <v>274</v>
      </c>
      <c r="AE876" s="77" t="s">
        <v>3078</v>
      </c>
    </row>
    <row r="877" spans="1:32" x14ac:dyDescent="0.3">
      <c r="A877" s="77" t="s">
        <v>3414</v>
      </c>
      <c r="B877" s="77" t="s">
        <v>1123</v>
      </c>
      <c r="G877" s="77" t="s">
        <v>3077</v>
      </c>
      <c r="H877" s="77" t="s">
        <v>77</v>
      </c>
      <c r="I877" s="77" t="s">
        <v>78</v>
      </c>
      <c r="J877" s="77" t="s">
        <v>3039</v>
      </c>
      <c r="K877" s="77" t="s">
        <v>80</v>
      </c>
      <c r="L877" s="77" t="s">
        <v>1124</v>
      </c>
      <c r="M877" s="77" t="s">
        <v>82</v>
      </c>
      <c r="N877" s="77" t="s">
        <v>83</v>
      </c>
      <c r="Q877" s="77" t="s">
        <v>111</v>
      </c>
      <c r="U877" s="77" t="s">
        <v>85</v>
      </c>
      <c r="V877" s="80" t="s">
        <v>925</v>
      </c>
      <c r="X877" s="77" t="s">
        <v>926</v>
      </c>
      <c r="Y877" s="78" t="s">
        <v>101</v>
      </c>
      <c r="AA877" s="77" t="s">
        <v>191</v>
      </c>
      <c r="AB877" s="77" t="s">
        <v>78</v>
      </c>
      <c r="AC877" s="77" t="s">
        <v>90</v>
      </c>
      <c r="AD877" s="77" t="s">
        <v>274</v>
      </c>
      <c r="AE877" s="77" t="s">
        <v>3078</v>
      </c>
    </row>
    <row r="878" spans="1:32" hidden="1" x14ac:dyDescent="0.3">
      <c r="A878" s="77" t="s">
        <v>3415</v>
      </c>
      <c r="B878" s="77" t="s">
        <v>1126</v>
      </c>
      <c r="G878" s="77" t="s">
        <v>3077</v>
      </c>
      <c r="H878" s="77" t="s">
        <v>77</v>
      </c>
      <c r="I878" s="77" t="s">
        <v>78</v>
      </c>
      <c r="J878" s="77" t="s">
        <v>3039</v>
      </c>
      <c r="K878" s="77" t="s">
        <v>80</v>
      </c>
      <c r="L878" s="77" t="s">
        <v>1127</v>
      </c>
      <c r="M878" s="77" t="s">
        <v>82</v>
      </c>
      <c r="N878" s="77" t="s">
        <v>83</v>
      </c>
      <c r="Q878" s="77" t="s">
        <v>111</v>
      </c>
      <c r="U878" s="77" t="s">
        <v>85</v>
      </c>
      <c r="V878" s="77" t="s">
        <v>930</v>
      </c>
      <c r="W878" s="79">
        <v>46204.514595057874</v>
      </c>
      <c r="X878" s="77" t="s">
        <v>931</v>
      </c>
      <c r="Y878" s="78" t="s">
        <v>88</v>
      </c>
      <c r="AA878" s="77" t="s">
        <v>191</v>
      </c>
      <c r="AB878" s="77" t="s">
        <v>78</v>
      </c>
      <c r="AC878" s="77" t="s">
        <v>114</v>
      </c>
      <c r="AD878" s="77" t="s">
        <v>91</v>
      </c>
      <c r="AE878" s="77" t="s">
        <v>3078</v>
      </c>
      <c r="AF878" s="77" t="s">
        <v>2706</v>
      </c>
    </row>
    <row r="879" spans="1:32" hidden="1" x14ac:dyDescent="0.3">
      <c r="A879" s="77" t="s">
        <v>3416</v>
      </c>
      <c r="B879" s="77" t="s">
        <v>1129</v>
      </c>
      <c r="G879" s="77" t="s">
        <v>3077</v>
      </c>
      <c r="H879" s="77" t="s">
        <v>77</v>
      </c>
      <c r="I879" s="77" t="s">
        <v>78</v>
      </c>
      <c r="J879" s="77" t="s">
        <v>3039</v>
      </c>
      <c r="K879" s="77" t="s">
        <v>80</v>
      </c>
      <c r="L879" s="77" t="s">
        <v>1127</v>
      </c>
      <c r="M879" s="77" t="s">
        <v>82</v>
      </c>
      <c r="N879" s="77" t="s">
        <v>83</v>
      </c>
      <c r="Q879" s="77" t="s">
        <v>111</v>
      </c>
      <c r="U879" s="77" t="s">
        <v>85</v>
      </c>
      <c r="V879" s="77" t="s">
        <v>930</v>
      </c>
      <c r="W879" s="79">
        <v>46204.512872534724</v>
      </c>
      <c r="X879" s="77" t="s">
        <v>931</v>
      </c>
      <c r="Y879" s="78" t="s">
        <v>88</v>
      </c>
      <c r="AA879" s="77" t="s">
        <v>191</v>
      </c>
      <c r="AB879" s="77" t="s">
        <v>78</v>
      </c>
      <c r="AC879" s="77" t="s">
        <v>114</v>
      </c>
      <c r="AD879" s="77" t="s">
        <v>91</v>
      </c>
      <c r="AE879" s="77" t="s">
        <v>3078</v>
      </c>
      <c r="AF879" s="77" t="s">
        <v>2706</v>
      </c>
    </row>
    <row r="880" spans="1:32" hidden="1" x14ac:dyDescent="0.3">
      <c r="A880" s="77" t="s">
        <v>3417</v>
      </c>
      <c r="B880" s="77" t="s">
        <v>1131</v>
      </c>
      <c r="G880" s="77" t="s">
        <v>3077</v>
      </c>
      <c r="H880" s="77" t="s">
        <v>77</v>
      </c>
      <c r="I880" s="77" t="s">
        <v>78</v>
      </c>
      <c r="J880" s="77" t="s">
        <v>3039</v>
      </c>
      <c r="K880" s="77" t="s">
        <v>80</v>
      </c>
      <c r="L880" s="77" t="s">
        <v>1127</v>
      </c>
      <c r="M880" s="77" t="s">
        <v>82</v>
      </c>
      <c r="N880" s="77" t="s">
        <v>83</v>
      </c>
      <c r="Q880" s="77" t="s">
        <v>111</v>
      </c>
      <c r="U880" s="77" t="s">
        <v>85</v>
      </c>
      <c r="V880" s="77" t="s">
        <v>930</v>
      </c>
      <c r="W880" s="79">
        <v>46204.591116284719</v>
      </c>
      <c r="X880" s="77" t="s">
        <v>931</v>
      </c>
      <c r="Y880" s="78" t="s">
        <v>88</v>
      </c>
      <c r="AA880" s="77" t="s">
        <v>191</v>
      </c>
      <c r="AB880" s="77" t="s">
        <v>78</v>
      </c>
      <c r="AC880" s="77" t="s">
        <v>114</v>
      </c>
      <c r="AD880" s="77" t="s">
        <v>91</v>
      </c>
      <c r="AE880" s="77" t="s">
        <v>3078</v>
      </c>
      <c r="AF880" s="77" t="s">
        <v>2706</v>
      </c>
    </row>
    <row r="881" spans="1:33" hidden="1" x14ac:dyDescent="0.3">
      <c r="A881" s="77" t="s">
        <v>3418</v>
      </c>
      <c r="B881" s="77" t="s">
        <v>1133</v>
      </c>
      <c r="G881" s="77" t="s">
        <v>3077</v>
      </c>
      <c r="H881" s="77" t="s">
        <v>77</v>
      </c>
      <c r="I881" s="77" t="s">
        <v>78</v>
      </c>
      <c r="J881" s="77" t="s">
        <v>3039</v>
      </c>
      <c r="K881" s="77" t="s">
        <v>80</v>
      </c>
      <c r="L881" s="77" t="s">
        <v>1134</v>
      </c>
      <c r="M881" s="77" t="s">
        <v>82</v>
      </c>
      <c r="N881" s="77" t="s">
        <v>83</v>
      </c>
      <c r="Q881" s="77" t="s">
        <v>111</v>
      </c>
      <c r="U881" s="77" t="s">
        <v>85</v>
      </c>
      <c r="V881" s="77" t="s">
        <v>930</v>
      </c>
      <c r="W881" s="79">
        <v>46204.511735729167</v>
      </c>
      <c r="X881" s="77" t="s">
        <v>931</v>
      </c>
      <c r="Y881" s="78" t="s">
        <v>88</v>
      </c>
      <c r="AA881" s="77" t="s">
        <v>191</v>
      </c>
      <c r="AB881" s="77" t="s">
        <v>78</v>
      </c>
      <c r="AC881" s="77" t="s">
        <v>114</v>
      </c>
      <c r="AD881" s="77" t="s">
        <v>91</v>
      </c>
      <c r="AE881" s="77" t="s">
        <v>3078</v>
      </c>
      <c r="AF881" s="77" t="s">
        <v>2706</v>
      </c>
    </row>
    <row r="882" spans="1:33" hidden="1" x14ac:dyDescent="0.3">
      <c r="A882" s="77" t="s">
        <v>3419</v>
      </c>
      <c r="B882" s="77" t="s">
        <v>1136</v>
      </c>
      <c r="G882" s="77" t="s">
        <v>3420</v>
      </c>
      <c r="H882" s="77" t="s">
        <v>77</v>
      </c>
      <c r="I882" s="77" t="s">
        <v>78</v>
      </c>
      <c r="J882" s="77" t="s">
        <v>3039</v>
      </c>
      <c r="K882" s="77" t="s">
        <v>80</v>
      </c>
      <c r="L882" s="77" t="s">
        <v>626</v>
      </c>
      <c r="M882" s="77" t="s">
        <v>82</v>
      </c>
      <c r="N882" s="77" t="s">
        <v>83</v>
      </c>
      <c r="Q882" s="77" t="s">
        <v>111</v>
      </c>
      <c r="S882" s="77" t="s">
        <v>111</v>
      </c>
      <c r="T882" s="77" t="s">
        <v>112</v>
      </c>
      <c r="U882" s="77" t="s">
        <v>85</v>
      </c>
      <c r="V882" s="80" t="s">
        <v>86</v>
      </c>
      <c r="W882" s="79">
        <v>46192.358609456016</v>
      </c>
      <c r="X882" s="77" t="s">
        <v>87</v>
      </c>
      <c r="Y882" s="78" t="s">
        <v>88</v>
      </c>
      <c r="AA882" s="77" t="s">
        <v>1138</v>
      </c>
      <c r="AB882" s="77" t="s">
        <v>78</v>
      </c>
      <c r="AC882" s="77" t="s">
        <v>114</v>
      </c>
      <c r="AD882" s="77" t="s">
        <v>91</v>
      </c>
      <c r="AE882" s="77" t="s">
        <v>3421</v>
      </c>
      <c r="AF882" s="77" t="s">
        <v>2706</v>
      </c>
      <c r="AG882" s="77" t="s">
        <v>112</v>
      </c>
    </row>
    <row r="883" spans="1:33" hidden="1" x14ac:dyDescent="0.3">
      <c r="A883" s="77" t="s">
        <v>3422</v>
      </c>
      <c r="B883" s="77" t="s">
        <v>1141</v>
      </c>
      <c r="G883" s="77" t="s">
        <v>3420</v>
      </c>
      <c r="H883" s="77" t="s">
        <v>77</v>
      </c>
      <c r="I883" s="77" t="s">
        <v>78</v>
      </c>
      <c r="J883" s="77" t="s">
        <v>3039</v>
      </c>
      <c r="K883" s="77" t="s">
        <v>80</v>
      </c>
      <c r="L883" s="77" t="s">
        <v>626</v>
      </c>
      <c r="M883" s="77" t="s">
        <v>82</v>
      </c>
      <c r="N883" s="77" t="s">
        <v>83</v>
      </c>
      <c r="Q883" s="77" t="s">
        <v>111</v>
      </c>
      <c r="T883" s="77" t="s">
        <v>112</v>
      </c>
      <c r="U883" s="77" t="s">
        <v>85</v>
      </c>
      <c r="V883" s="80" t="s">
        <v>86</v>
      </c>
      <c r="W883" s="79">
        <v>46192.35867947917</v>
      </c>
      <c r="X883" s="77" t="s">
        <v>87</v>
      </c>
      <c r="Y883" s="78" t="s">
        <v>88</v>
      </c>
      <c r="AA883" s="77" t="s">
        <v>1138</v>
      </c>
      <c r="AB883" s="77" t="s">
        <v>78</v>
      </c>
      <c r="AC883" s="77" t="s">
        <v>114</v>
      </c>
      <c r="AD883" s="77" t="s">
        <v>91</v>
      </c>
      <c r="AE883" s="77" t="s">
        <v>3421</v>
      </c>
      <c r="AF883" s="77" t="s">
        <v>2706</v>
      </c>
      <c r="AG883" s="77" t="s">
        <v>112</v>
      </c>
    </row>
    <row r="884" spans="1:33" hidden="1" x14ac:dyDescent="0.3">
      <c r="A884" s="77" t="s">
        <v>3423</v>
      </c>
      <c r="B884" s="77" t="s">
        <v>1143</v>
      </c>
      <c r="G884" s="77" t="s">
        <v>3420</v>
      </c>
      <c r="H884" s="77" t="s">
        <v>77</v>
      </c>
      <c r="I884" s="77" t="s">
        <v>78</v>
      </c>
      <c r="J884" s="77" t="s">
        <v>3039</v>
      </c>
      <c r="K884" s="77" t="s">
        <v>80</v>
      </c>
      <c r="L884" s="77" t="s">
        <v>626</v>
      </c>
      <c r="M884" s="77" t="s">
        <v>82</v>
      </c>
      <c r="N884" s="77" t="s">
        <v>83</v>
      </c>
      <c r="Q884" s="77" t="s">
        <v>111</v>
      </c>
      <c r="T884" s="77" t="s">
        <v>112</v>
      </c>
      <c r="U884" s="77" t="s">
        <v>85</v>
      </c>
      <c r="V884" s="80" t="s">
        <v>86</v>
      </c>
      <c r="W884" s="79">
        <v>46192.358733796296</v>
      </c>
      <c r="X884" s="77" t="s">
        <v>87</v>
      </c>
      <c r="Y884" s="78" t="s">
        <v>88</v>
      </c>
      <c r="AA884" s="77" t="s">
        <v>1138</v>
      </c>
      <c r="AB884" s="77" t="s">
        <v>78</v>
      </c>
      <c r="AC884" s="77" t="s">
        <v>114</v>
      </c>
      <c r="AD884" s="77" t="s">
        <v>91</v>
      </c>
      <c r="AE884" s="77" t="s">
        <v>3421</v>
      </c>
      <c r="AF884" s="77" t="s">
        <v>2706</v>
      </c>
      <c r="AG884" s="77" t="s">
        <v>112</v>
      </c>
    </row>
    <row r="885" spans="1:33" hidden="1" x14ac:dyDescent="0.3">
      <c r="A885" s="77" t="s">
        <v>3424</v>
      </c>
      <c r="B885" s="77" t="s">
        <v>1145</v>
      </c>
      <c r="G885" s="77" t="s">
        <v>3420</v>
      </c>
      <c r="H885" s="77" t="s">
        <v>77</v>
      </c>
      <c r="I885" s="77" t="s">
        <v>78</v>
      </c>
      <c r="J885" s="77" t="s">
        <v>3039</v>
      </c>
      <c r="K885" s="77" t="s">
        <v>80</v>
      </c>
      <c r="L885" s="77" t="s">
        <v>635</v>
      </c>
      <c r="M885" s="77" t="s">
        <v>82</v>
      </c>
      <c r="N885" s="77" t="s">
        <v>83</v>
      </c>
      <c r="Q885" s="77" t="s">
        <v>111</v>
      </c>
      <c r="T885" s="77" t="s">
        <v>112</v>
      </c>
      <c r="U885" s="77" t="s">
        <v>85</v>
      </c>
      <c r="V885" s="77" t="s">
        <v>95</v>
      </c>
      <c r="W885" s="79">
        <v>46192.358808414348</v>
      </c>
      <c r="X885" s="77" t="s">
        <v>96</v>
      </c>
      <c r="Y885" s="78" t="s">
        <v>88</v>
      </c>
      <c r="AA885" s="77" t="s">
        <v>1138</v>
      </c>
      <c r="AB885" s="77" t="s">
        <v>78</v>
      </c>
      <c r="AC885" s="77" t="s">
        <v>114</v>
      </c>
      <c r="AD885" s="77" t="s">
        <v>91</v>
      </c>
      <c r="AE885" s="77" t="s">
        <v>3421</v>
      </c>
      <c r="AF885" s="77" t="s">
        <v>2706</v>
      </c>
      <c r="AG885" s="77" t="s">
        <v>112</v>
      </c>
    </row>
    <row r="886" spans="1:33" hidden="1" x14ac:dyDescent="0.3">
      <c r="A886" s="77" t="s">
        <v>3425</v>
      </c>
      <c r="B886" s="77" t="s">
        <v>1147</v>
      </c>
      <c r="G886" s="77" t="s">
        <v>3420</v>
      </c>
      <c r="H886" s="77" t="s">
        <v>77</v>
      </c>
      <c r="I886" s="77" t="s">
        <v>78</v>
      </c>
      <c r="J886" s="77" t="s">
        <v>3039</v>
      </c>
      <c r="K886" s="77" t="s">
        <v>80</v>
      </c>
      <c r="L886" s="77" t="s">
        <v>635</v>
      </c>
      <c r="M886" s="77" t="s">
        <v>82</v>
      </c>
      <c r="N886" s="77" t="s">
        <v>83</v>
      </c>
      <c r="Q886" s="77" t="s">
        <v>111</v>
      </c>
      <c r="T886" s="77" t="s">
        <v>112</v>
      </c>
      <c r="U886" s="77" t="s">
        <v>85</v>
      </c>
      <c r="V886" s="77" t="s">
        <v>95</v>
      </c>
      <c r="W886" s="79">
        <v>46192.358541516202</v>
      </c>
      <c r="X886" s="77" t="s">
        <v>96</v>
      </c>
      <c r="Y886" s="78" t="s">
        <v>88</v>
      </c>
      <c r="AA886" s="77" t="s">
        <v>1138</v>
      </c>
      <c r="AB886" s="77" t="s">
        <v>78</v>
      </c>
      <c r="AC886" s="77" t="s">
        <v>114</v>
      </c>
      <c r="AD886" s="77" t="s">
        <v>91</v>
      </c>
      <c r="AE886" s="77" t="s">
        <v>3421</v>
      </c>
      <c r="AF886" s="77" t="s">
        <v>2706</v>
      </c>
      <c r="AG886" s="77" t="s">
        <v>112</v>
      </c>
    </row>
    <row r="887" spans="1:33" hidden="1" x14ac:dyDescent="0.3">
      <c r="A887" s="77" t="s">
        <v>3426</v>
      </c>
      <c r="B887" s="77" t="s">
        <v>1149</v>
      </c>
      <c r="G887" s="77" t="s">
        <v>3420</v>
      </c>
      <c r="H887" s="77" t="s">
        <v>77</v>
      </c>
      <c r="I887" s="77" t="s">
        <v>78</v>
      </c>
      <c r="J887" s="77" t="s">
        <v>3039</v>
      </c>
      <c r="K887" s="77" t="s">
        <v>80</v>
      </c>
      <c r="L887" s="77" t="s">
        <v>635</v>
      </c>
      <c r="M887" s="77" t="s">
        <v>82</v>
      </c>
      <c r="N887" s="77" t="s">
        <v>83</v>
      </c>
      <c r="Q887" s="77" t="s">
        <v>111</v>
      </c>
      <c r="T887" s="77" t="s">
        <v>112</v>
      </c>
      <c r="U887" s="77" t="s">
        <v>85</v>
      </c>
      <c r="V887" s="77" t="s">
        <v>95</v>
      </c>
      <c r="W887" s="79">
        <v>46192.360319988424</v>
      </c>
      <c r="X887" s="77" t="s">
        <v>96</v>
      </c>
      <c r="Y887" s="78" t="s">
        <v>88</v>
      </c>
      <c r="AA887" s="77" t="s">
        <v>1138</v>
      </c>
      <c r="AB887" s="77" t="s">
        <v>78</v>
      </c>
      <c r="AC887" s="77" t="s">
        <v>114</v>
      </c>
      <c r="AD887" s="77" t="s">
        <v>91</v>
      </c>
      <c r="AE887" s="77" t="s">
        <v>3421</v>
      </c>
      <c r="AF887" s="77" t="s">
        <v>2706</v>
      </c>
      <c r="AG887" s="77" t="s">
        <v>112</v>
      </c>
    </row>
    <row r="888" spans="1:33" hidden="1" x14ac:dyDescent="0.3">
      <c r="A888" s="77" t="s">
        <v>3427</v>
      </c>
      <c r="B888" s="77" t="s">
        <v>1151</v>
      </c>
      <c r="G888" s="77" t="s">
        <v>3420</v>
      </c>
      <c r="H888" s="77" t="s">
        <v>77</v>
      </c>
      <c r="I888" s="77" t="s">
        <v>78</v>
      </c>
      <c r="J888" s="77" t="s">
        <v>3039</v>
      </c>
      <c r="K888" s="77" t="s">
        <v>80</v>
      </c>
      <c r="L888" s="77" t="s">
        <v>644</v>
      </c>
      <c r="M888" s="77" t="s">
        <v>82</v>
      </c>
      <c r="N888" s="77" t="s">
        <v>83</v>
      </c>
      <c r="Q888" s="77" t="s">
        <v>111</v>
      </c>
      <c r="T888" s="77" t="s">
        <v>112</v>
      </c>
      <c r="U888" s="77" t="s">
        <v>85</v>
      </c>
      <c r="V888" s="77" t="s">
        <v>99</v>
      </c>
      <c r="W888" s="79">
        <v>46206.364761111108</v>
      </c>
      <c r="X888" s="77" t="s">
        <v>100</v>
      </c>
      <c r="Y888" s="78" t="s">
        <v>101</v>
      </c>
      <c r="AA888" s="77" t="s">
        <v>1138</v>
      </c>
      <c r="AB888" s="77" t="s">
        <v>78</v>
      </c>
      <c r="AC888" s="77" t="s">
        <v>114</v>
      </c>
      <c r="AD888" s="77" t="s">
        <v>102</v>
      </c>
      <c r="AE888" s="77" t="s">
        <v>3421</v>
      </c>
      <c r="AF888" s="77" t="s">
        <v>2706</v>
      </c>
      <c r="AG888" s="77" t="s">
        <v>112</v>
      </c>
    </row>
    <row r="889" spans="1:33" hidden="1" x14ac:dyDescent="0.3">
      <c r="A889" s="77" t="s">
        <v>3428</v>
      </c>
      <c r="B889" s="77" t="s">
        <v>1153</v>
      </c>
      <c r="G889" s="77" t="s">
        <v>3420</v>
      </c>
      <c r="H889" s="77" t="s">
        <v>77</v>
      </c>
      <c r="I889" s="77" t="s">
        <v>78</v>
      </c>
      <c r="J889" s="77" t="s">
        <v>3039</v>
      </c>
      <c r="K889" s="77" t="s">
        <v>80</v>
      </c>
      <c r="L889" s="77" t="s">
        <v>644</v>
      </c>
      <c r="M889" s="77" t="s">
        <v>82</v>
      </c>
      <c r="N889" s="77" t="s">
        <v>83</v>
      </c>
      <c r="Q889" s="77" t="s">
        <v>111</v>
      </c>
      <c r="T889" s="77" t="s">
        <v>112</v>
      </c>
      <c r="U889" s="77" t="s">
        <v>85</v>
      </c>
      <c r="V889" s="77" t="s">
        <v>99</v>
      </c>
      <c r="W889" s="79">
        <v>46206.368267824073</v>
      </c>
      <c r="X889" s="77" t="s">
        <v>100</v>
      </c>
      <c r="Y889" s="78" t="s">
        <v>101</v>
      </c>
      <c r="AA889" s="77" t="s">
        <v>1138</v>
      </c>
      <c r="AB889" s="77" t="s">
        <v>78</v>
      </c>
      <c r="AC889" s="77" t="s">
        <v>114</v>
      </c>
      <c r="AD889" s="77" t="s">
        <v>102</v>
      </c>
      <c r="AE889" s="77" t="s">
        <v>3421</v>
      </c>
      <c r="AF889" s="77" t="s">
        <v>2706</v>
      </c>
      <c r="AG889" s="77" t="s">
        <v>112</v>
      </c>
    </row>
    <row r="890" spans="1:33" hidden="1" x14ac:dyDescent="0.3">
      <c r="A890" s="77" t="s">
        <v>3429</v>
      </c>
      <c r="B890" s="77" t="s">
        <v>1155</v>
      </c>
      <c r="G890" s="77" t="s">
        <v>3420</v>
      </c>
      <c r="H890" s="77" t="s">
        <v>77</v>
      </c>
      <c r="I890" s="77" t="s">
        <v>78</v>
      </c>
      <c r="J890" s="77" t="s">
        <v>3039</v>
      </c>
      <c r="K890" s="77" t="s">
        <v>80</v>
      </c>
      <c r="L890" s="77" t="s">
        <v>644</v>
      </c>
      <c r="M890" s="77" t="s">
        <v>82</v>
      </c>
      <c r="N890" s="77" t="s">
        <v>83</v>
      </c>
      <c r="Q890" s="77" t="s">
        <v>111</v>
      </c>
      <c r="T890" s="77" t="s">
        <v>112</v>
      </c>
      <c r="U890" s="77" t="s">
        <v>85</v>
      </c>
      <c r="V890" s="77" t="s">
        <v>99</v>
      </c>
      <c r="W890" s="79">
        <v>46206.369791400466</v>
      </c>
      <c r="X890" s="77" t="s">
        <v>100</v>
      </c>
      <c r="Y890" s="78" t="s">
        <v>101</v>
      </c>
      <c r="AA890" s="77" t="s">
        <v>1138</v>
      </c>
      <c r="AB890" s="77" t="s">
        <v>78</v>
      </c>
      <c r="AC890" s="77" t="s">
        <v>114</v>
      </c>
      <c r="AD890" s="77" t="s">
        <v>102</v>
      </c>
      <c r="AE890" s="77" t="s">
        <v>3421</v>
      </c>
      <c r="AF890" s="77" t="s">
        <v>2706</v>
      </c>
      <c r="AG890" s="77" t="s">
        <v>112</v>
      </c>
    </row>
    <row r="891" spans="1:33" hidden="1" x14ac:dyDescent="0.3">
      <c r="A891" s="77" t="s">
        <v>3430</v>
      </c>
      <c r="B891" s="77" t="s">
        <v>1157</v>
      </c>
      <c r="G891" s="77" t="s">
        <v>3420</v>
      </c>
      <c r="H891" s="77" t="s">
        <v>77</v>
      </c>
      <c r="I891" s="77" t="s">
        <v>78</v>
      </c>
      <c r="J891" s="77" t="s">
        <v>3039</v>
      </c>
      <c r="K891" s="77" t="s">
        <v>80</v>
      </c>
      <c r="L891" s="77" t="s">
        <v>653</v>
      </c>
      <c r="M891" s="77" t="s">
        <v>82</v>
      </c>
      <c r="N891" s="77" t="s">
        <v>83</v>
      </c>
      <c r="Q891" s="77" t="s">
        <v>111</v>
      </c>
      <c r="T891" s="77" t="s">
        <v>112</v>
      </c>
      <c r="U891" s="77" t="s">
        <v>85</v>
      </c>
      <c r="V891" s="77" t="s">
        <v>105</v>
      </c>
      <c r="W891" s="79">
        <v>46206.372823148151</v>
      </c>
      <c r="X891" s="77" t="s">
        <v>106</v>
      </c>
      <c r="Y891" s="78" t="s">
        <v>101</v>
      </c>
      <c r="AA891" s="77" t="s">
        <v>1138</v>
      </c>
      <c r="AB891" s="77" t="s">
        <v>78</v>
      </c>
      <c r="AC891" s="77" t="s">
        <v>114</v>
      </c>
      <c r="AD891" s="77" t="s">
        <v>102</v>
      </c>
      <c r="AE891" s="77" t="s">
        <v>3421</v>
      </c>
      <c r="AF891" s="77" t="s">
        <v>2706</v>
      </c>
      <c r="AG891" s="77" t="s">
        <v>112</v>
      </c>
    </row>
    <row r="892" spans="1:33" hidden="1" x14ac:dyDescent="0.3">
      <c r="A892" s="77" t="s">
        <v>3431</v>
      </c>
      <c r="B892" s="77" t="s">
        <v>1159</v>
      </c>
      <c r="G892" s="77" t="s">
        <v>3420</v>
      </c>
      <c r="H892" s="77" t="s">
        <v>77</v>
      </c>
      <c r="I892" s="77" t="s">
        <v>78</v>
      </c>
      <c r="J892" s="77" t="s">
        <v>3039</v>
      </c>
      <c r="K892" s="77" t="s">
        <v>80</v>
      </c>
      <c r="L892" s="77" t="s">
        <v>653</v>
      </c>
      <c r="M892" s="77" t="s">
        <v>82</v>
      </c>
      <c r="N892" s="77" t="s">
        <v>83</v>
      </c>
      <c r="Q892" s="77" t="s">
        <v>111</v>
      </c>
      <c r="T892" s="77" t="s">
        <v>112</v>
      </c>
      <c r="U892" s="77" t="s">
        <v>85</v>
      </c>
      <c r="V892" s="77" t="s">
        <v>105</v>
      </c>
      <c r="W892" s="79">
        <v>46206.37589383102</v>
      </c>
      <c r="X892" s="77" t="s">
        <v>106</v>
      </c>
      <c r="Y892" s="78" t="s">
        <v>101</v>
      </c>
      <c r="AA892" s="77" t="s">
        <v>1138</v>
      </c>
      <c r="AB892" s="77" t="s">
        <v>78</v>
      </c>
      <c r="AC892" s="77" t="s">
        <v>114</v>
      </c>
      <c r="AD892" s="77" t="s">
        <v>102</v>
      </c>
      <c r="AE892" s="77" t="s">
        <v>3421</v>
      </c>
      <c r="AF892" s="77" t="s">
        <v>2706</v>
      </c>
      <c r="AG892" s="77" t="s">
        <v>112</v>
      </c>
    </row>
    <row r="893" spans="1:33" x14ac:dyDescent="0.3">
      <c r="A893" s="77" t="s">
        <v>3432</v>
      </c>
      <c r="B893" s="77" t="s">
        <v>1161</v>
      </c>
      <c r="G893" s="77" t="s">
        <v>3420</v>
      </c>
      <c r="H893" s="77" t="s">
        <v>77</v>
      </c>
      <c r="I893" s="77" t="s">
        <v>78</v>
      </c>
      <c r="J893" s="77" t="s">
        <v>3039</v>
      </c>
      <c r="K893" s="77" t="s">
        <v>80</v>
      </c>
      <c r="L893" s="77" t="s">
        <v>653</v>
      </c>
      <c r="M893" s="77" t="s">
        <v>82</v>
      </c>
      <c r="N893" s="77" t="s">
        <v>83</v>
      </c>
      <c r="Q893" s="77" t="s">
        <v>111</v>
      </c>
      <c r="T893" s="77" t="s">
        <v>112</v>
      </c>
      <c r="U893" s="77" t="s">
        <v>85</v>
      </c>
      <c r="V893" s="80" t="s">
        <v>105</v>
      </c>
      <c r="X893" s="77" t="s">
        <v>106</v>
      </c>
      <c r="Y893" s="78" t="s">
        <v>101</v>
      </c>
      <c r="AA893" s="77" t="s">
        <v>1138</v>
      </c>
      <c r="AB893" s="77" t="s">
        <v>78</v>
      </c>
      <c r="AC893" s="77" t="s">
        <v>90</v>
      </c>
      <c r="AD893" s="77" t="s">
        <v>102</v>
      </c>
      <c r="AE893" s="77" t="s">
        <v>3421</v>
      </c>
      <c r="AG893" s="77" t="s">
        <v>112</v>
      </c>
    </row>
    <row r="894" spans="1:33" hidden="1" x14ac:dyDescent="0.3">
      <c r="A894" s="77" t="s">
        <v>3433</v>
      </c>
      <c r="B894" s="77" t="s">
        <v>1163</v>
      </c>
      <c r="G894" s="77" t="s">
        <v>3420</v>
      </c>
      <c r="H894" s="77" t="s">
        <v>77</v>
      </c>
      <c r="I894" s="77" t="s">
        <v>78</v>
      </c>
      <c r="J894" s="77" t="s">
        <v>3039</v>
      </c>
      <c r="K894" s="77" t="s">
        <v>80</v>
      </c>
      <c r="L894" s="77" t="s">
        <v>1164</v>
      </c>
      <c r="M894" s="77" t="s">
        <v>82</v>
      </c>
      <c r="N894" s="77" t="s">
        <v>83</v>
      </c>
      <c r="Q894" s="77" t="s">
        <v>111</v>
      </c>
      <c r="T894" s="77" t="s">
        <v>112</v>
      </c>
      <c r="U894" s="77" t="s">
        <v>85</v>
      </c>
      <c r="V894" s="80" t="s">
        <v>86</v>
      </c>
      <c r="W894" s="79">
        <v>46192.204348182873</v>
      </c>
      <c r="X894" s="77" t="s">
        <v>87</v>
      </c>
      <c r="Y894" s="78" t="s">
        <v>88</v>
      </c>
      <c r="AA894" s="77" t="s">
        <v>1138</v>
      </c>
      <c r="AB894" s="77" t="s">
        <v>78</v>
      </c>
      <c r="AC894" s="77" t="s">
        <v>114</v>
      </c>
      <c r="AD894" s="77" t="s">
        <v>91</v>
      </c>
      <c r="AE894" s="77" t="s">
        <v>3421</v>
      </c>
      <c r="AF894" s="77" t="s">
        <v>2706</v>
      </c>
      <c r="AG894" s="77" t="s">
        <v>112</v>
      </c>
    </row>
    <row r="895" spans="1:33" hidden="1" x14ac:dyDescent="0.3">
      <c r="A895" s="77" t="s">
        <v>3434</v>
      </c>
      <c r="B895" s="77" t="s">
        <v>1166</v>
      </c>
      <c r="G895" s="77" t="s">
        <v>3420</v>
      </c>
      <c r="H895" s="77" t="s">
        <v>77</v>
      </c>
      <c r="I895" s="77" t="s">
        <v>78</v>
      </c>
      <c r="J895" s="77" t="s">
        <v>3039</v>
      </c>
      <c r="K895" s="77" t="s">
        <v>80</v>
      </c>
      <c r="L895" s="77" t="s">
        <v>1164</v>
      </c>
      <c r="M895" s="77" t="s">
        <v>82</v>
      </c>
      <c r="N895" s="77" t="s">
        <v>83</v>
      </c>
      <c r="Q895" s="77" t="s">
        <v>111</v>
      </c>
      <c r="T895" s="77" t="s">
        <v>112</v>
      </c>
      <c r="U895" s="77" t="s">
        <v>85</v>
      </c>
      <c r="V895" s="80" t="s">
        <v>86</v>
      </c>
      <c r="W895" s="79">
        <v>46192.359291666668</v>
      </c>
      <c r="X895" s="77" t="s">
        <v>87</v>
      </c>
      <c r="Y895" s="78" t="s">
        <v>88</v>
      </c>
      <c r="AA895" s="77" t="s">
        <v>1138</v>
      </c>
      <c r="AB895" s="77" t="s">
        <v>78</v>
      </c>
      <c r="AC895" s="77" t="s">
        <v>114</v>
      </c>
      <c r="AD895" s="77" t="s">
        <v>91</v>
      </c>
      <c r="AE895" s="77" t="s">
        <v>3421</v>
      </c>
      <c r="AF895" s="77" t="s">
        <v>2706</v>
      </c>
      <c r="AG895" s="77" t="s">
        <v>112</v>
      </c>
    </row>
    <row r="896" spans="1:33" hidden="1" x14ac:dyDescent="0.3">
      <c r="A896" s="77" t="s">
        <v>3435</v>
      </c>
      <c r="B896" s="77" t="s">
        <v>1168</v>
      </c>
      <c r="G896" s="77" t="s">
        <v>3420</v>
      </c>
      <c r="H896" s="77" t="s">
        <v>77</v>
      </c>
      <c r="I896" s="77" t="s">
        <v>78</v>
      </c>
      <c r="J896" s="77" t="s">
        <v>3039</v>
      </c>
      <c r="K896" s="77" t="s">
        <v>80</v>
      </c>
      <c r="L896" s="77" t="s">
        <v>1169</v>
      </c>
      <c r="M896" s="77" t="s">
        <v>82</v>
      </c>
      <c r="N896" s="77" t="s">
        <v>83</v>
      </c>
      <c r="Q896" s="77" t="s">
        <v>111</v>
      </c>
      <c r="T896" s="77" t="s">
        <v>112</v>
      </c>
      <c r="U896" s="77" t="s">
        <v>85</v>
      </c>
      <c r="V896" s="80" t="s">
        <v>86</v>
      </c>
      <c r="W896" s="79">
        <v>46192.193146493053</v>
      </c>
      <c r="X896" s="77" t="s">
        <v>87</v>
      </c>
      <c r="Y896" s="78" t="s">
        <v>88</v>
      </c>
      <c r="AA896" s="77" t="s">
        <v>1138</v>
      </c>
      <c r="AB896" s="77" t="s">
        <v>78</v>
      </c>
      <c r="AC896" s="77" t="s">
        <v>114</v>
      </c>
      <c r="AD896" s="77" t="s">
        <v>91</v>
      </c>
      <c r="AE896" s="77" t="s">
        <v>3421</v>
      </c>
      <c r="AF896" s="77" t="s">
        <v>2706</v>
      </c>
      <c r="AG896" s="77" t="s">
        <v>112</v>
      </c>
    </row>
    <row r="897" spans="1:33" hidden="1" x14ac:dyDescent="0.3">
      <c r="A897" s="77" t="s">
        <v>3436</v>
      </c>
      <c r="B897" s="77" t="s">
        <v>1171</v>
      </c>
      <c r="G897" s="77" t="s">
        <v>3420</v>
      </c>
      <c r="H897" s="77" t="s">
        <v>77</v>
      </c>
      <c r="I897" s="77" t="s">
        <v>78</v>
      </c>
      <c r="J897" s="77" t="s">
        <v>3039</v>
      </c>
      <c r="K897" s="77" t="s">
        <v>80</v>
      </c>
      <c r="L897" s="77" t="s">
        <v>1164</v>
      </c>
      <c r="M897" s="77" t="s">
        <v>82</v>
      </c>
      <c r="N897" s="77" t="s">
        <v>83</v>
      </c>
      <c r="Q897" s="77" t="s">
        <v>111</v>
      </c>
      <c r="T897" s="77" t="s">
        <v>112</v>
      </c>
      <c r="U897" s="77" t="s">
        <v>85</v>
      </c>
      <c r="V897" s="80" t="s">
        <v>86</v>
      </c>
      <c r="W897" s="79">
        <v>46192.360416747688</v>
      </c>
      <c r="X897" s="77" t="s">
        <v>87</v>
      </c>
      <c r="Y897" s="78" t="s">
        <v>88</v>
      </c>
      <c r="AA897" s="77" t="s">
        <v>1138</v>
      </c>
      <c r="AB897" s="77" t="s">
        <v>78</v>
      </c>
      <c r="AC897" s="77" t="s">
        <v>114</v>
      </c>
      <c r="AD897" s="77" t="s">
        <v>91</v>
      </c>
      <c r="AE897" s="77" t="s">
        <v>3421</v>
      </c>
      <c r="AF897" s="77" t="s">
        <v>2706</v>
      </c>
      <c r="AG897" s="77" t="s">
        <v>112</v>
      </c>
    </row>
    <row r="898" spans="1:33" hidden="1" x14ac:dyDescent="0.3">
      <c r="A898" s="77" t="s">
        <v>3437</v>
      </c>
      <c r="B898" s="77" t="s">
        <v>1173</v>
      </c>
      <c r="G898" s="77" t="s">
        <v>3420</v>
      </c>
      <c r="H898" s="77" t="s">
        <v>77</v>
      </c>
      <c r="I898" s="77" t="s">
        <v>78</v>
      </c>
      <c r="J898" s="77" t="s">
        <v>3039</v>
      </c>
      <c r="K898" s="77" t="s">
        <v>80</v>
      </c>
      <c r="L898" s="77" t="s">
        <v>1174</v>
      </c>
      <c r="M898" s="77" t="s">
        <v>82</v>
      </c>
      <c r="N898" s="77" t="s">
        <v>83</v>
      </c>
      <c r="Q898" s="77" t="s">
        <v>111</v>
      </c>
      <c r="T898" s="77" t="s">
        <v>112</v>
      </c>
      <c r="U898" s="77" t="s">
        <v>85</v>
      </c>
      <c r="V898" s="80" t="s">
        <v>86</v>
      </c>
      <c r="W898" s="79">
        <v>46192.359840972225</v>
      </c>
      <c r="X898" s="77" t="s">
        <v>87</v>
      </c>
      <c r="Y898" s="78" t="s">
        <v>88</v>
      </c>
      <c r="AA898" s="77" t="s">
        <v>1138</v>
      </c>
      <c r="AB898" s="77" t="s">
        <v>78</v>
      </c>
      <c r="AC898" s="77" t="s">
        <v>114</v>
      </c>
      <c r="AD898" s="77" t="s">
        <v>91</v>
      </c>
      <c r="AE898" s="77" t="s">
        <v>3421</v>
      </c>
      <c r="AF898" s="77" t="s">
        <v>2706</v>
      </c>
      <c r="AG898" s="77" t="s">
        <v>112</v>
      </c>
    </row>
    <row r="899" spans="1:33" hidden="1" x14ac:dyDescent="0.3">
      <c r="A899" s="77" t="s">
        <v>3438</v>
      </c>
      <c r="B899" s="77" t="s">
        <v>1176</v>
      </c>
      <c r="G899" s="77" t="s">
        <v>3420</v>
      </c>
      <c r="H899" s="77" t="s">
        <v>77</v>
      </c>
      <c r="I899" s="77" t="s">
        <v>78</v>
      </c>
      <c r="J899" s="77" t="s">
        <v>3039</v>
      </c>
      <c r="K899" s="77" t="s">
        <v>80</v>
      </c>
      <c r="L899" s="77" t="s">
        <v>1177</v>
      </c>
      <c r="M899" s="77" t="s">
        <v>82</v>
      </c>
      <c r="N899" s="77" t="s">
        <v>83</v>
      </c>
      <c r="Q899" s="77" t="s">
        <v>111</v>
      </c>
      <c r="T899" s="77" t="s">
        <v>112</v>
      </c>
      <c r="U899" s="77" t="s">
        <v>85</v>
      </c>
      <c r="V899" s="80" t="s">
        <v>86</v>
      </c>
      <c r="W899" s="79">
        <v>46200.395843055558</v>
      </c>
      <c r="X899" s="77" t="s">
        <v>87</v>
      </c>
      <c r="Y899" s="78" t="s">
        <v>88</v>
      </c>
      <c r="AA899" s="77" t="s">
        <v>1138</v>
      </c>
      <c r="AB899" s="77" t="s">
        <v>78</v>
      </c>
      <c r="AC899" s="77" t="s">
        <v>114</v>
      </c>
      <c r="AD899" s="77" t="s">
        <v>91</v>
      </c>
      <c r="AE899" s="77" t="s">
        <v>3421</v>
      </c>
      <c r="AF899" s="77" t="s">
        <v>2706</v>
      </c>
      <c r="AG899" s="77" t="s">
        <v>112</v>
      </c>
    </row>
    <row r="900" spans="1:33" hidden="1" x14ac:dyDescent="0.3">
      <c r="A900" s="77" t="s">
        <v>3439</v>
      </c>
      <c r="B900" s="77" t="s">
        <v>1179</v>
      </c>
      <c r="G900" s="77" t="s">
        <v>3420</v>
      </c>
      <c r="H900" s="77" t="s">
        <v>77</v>
      </c>
      <c r="I900" s="77" t="s">
        <v>78</v>
      </c>
      <c r="J900" s="77" t="s">
        <v>3039</v>
      </c>
      <c r="K900" s="77" t="s">
        <v>80</v>
      </c>
      <c r="L900" s="77" t="s">
        <v>1180</v>
      </c>
      <c r="M900" s="77" t="s">
        <v>82</v>
      </c>
      <c r="N900" s="77" t="s">
        <v>83</v>
      </c>
      <c r="Q900" s="77" t="s">
        <v>111</v>
      </c>
      <c r="T900" s="77" t="s">
        <v>112</v>
      </c>
      <c r="U900" s="77" t="s">
        <v>85</v>
      </c>
      <c r="V900" s="77" t="s">
        <v>95</v>
      </c>
      <c r="W900" s="79">
        <v>46192.360211539351</v>
      </c>
      <c r="X900" s="77" t="s">
        <v>96</v>
      </c>
      <c r="Y900" s="78" t="s">
        <v>88</v>
      </c>
      <c r="AA900" s="77" t="s">
        <v>1138</v>
      </c>
      <c r="AB900" s="77" t="s">
        <v>78</v>
      </c>
      <c r="AC900" s="77" t="s">
        <v>114</v>
      </c>
      <c r="AD900" s="77" t="s">
        <v>91</v>
      </c>
      <c r="AE900" s="77" t="s">
        <v>3421</v>
      </c>
      <c r="AF900" s="77" t="s">
        <v>2706</v>
      </c>
      <c r="AG900" s="77" t="s">
        <v>112</v>
      </c>
    </row>
    <row r="901" spans="1:33" hidden="1" x14ac:dyDescent="0.3">
      <c r="A901" s="77" t="s">
        <v>3440</v>
      </c>
      <c r="B901" s="77" t="s">
        <v>1182</v>
      </c>
      <c r="G901" s="77" t="s">
        <v>3420</v>
      </c>
      <c r="H901" s="77" t="s">
        <v>77</v>
      </c>
      <c r="I901" s="77" t="s">
        <v>78</v>
      </c>
      <c r="J901" s="77" t="s">
        <v>3039</v>
      </c>
      <c r="K901" s="77" t="s">
        <v>80</v>
      </c>
      <c r="L901" s="77" t="s">
        <v>1180</v>
      </c>
      <c r="M901" s="77" t="s">
        <v>82</v>
      </c>
      <c r="N901" s="77" t="s">
        <v>83</v>
      </c>
      <c r="Q901" s="77" t="s">
        <v>111</v>
      </c>
      <c r="T901" s="77" t="s">
        <v>112</v>
      </c>
      <c r="U901" s="77" t="s">
        <v>85</v>
      </c>
      <c r="V901" s="77" t="s">
        <v>95</v>
      </c>
      <c r="W901" s="79">
        <v>46192.360911724536</v>
      </c>
      <c r="X901" s="77" t="s">
        <v>96</v>
      </c>
      <c r="Y901" s="78" t="s">
        <v>88</v>
      </c>
      <c r="AA901" s="77" t="s">
        <v>1138</v>
      </c>
      <c r="AB901" s="77" t="s">
        <v>78</v>
      </c>
      <c r="AC901" s="77" t="s">
        <v>114</v>
      </c>
      <c r="AD901" s="77" t="s">
        <v>91</v>
      </c>
      <c r="AE901" s="77" t="s">
        <v>3421</v>
      </c>
      <c r="AF901" s="77" t="s">
        <v>2706</v>
      </c>
      <c r="AG901" s="77" t="s">
        <v>112</v>
      </c>
    </row>
    <row r="902" spans="1:33" hidden="1" x14ac:dyDescent="0.3">
      <c r="A902" s="77" t="s">
        <v>3441</v>
      </c>
      <c r="B902" s="77" t="s">
        <v>1184</v>
      </c>
      <c r="G902" s="77" t="s">
        <v>3420</v>
      </c>
      <c r="H902" s="77" t="s">
        <v>77</v>
      </c>
      <c r="I902" s="77" t="s">
        <v>78</v>
      </c>
      <c r="J902" s="77" t="s">
        <v>3039</v>
      </c>
      <c r="K902" s="77" t="s">
        <v>80</v>
      </c>
      <c r="L902" s="77" t="s">
        <v>1185</v>
      </c>
      <c r="M902" s="77" t="s">
        <v>82</v>
      </c>
      <c r="N902" s="77" t="s">
        <v>83</v>
      </c>
      <c r="Q902" s="77" t="s">
        <v>111</v>
      </c>
      <c r="T902" s="77" t="s">
        <v>112</v>
      </c>
      <c r="U902" s="77" t="s">
        <v>85</v>
      </c>
      <c r="V902" s="77" t="s">
        <v>95</v>
      </c>
      <c r="W902" s="79">
        <v>46192.357156284721</v>
      </c>
      <c r="X902" s="77" t="s">
        <v>96</v>
      </c>
      <c r="Y902" s="78" t="s">
        <v>88</v>
      </c>
      <c r="AA902" s="77" t="s">
        <v>1138</v>
      </c>
      <c r="AB902" s="77" t="s">
        <v>78</v>
      </c>
      <c r="AC902" s="77" t="s">
        <v>114</v>
      </c>
      <c r="AD902" s="77" t="s">
        <v>91</v>
      </c>
      <c r="AE902" s="77" t="s">
        <v>3421</v>
      </c>
      <c r="AF902" s="77" t="s">
        <v>2706</v>
      </c>
      <c r="AG902" s="77" t="s">
        <v>112</v>
      </c>
    </row>
    <row r="903" spans="1:33" hidden="1" x14ac:dyDescent="0.3">
      <c r="A903" s="77" t="s">
        <v>3442</v>
      </c>
      <c r="B903" s="77" t="s">
        <v>1187</v>
      </c>
      <c r="G903" s="77" t="s">
        <v>3420</v>
      </c>
      <c r="H903" s="77" t="s">
        <v>77</v>
      </c>
      <c r="I903" s="77" t="s">
        <v>78</v>
      </c>
      <c r="J903" s="77" t="s">
        <v>3039</v>
      </c>
      <c r="K903" s="77" t="s">
        <v>80</v>
      </c>
      <c r="L903" s="77" t="s">
        <v>1180</v>
      </c>
      <c r="M903" s="77" t="s">
        <v>82</v>
      </c>
      <c r="N903" s="77" t="s">
        <v>83</v>
      </c>
      <c r="Q903" s="77" t="s">
        <v>111</v>
      </c>
      <c r="T903" s="77" t="s">
        <v>112</v>
      </c>
      <c r="U903" s="77" t="s">
        <v>85</v>
      </c>
      <c r="V903" s="77" t="s">
        <v>95</v>
      </c>
      <c r="W903" s="79">
        <v>46192.204914351852</v>
      </c>
      <c r="X903" s="77" t="s">
        <v>96</v>
      </c>
      <c r="Y903" s="78" t="s">
        <v>88</v>
      </c>
      <c r="AA903" s="77" t="s">
        <v>1138</v>
      </c>
      <c r="AB903" s="77" t="s">
        <v>78</v>
      </c>
      <c r="AC903" s="77" t="s">
        <v>114</v>
      </c>
      <c r="AD903" s="77" t="s">
        <v>91</v>
      </c>
      <c r="AE903" s="77" t="s">
        <v>3421</v>
      </c>
      <c r="AF903" s="77" t="s">
        <v>2706</v>
      </c>
      <c r="AG903" s="77" t="s">
        <v>112</v>
      </c>
    </row>
    <row r="904" spans="1:33" hidden="1" x14ac:dyDescent="0.3">
      <c r="A904" s="77" t="s">
        <v>3443</v>
      </c>
      <c r="B904" s="77" t="s">
        <v>1189</v>
      </c>
      <c r="G904" s="77" t="s">
        <v>3420</v>
      </c>
      <c r="H904" s="77" t="s">
        <v>77</v>
      </c>
      <c r="I904" s="77" t="s">
        <v>78</v>
      </c>
      <c r="J904" s="77" t="s">
        <v>3039</v>
      </c>
      <c r="K904" s="77" t="s">
        <v>80</v>
      </c>
      <c r="L904" s="77" t="s">
        <v>1190</v>
      </c>
      <c r="M904" s="77" t="s">
        <v>82</v>
      </c>
      <c r="N904" s="77" t="s">
        <v>83</v>
      </c>
      <c r="Q904" s="77" t="s">
        <v>111</v>
      </c>
      <c r="T904" s="77" t="s">
        <v>112</v>
      </c>
      <c r="U904" s="77" t="s">
        <v>85</v>
      </c>
      <c r="V904" s="77" t="s">
        <v>95</v>
      </c>
      <c r="W904" s="79">
        <v>46192.361312037036</v>
      </c>
      <c r="X904" s="77" t="s">
        <v>96</v>
      </c>
      <c r="Y904" s="78" t="s">
        <v>88</v>
      </c>
      <c r="AA904" s="77" t="s">
        <v>1138</v>
      </c>
      <c r="AB904" s="77" t="s">
        <v>78</v>
      </c>
      <c r="AC904" s="77" t="s">
        <v>114</v>
      </c>
      <c r="AD904" s="77" t="s">
        <v>91</v>
      </c>
      <c r="AE904" s="77" t="s">
        <v>3421</v>
      </c>
      <c r="AF904" s="77" t="s">
        <v>2706</v>
      </c>
      <c r="AG904" s="77" t="s">
        <v>112</v>
      </c>
    </row>
    <row r="905" spans="1:33" hidden="1" x14ac:dyDescent="0.3">
      <c r="A905" s="77" t="s">
        <v>3444</v>
      </c>
      <c r="B905" s="77" t="s">
        <v>1192</v>
      </c>
      <c r="G905" s="77" t="s">
        <v>3420</v>
      </c>
      <c r="H905" s="77" t="s">
        <v>77</v>
      </c>
      <c r="I905" s="77" t="s">
        <v>78</v>
      </c>
      <c r="J905" s="77" t="s">
        <v>3039</v>
      </c>
      <c r="K905" s="77" t="s">
        <v>80</v>
      </c>
      <c r="L905" s="77" t="s">
        <v>1193</v>
      </c>
      <c r="M905" s="77" t="s">
        <v>82</v>
      </c>
      <c r="N905" s="77" t="s">
        <v>83</v>
      </c>
      <c r="Q905" s="77" t="s">
        <v>111</v>
      </c>
      <c r="T905" s="77" t="s">
        <v>112</v>
      </c>
      <c r="U905" s="77" t="s">
        <v>85</v>
      </c>
      <c r="V905" s="77" t="s">
        <v>95</v>
      </c>
      <c r="W905" s="79">
        <v>46200.396603553243</v>
      </c>
      <c r="X905" s="77" t="s">
        <v>96</v>
      </c>
      <c r="Y905" s="78" t="s">
        <v>88</v>
      </c>
      <c r="AA905" s="77" t="s">
        <v>1138</v>
      </c>
      <c r="AB905" s="77" t="s">
        <v>78</v>
      </c>
      <c r="AC905" s="77" t="s">
        <v>114</v>
      </c>
      <c r="AD905" s="77" t="s">
        <v>91</v>
      </c>
      <c r="AE905" s="77" t="s">
        <v>3421</v>
      </c>
      <c r="AF905" s="77" t="s">
        <v>2706</v>
      </c>
      <c r="AG905" s="77" t="s">
        <v>112</v>
      </c>
    </row>
    <row r="906" spans="1:33" x14ac:dyDescent="0.3">
      <c r="A906" s="77" t="s">
        <v>3445</v>
      </c>
      <c r="B906" s="77" t="s">
        <v>1195</v>
      </c>
      <c r="G906" s="77" t="s">
        <v>3420</v>
      </c>
      <c r="H906" s="77" t="s">
        <v>77</v>
      </c>
      <c r="I906" s="77" t="s">
        <v>78</v>
      </c>
      <c r="J906" s="77" t="s">
        <v>3039</v>
      </c>
      <c r="K906" s="77" t="s">
        <v>80</v>
      </c>
      <c r="L906" s="77" t="s">
        <v>1196</v>
      </c>
      <c r="M906" s="77" t="s">
        <v>82</v>
      </c>
      <c r="N906" s="77" t="s">
        <v>83</v>
      </c>
      <c r="Q906" s="77" t="s">
        <v>111</v>
      </c>
      <c r="T906" s="77" t="s">
        <v>112</v>
      </c>
      <c r="U906" s="77" t="s">
        <v>85</v>
      </c>
      <c r="V906" s="80" t="s">
        <v>99</v>
      </c>
      <c r="X906" s="77" t="s">
        <v>100</v>
      </c>
      <c r="Y906" s="78" t="s">
        <v>101</v>
      </c>
      <c r="AA906" s="77" t="s">
        <v>1138</v>
      </c>
      <c r="AB906" s="77" t="s">
        <v>78</v>
      </c>
      <c r="AC906" s="77" t="s">
        <v>90</v>
      </c>
      <c r="AD906" s="77" t="s">
        <v>102</v>
      </c>
      <c r="AE906" s="77" t="s">
        <v>3421</v>
      </c>
      <c r="AG906" s="77" t="s">
        <v>112</v>
      </c>
    </row>
    <row r="907" spans="1:33" x14ac:dyDescent="0.3">
      <c r="A907" s="77" t="s">
        <v>3446</v>
      </c>
      <c r="B907" s="77" t="s">
        <v>1198</v>
      </c>
      <c r="G907" s="77" t="s">
        <v>3420</v>
      </c>
      <c r="H907" s="77" t="s">
        <v>77</v>
      </c>
      <c r="I907" s="77" t="s">
        <v>78</v>
      </c>
      <c r="J907" s="77" t="s">
        <v>3039</v>
      </c>
      <c r="K907" s="77" t="s">
        <v>80</v>
      </c>
      <c r="L907" s="77" t="s">
        <v>1196</v>
      </c>
      <c r="M907" s="77" t="s">
        <v>82</v>
      </c>
      <c r="N907" s="77" t="s">
        <v>83</v>
      </c>
      <c r="Q907" s="77" t="s">
        <v>111</v>
      </c>
      <c r="T907" s="77" t="s">
        <v>112</v>
      </c>
      <c r="U907" s="77" t="s">
        <v>85</v>
      </c>
      <c r="V907" s="80" t="s">
        <v>99</v>
      </c>
      <c r="X907" s="77" t="s">
        <v>100</v>
      </c>
      <c r="Y907" s="78" t="s">
        <v>101</v>
      </c>
      <c r="AA907" s="77" t="s">
        <v>1138</v>
      </c>
      <c r="AB907" s="77" t="s">
        <v>78</v>
      </c>
      <c r="AC907" s="77" t="s">
        <v>90</v>
      </c>
      <c r="AD907" s="77" t="s">
        <v>102</v>
      </c>
      <c r="AE907" s="77" t="s">
        <v>3421</v>
      </c>
      <c r="AG907" s="77" t="s">
        <v>112</v>
      </c>
    </row>
    <row r="908" spans="1:33" hidden="1" x14ac:dyDescent="0.3">
      <c r="A908" s="77" t="s">
        <v>3447</v>
      </c>
      <c r="B908" s="77" t="s">
        <v>1200</v>
      </c>
      <c r="G908" s="77" t="s">
        <v>3420</v>
      </c>
      <c r="H908" s="77" t="s">
        <v>77</v>
      </c>
      <c r="I908" s="77" t="s">
        <v>78</v>
      </c>
      <c r="J908" s="77" t="s">
        <v>3039</v>
      </c>
      <c r="K908" s="77" t="s">
        <v>80</v>
      </c>
      <c r="L908" s="77" t="s">
        <v>1201</v>
      </c>
      <c r="M908" s="77" t="s">
        <v>82</v>
      </c>
      <c r="N908" s="77" t="s">
        <v>83</v>
      </c>
      <c r="Q908" s="77" t="s">
        <v>111</v>
      </c>
      <c r="T908" s="77" t="s">
        <v>112</v>
      </c>
      <c r="U908" s="77" t="s">
        <v>85</v>
      </c>
      <c r="V908" s="77" t="s">
        <v>99</v>
      </c>
      <c r="W908" s="79">
        <v>46204.59180008102</v>
      </c>
      <c r="X908" s="77" t="s">
        <v>100</v>
      </c>
      <c r="Y908" s="78" t="s">
        <v>101</v>
      </c>
      <c r="AA908" s="77" t="s">
        <v>1138</v>
      </c>
      <c r="AB908" s="77" t="s">
        <v>78</v>
      </c>
      <c r="AC908" s="77" t="s">
        <v>114</v>
      </c>
      <c r="AD908" s="77" t="s">
        <v>102</v>
      </c>
      <c r="AE908" s="77" t="s">
        <v>3421</v>
      </c>
      <c r="AF908" s="77" t="s">
        <v>2706</v>
      </c>
      <c r="AG908" s="77" t="s">
        <v>112</v>
      </c>
    </row>
    <row r="909" spans="1:33" x14ac:dyDescent="0.3">
      <c r="A909" s="77" t="s">
        <v>3448</v>
      </c>
      <c r="B909" s="77" t="s">
        <v>1203</v>
      </c>
      <c r="G909" s="77" t="s">
        <v>3420</v>
      </c>
      <c r="H909" s="77" t="s">
        <v>77</v>
      </c>
      <c r="I909" s="77" t="s">
        <v>78</v>
      </c>
      <c r="J909" s="77" t="s">
        <v>3039</v>
      </c>
      <c r="K909" s="77" t="s">
        <v>80</v>
      </c>
      <c r="L909" s="77" t="s">
        <v>1196</v>
      </c>
      <c r="M909" s="77" t="s">
        <v>82</v>
      </c>
      <c r="N909" s="77" t="s">
        <v>83</v>
      </c>
      <c r="Q909" s="77" t="s">
        <v>111</v>
      </c>
      <c r="T909" s="77" t="s">
        <v>112</v>
      </c>
      <c r="U909" s="77" t="s">
        <v>85</v>
      </c>
      <c r="V909" s="80" t="s">
        <v>99</v>
      </c>
      <c r="X909" s="77" t="s">
        <v>100</v>
      </c>
      <c r="Y909" s="78" t="s">
        <v>101</v>
      </c>
      <c r="AA909" s="77" t="s">
        <v>1138</v>
      </c>
      <c r="AB909" s="77" t="s">
        <v>78</v>
      </c>
      <c r="AC909" s="77" t="s">
        <v>90</v>
      </c>
      <c r="AD909" s="77" t="s">
        <v>102</v>
      </c>
      <c r="AE909" s="77" t="s">
        <v>3421</v>
      </c>
      <c r="AG909" s="77" t="s">
        <v>112</v>
      </c>
    </row>
    <row r="910" spans="1:33" x14ac:dyDescent="0.3">
      <c r="A910" s="77" t="s">
        <v>3449</v>
      </c>
      <c r="B910" s="77" t="s">
        <v>1205</v>
      </c>
      <c r="G910" s="77" t="s">
        <v>3420</v>
      </c>
      <c r="H910" s="77" t="s">
        <v>77</v>
      </c>
      <c r="I910" s="77" t="s">
        <v>78</v>
      </c>
      <c r="J910" s="77" t="s">
        <v>3039</v>
      </c>
      <c r="K910" s="77" t="s">
        <v>80</v>
      </c>
      <c r="L910" s="77" t="s">
        <v>1206</v>
      </c>
      <c r="M910" s="77" t="s">
        <v>82</v>
      </c>
      <c r="N910" s="77" t="s">
        <v>83</v>
      </c>
      <c r="Q910" s="77" t="s">
        <v>111</v>
      </c>
      <c r="T910" s="77" t="s">
        <v>112</v>
      </c>
      <c r="U910" s="77" t="s">
        <v>85</v>
      </c>
      <c r="V910" s="80" t="s">
        <v>99</v>
      </c>
      <c r="X910" s="77" t="s">
        <v>100</v>
      </c>
      <c r="Y910" s="78" t="s">
        <v>101</v>
      </c>
      <c r="AA910" s="77" t="s">
        <v>1138</v>
      </c>
      <c r="AB910" s="77" t="s">
        <v>78</v>
      </c>
      <c r="AC910" s="77" t="s">
        <v>90</v>
      </c>
      <c r="AD910" s="77" t="s">
        <v>102</v>
      </c>
      <c r="AE910" s="77" t="s">
        <v>3421</v>
      </c>
      <c r="AG910" s="77" t="s">
        <v>112</v>
      </c>
    </row>
    <row r="911" spans="1:33" x14ac:dyDescent="0.3">
      <c r="A911" s="77" t="s">
        <v>3450</v>
      </c>
      <c r="B911" s="77" t="s">
        <v>1208</v>
      </c>
      <c r="G911" s="77" t="s">
        <v>3420</v>
      </c>
      <c r="H911" s="77" t="s">
        <v>77</v>
      </c>
      <c r="I911" s="77" t="s">
        <v>78</v>
      </c>
      <c r="J911" s="77" t="s">
        <v>3039</v>
      </c>
      <c r="K911" s="77" t="s">
        <v>80</v>
      </c>
      <c r="L911" s="77" t="s">
        <v>1209</v>
      </c>
      <c r="M911" s="77" t="s">
        <v>82</v>
      </c>
      <c r="N911" s="77" t="s">
        <v>83</v>
      </c>
      <c r="Q911" s="77" t="s">
        <v>111</v>
      </c>
      <c r="T911" s="77" t="s">
        <v>112</v>
      </c>
      <c r="U911" s="77" t="s">
        <v>85</v>
      </c>
      <c r="V911" s="80" t="s">
        <v>99</v>
      </c>
      <c r="X911" s="77" t="s">
        <v>100</v>
      </c>
      <c r="Y911" s="78" t="s">
        <v>101</v>
      </c>
      <c r="AA911" s="77" t="s">
        <v>1138</v>
      </c>
      <c r="AB911" s="77" t="s">
        <v>78</v>
      </c>
      <c r="AC911" s="77" t="s">
        <v>90</v>
      </c>
      <c r="AD911" s="77" t="s">
        <v>102</v>
      </c>
      <c r="AE911" s="77" t="s">
        <v>3421</v>
      </c>
      <c r="AG911" s="77" t="s">
        <v>112</v>
      </c>
    </row>
    <row r="912" spans="1:33" x14ac:dyDescent="0.3">
      <c r="A912" s="77" t="s">
        <v>3451</v>
      </c>
      <c r="B912" s="77" t="s">
        <v>1211</v>
      </c>
      <c r="G912" s="77" t="s">
        <v>3420</v>
      </c>
      <c r="H912" s="77" t="s">
        <v>77</v>
      </c>
      <c r="I912" s="77" t="s">
        <v>78</v>
      </c>
      <c r="J912" s="77" t="s">
        <v>3039</v>
      </c>
      <c r="K912" s="77" t="s">
        <v>80</v>
      </c>
      <c r="L912" s="77" t="s">
        <v>1212</v>
      </c>
      <c r="M912" s="77" t="s">
        <v>82</v>
      </c>
      <c r="N912" s="77" t="s">
        <v>83</v>
      </c>
      <c r="Q912" s="77" t="s">
        <v>111</v>
      </c>
      <c r="T912" s="77" t="s">
        <v>112</v>
      </c>
      <c r="U912" s="77" t="s">
        <v>85</v>
      </c>
      <c r="V912" s="80" t="s">
        <v>105</v>
      </c>
      <c r="X912" s="77" t="s">
        <v>106</v>
      </c>
      <c r="Y912" s="78" t="s">
        <v>101</v>
      </c>
      <c r="AA912" s="77" t="s">
        <v>1138</v>
      </c>
      <c r="AB912" s="77" t="s">
        <v>78</v>
      </c>
      <c r="AC912" s="77" t="s">
        <v>90</v>
      </c>
      <c r="AD912" s="77" t="s">
        <v>102</v>
      </c>
      <c r="AE912" s="77" t="s">
        <v>3421</v>
      </c>
      <c r="AG912" s="77" t="s">
        <v>112</v>
      </c>
    </row>
    <row r="913" spans="1:33" hidden="1" x14ac:dyDescent="0.3">
      <c r="A913" s="77" t="s">
        <v>3452</v>
      </c>
      <c r="B913" s="77" t="s">
        <v>1214</v>
      </c>
      <c r="G913" s="77" t="s">
        <v>3420</v>
      </c>
      <c r="H913" s="77" t="s">
        <v>77</v>
      </c>
      <c r="I913" s="77" t="s">
        <v>78</v>
      </c>
      <c r="J913" s="77" t="s">
        <v>3039</v>
      </c>
      <c r="K913" s="77" t="s">
        <v>80</v>
      </c>
      <c r="L913" s="77" t="s">
        <v>1212</v>
      </c>
      <c r="M913" s="77" t="s">
        <v>82</v>
      </c>
      <c r="N913" s="77" t="s">
        <v>83</v>
      </c>
      <c r="Q913" s="77" t="s">
        <v>111</v>
      </c>
      <c r="T913" s="77" t="s">
        <v>112</v>
      </c>
      <c r="U913" s="77" t="s">
        <v>85</v>
      </c>
      <c r="V913" s="77" t="s">
        <v>105</v>
      </c>
      <c r="W913" s="79">
        <v>46192.205324386574</v>
      </c>
      <c r="X913" s="77" t="s">
        <v>106</v>
      </c>
      <c r="Y913" s="78" t="s">
        <v>101</v>
      </c>
      <c r="AA913" s="77" t="s">
        <v>1138</v>
      </c>
      <c r="AB913" s="77" t="s">
        <v>78</v>
      </c>
      <c r="AC913" s="77" t="s">
        <v>114</v>
      </c>
      <c r="AD913" s="77" t="s">
        <v>102</v>
      </c>
      <c r="AE913" s="77" t="s">
        <v>3421</v>
      </c>
      <c r="AF913" s="77" t="s">
        <v>2706</v>
      </c>
      <c r="AG913" s="77" t="s">
        <v>112</v>
      </c>
    </row>
    <row r="914" spans="1:33" hidden="1" x14ac:dyDescent="0.3">
      <c r="A914" s="77" t="s">
        <v>3453</v>
      </c>
      <c r="B914" s="77" t="s">
        <v>1216</v>
      </c>
      <c r="G914" s="77" t="s">
        <v>3420</v>
      </c>
      <c r="H914" s="77" t="s">
        <v>77</v>
      </c>
      <c r="I914" s="77" t="s">
        <v>78</v>
      </c>
      <c r="J914" s="77" t="s">
        <v>3039</v>
      </c>
      <c r="K914" s="77" t="s">
        <v>80</v>
      </c>
      <c r="L914" s="77" t="s">
        <v>1217</v>
      </c>
      <c r="M914" s="77" t="s">
        <v>82</v>
      </c>
      <c r="N914" s="77" t="s">
        <v>83</v>
      </c>
      <c r="Q914" s="77" t="s">
        <v>111</v>
      </c>
      <c r="T914" s="77" t="s">
        <v>112</v>
      </c>
      <c r="U914" s="77" t="s">
        <v>85</v>
      </c>
      <c r="V914" s="77" t="s">
        <v>105</v>
      </c>
      <c r="W914" s="79">
        <v>46192.194931099541</v>
      </c>
      <c r="X914" s="77" t="s">
        <v>106</v>
      </c>
      <c r="Y914" s="78" t="s">
        <v>101</v>
      </c>
      <c r="AA914" s="77" t="s">
        <v>1138</v>
      </c>
      <c r="AB914" s="77" t="s">
        <v>78</v>
      </c>
      <c r="AC914" s="77" t="s">
        <v>114</v>
      </c>
      <c r="AD914" s="77" t="s">
        <v>102</v>
      </c>
      <c r="AE914" s="77" t="s">
        <v>3421</v>
      </c>
      <c r="AF914" s="77" t="s">
        <v>2706</v>
      </c>
      <c r="AG914" s="77" t="s">
        <v>112</v>
      </c>
    </row>
    <row r="915" spans="1:33" hidden="1" x14ac:dyDescent="0.3">
      <c r="A915" s="77" t="s">
        <v>3454</v>
      </c>
      <c r="B915" s="77" t="s">
        <v>1219</v>
      </c>
      <c r="G915" s="77" t="s">
        <v>3420</v>
      </c>
      <c r="H915" s="77" t="s">
        <v>77</v>
      </c>
      <c r="I915" s="77" t="s">
        <v>78</v>
      </c>
      <c r="J915" s="77" t="s">
        <v>3039</v>
      </c>
      <c r="K915" s="77" t="s">
        <v>80</v>
      </c>
      <c r="L915" s="77" t="s">
        <v>1212</v>
      </c>
      <c r="M915" s="77" t="s">
        <v>82</v>
      </c>
      <c r="N915" s="77" t="s">
        <v>83</v>
      </c>
      <c r="Q915" s="77" t="s">
        <v>111</v>
      </c>
      <c r="T915" s="77" t="s">
        <v>112</v>
      </c>
      <c r="U915" s="77" t="s">
        <v>85</v>
      </c>
      <c r="V915" s="77" t="s">
        <v>105</v>
      </c>
      <c r="W915" s="79">
        <v>46192.205725312502</v>
      </c>
      <c r="X915" s="77" t="s">
        <v>106</v>
      </c>
      <c r="Y915" s="78" t="s">
        <v>101</v>
      </c>
      <c r="AA915" s="77" t="s">
        <v>1138</v>
      </c>
      <c r="AB915" s="77" t="s">
        <v>78</v>
      </c>
      <c r="AC915" s="77" t="s">
        <v>114</v>
      </c>
      <c r="AD915" s="77" t="s">
        <v>102</v>
      </c>
      <c r="AE915" s="77" t="s">
        <v>3421</v>
      </c>
      <c r="AF915" s="77" t="s">
        <v>2706</v>
      </c>
      <c r="AG915" s="77" t="s">
        <v>112</v>
      </c>
    </row>
    <row r="916" spans="1:33" hidden="1" x14ac:dyDescent="0.3">
      <c r="A916" s="77" t="s">
        <v>3455</v>
      </c>
      <c r="B916" s="77" t="s">
        <v>1221</v>
      </c>
      <c r="G916" s="77" t="s">
        <v>3420</v>
      </c>
      <c r="H916" s="77" t="s">
        <v>77</v>
      </c>
      <c r="I916" s="77" t="s">
        <v>78</v>
      </c>
      <c r="J916" s="77" t="s">
        <v>3039</v>
      </c>
      <c r="K916" s="77" t="s">
        <v>80</v>
      </c>
      <c r="L916" s="77" t="s">
        <v>1222</v>
      </c>
      <c r="M916" s="77" t="s">
        <v>82</v>
      </c>
      <c r="N916" s="77" t="s">
        <v>83</v>
      </c>
      <c r="Q916" s="77" t="s">
        <v>111</v>
      </c>
      <c r="T916" s="77" t="s">
        <v>112</v>
      </c>
      <c r="U916" s="77" t="s">
        <v>85</v>
      </c>
      <c r="V916" s="77" t="s">
        <v>105</v>
      </c>
      <c r="W916" s="79">
        <v>46192.206085185186</v>
      </c>
      <c r="X916" s="77" t="s">
        <v>106</v>
      </c>
      <c r="Y916" s="78" t="s">
        <v>101</v>
      </c>
      <c r="AA916" s="77" t="s">
        <v>1138</v>
      </c>
      <c r="AB916" s="77" t="s">
        <v>78</v>
      </c>
      <c r="AC916" s="77" t="s">
        <v>114</v>
      </c>
      <c r="AD916" s="77" t="s">
        <v>102</v>
      </c>
      <c r="AE916" s="77" t="s">
        <v>3421</v>
      </c>
      <c r="AF916" s="77" t="s">
        <v>2706</v>
      </c>
      <c r="AG916" s="77" t="s">
        <v>112</v>
      </c>
    </row>
    <row r="917" spans="1:33" x14ac:dyDescent="0.3">
      <c r="A917" s="77" t="s">
        <v>3456</v>
      </c>
      <c r="B917" s="77" t="s">
        <v>1224</v>
      </c>
      <c r="G917" s="77" t="s">
        <v>3420</v>
      </c>
      <c r="H917" s="77" t="s">
        <v>77</v>
      </c>
      <c r="I917" s="77" t="s">
        <v>78</v>
      </c>
      <c r="J917" s="77" t="s">
        <v>3039</v>
      </c>
      <c r="K917" s="77" t="s">
        <v>80</v>
      </c>
      <c r="L917" s="77" t="s">
        <v>1225</v>
      </c>
      <c r="M917" s="77" t="s">
        <v>82</v>
      </c>
      <c r="N917" s="77" t="s">
        <v>83</v>
      </c>
      <c r="Q917" s="77" t="s">
        <v>111</v>
      </c>
      <c r="T917" s="77" t="s">
        <v>112</v>
      </c>
      <c r="U917" s="77" t="s">
        <v>85</v>
      </c>
      <c r="V917" s="80" t="s">
        <v>105</v>
      </c>
      <c r="X917" s="77" t="s">
        <v>106</v>
      </c>
      <c r="Y917" s="78" t="s">
        <v>101</v>
      </c>
      <c r="AA917" s="77" t="s">
        <v>1138</v>
      </c>
      <c r="AB917" s="77" t="s">
        <v>78</v>
      </c>
      <c r="AC917" s="77" t="s">
        <v>90</v>
      </c>
      <c r="AD917" s="77" t="s">
        <v>102</v>
      </c>
      <c r="AE917" s="77" t="s">
        <v>3421</v>
      </c>
      <c r="AG917" s="77" t="s">
        <v>112</v>
      </c>
    </row>
    <row r="918" spans="1:33" x14ac:dyDescent="0.3">
      <c r="A918" s="77" t="s">
        <v>3457</v>
      </c>
      <c r="B918" s="77" t="s">
        <v>1227</v>
      </c>
      <c r="G918" s="77" t="s">
        <v>3458</v>
      </c>
      <c r="H918" s="77" t="s">
        <v>77</v>
      </c>
      <c r="I918" s="77" t="s">
        <v>78</v>
      </c>
      <c r="J918" s="77" t="s">
        <v>3039</v>
      </c>
      <c r="K918" s="77" t="s">
        <v>80</v>
      </c>
      <c r="L918" s="77" t="s">
        <v>1229</v>
      </c>
      <c r="M918" s="77" t="s">
        <v>82</v>
      </c>
      <c r="N918" s="77" t="s">
        <v>83</v>
      </c>
      <c r="Q918" s="77" t="s">
        <v>1279</v>
      </c>
      <c r="U918" s="77" t="s">
        <v>85</v>
      </c>
      <c r="V918" s="80" t="s">
        <v>891</v>
      </c>
      <c r="X918" s="77" t="s">
        <v>892</v>
      </c>
      <c r="Y918" s="78" t="s">
        <v>88</v>
      </c>
      <c r="AA918" s="77" t="s">
        <v>1230</v>
      </c>
      <c r="AB918" s="77" t="s">
        <v>78</v>
      </c>
      <c r="AC918" s="77" t="s">
        <v>90</v>
      </c>
      <c r="AD918" s="77" t="s">
        <v>91</v>
      </c>
      <c r="AE918" s="77" t="s">
        <v>3459</v>
      </c>
    </row>
    <row r="919" spans="1:33" x14ac:dyDescent="0.3">
      <c r="A919" s="77" t="s">
        <v>3460</v>
      </c>
      <c r="B919" s="77" t="s">
        <v>1233</v>
      </c>
      <c r="G919" s="77" t="s">
        <v>3458</v>
      </c>
      <c r="H919" s="77" t="s">
        <v>77</v>
      </c>
      <c r="I919" s="77" t="s">
        <v>78</v>
      </c>
      <c r="J919" s="77" t="s">
        <v>3039</v>
      </c>
      <c r="K919" s="77" t="s">
        <v>80</v>
      </c>
      <c r="L919" s="77" t="s">
        <v>1234</v>
      </c>
      <c r="M919" s="77" t="s">
        <v>82</v>
      </c>
      <c r="N919" s="77" t="s">
        <v>83</v>
      </c>
      <c r="Q919" s="77" t="s">
        <v>1279</v>
      </c>
      <c r="U919" s="77" t="s">
        <v>85</v>
      </c>
      <c r="V919" s="80" t="s">
        <v>891</v>
      </c>
      <c r="X919" s="77" t="s">
        <v>892</v>
      </c>
      <c r="Y919" s="78" t="s">
        <v>88</v>
      </c>
      <c r="AA919" s="77" t="s">
        <v>1230</v>
      </c>
      <c r="AB919" s="77" t="s">
        <v>78</v>
      </c>
      <c r="AC919" s="77" t="s">
        <v>90</v>
      </c>
      <c r="AD919" s="77" t="s">
        <v>91</v>
      </c>
      <c r="AE919" s="77" t="s">
        <v>3459</v>
      </c>
    </row>
    <row r="920" spans="1:33" x14ac:dyDescent="0.3">
      <c r="A920" s="77" t="s">
        <v>3461</v>
      </c>
      <c r="B920" s="77" t="s">
        <v>1276</v>
      </c>
      <c r="G920" s="77" t="s">
        <v>3462</v>
      </c>
      <c r="H920" s="77" t="s">
        <v>77</v>
      </c>
      <c r="I920" s="77" t="s">
        <v>78</v>
      </c>
      <c r="J920" s="77" t="s">
        <v>3039</v>
      </c>
      <c r="K920" s="77" t="s">
        <v>80</v>
      </c>
      <c r="L920" s="77" t="s">
        <v>1278</v>
      </c>
      <c r="M920" s="77" t="s">
        <v>82</v>
      </c>
      <c r="N920" s="77" t="s">
        <v>83</v>
      </c>
      <c r="Q920" s="77" t="s">
        <v>1279</v>
      </c>
      <c r="U920" s="77" t="s">
        <v>85</v>
      </c>
      <c r="V920" s="80" t="s">
        <v>657</v>
      </c>
      <c r="X920" s="77" t="s">
        <v>658</v>
      </c>
      <c r="Y920" s="78" t="s">
        <v>88</v>
      </c>
      <c r="AA920" s="77" t="s">
        <v>3463</v>
      </c>
      <c r="AB920" s="77" t="s">
        <v>78</v>
      </c>
      <c r="AC920" s="77" t="s">
        <v>90</v>
      </c>
      <c r="AD920" s="77" t="s">
        <v>91</v>
      </c>
      <c r="AE920" s="77" t="s">
        <v>3464</v>
      </c>
    </row>
    <row r="921" spans="1:33" x14ac:dyDescent="0.3">
      <c r="A921" s="77" t="s">
        <v>3465</v>
      </c>
      <c r="B921" s="77" t="s">
        <v>1283</v>
      </c>
      <c r="G921" s="77" t="s">
        <v>3462</v>
      </c>
      <c r="H921" s="77" t="s">
        <v>77</v>
      </c>
      <c r="I921" s="77" t="s">
        <v>78</v>
      </c>
      <c r="J921" s="77" t="s">
        <v>3039</v>
      </c>
      <c r="K921" s="77" t="s">
        <v>80</v>
      </c>
      <c r="L921" s="77" t="s">
        <v>1284</v>
      </c>
      <c r="M921" s="77" t="s">
        <v>82</v>
      </c>
      <c r="N921" s="77" t="s">
        <v>83</v>
      </c>
      <c r="Q921" s="77" t="s">
        <v>1279</v>
      </c>
      <c r="U921" s="77" t="s">
        <v>85</v>
      </c>
      <c r="V921" s="80" t="s">
        <v>665</v>
      </c>
      <c r="X921" s="77" t="s">
        <v>666</v>
      </c>
      <c r="Y921" s="78" t="s">
        <v>88</v>
      </c>
      <c r="AA921" s="77" t="s">
        <v>3463</v>
      </c>
      <c r="AB921" s="77" t="s">
        <v>78</v>
      </c>
      <c r="AC921" s="77" t="s">
        <v>90</v>
      </c>
      <c r="AD921" s="77" t="s">
        <v>91</v>
      </c>
      <c r="AE921" s="77" t="s">
        <v>3464</v>
      </c>
    </row>
    <row r="922" spans="1:33" x14ac:dyDescent="0.3">
      <c r="A922" s="77" t="s">
        <v>3466</v>
      </c>
      <c r="B922" s="77" t="s">
        <v>1286</v>
      </c>
      <c r="G922" s="77" t="s">
        <v>3462</v>
      </c>
      <c r="H922" s="77" t="s">
        <v>77</v>
      </c>
      <c r="I922" s="77" t="s">
        <v>78</v>
      </c>
      <c r="J922" s="77" t="s">
        <v>3039</v>
      </c>
      <c r="K922" s="77" t="s">
        <v>80</v>
      </c>
      <c r="L922" s="77" t="s">
        <v>1287</v>
      </c>
      <c r="M922" s="77" t="s">
        <v>82</v>
      </c>
      <c r="N922" s="77" t="s">
        <v>83</v>
      </c>
      <c r="Q922" s="77" t="s">
        <v>1279</v>
      </c>
      <c r="U922" s="77" t="s">
        <v>85</v>
      </c>
      <c r="V922" s="80" t="s">
        <v>673</v>
      </c>
      <c r="X922" s="77" t="s">
        <v>674</v>
      </c>
      <c r="Y922" s="78" t="s">
        <v>101</v>
      </c>
      <c r="AA922" s="77" t="s">
        <v>3463</v>
      </c>
      <c r="AB922" s="77" t="s">
        <v>78</v>
      </c>
      <c r="AC922" s="77" t="s">
        <v>90</v>
      </c>
      <c r="AD922" s="77" t="s">
        <v>102</v>
      </c>
      <c r="AE922" s="77" t="s">
        <v>3464</v>
      </c>
    </row>
    <row r="923" spans="1:33" x14ac:dyDescent="0.3">
      <c r="A923" s="77" t="s">
        <v>3467</v>
      </c>
      <c r="B923" s="77" t="s">
        <v>1289</v>
      </c>
      <c r="G923" s="77" t="s">
        <v>3462</v>
      </c>
      <c r="H923" s="77" t="s">
        <v>77</v>
      </c>
      <c r="I923" s="77" t="s">
        <v>78</v>
      </c>
      <c r="J923" s="77" t="s">
        <v>3039</v>
      </c>
      <c r="K923" s="77" t="s">
        <v>80</v>
      </c>
      <c r="L923" s="77" t="s">
        <v>1290</v>
      </c>
      <c r="M923" s="77" t="s">
        <v>82</v>
      </c>
      <c r="N923" s="77" t="s">
        <v>83</v>
      </c>
      <c r="Q923" s="77" t="s">
        <v>1279</v>
      </c>
      <c r="U923" s="77" t="s">
        <v>85</v>
      </c>
      <c r="V923" s="80" t="s">
        <v>681</v>
      </c>
      <c r="X923" s="77" t="s">
        <v>682</v>
      </c>
      <c r="Y923" s="78" t="s">
        <v>101</v>
      </c>
      <c r="AA923" s="77" t="s">
        <v>3463</v>
      </c>
      <c r="AB923" s="77" t="s">
        <v>78</v>
      </c>
      <c r="AC923" s="77" t="s">
        <v>90</v>
      </c>
      <c r="AD923" s="77" t="s">
        <v>102</v>
      </c>
      <c r="AE923" s="77" t="s">
        <v>3464</v>
      </c>
    </row>
    <row r="924" spans="1:33" x14ac:dyDescent="0.3">
      <c r="A924" s="77" t="s">
        <v>3468</v>
      </c>
      <c r="B924" s="77" t="s">
        <v>1292</v>
      </c>
      <c r="G924" s="77" t="s">
        <v>3462</v>
      </c>
      <c r="H924" s="77" t="s">
        <v>77</v>
      </c>
      <c r="I924" s="77" t="s">
        <v>78</v>
      </c>
      <c r="J924" s="77" t="s">
        <v>3039</v>
      </c>
      <c r="K924" s="77" t="s">
        <v>80</v>
      </c>
      <c r="L924" s="77" t="s">
        <v>1293</v>
      </c>
      <c r="M924" s="77" t="s">
        <v>82</v>
      </c>
      <c r="N924" s="77" t="s">
        <v>83</v>
      </c>
      <c r="Q924" s="77" t="s">
        <v>1279</v>
      </c>
      <c r="U924" s="77" t="s">
        <v>85</v>
      </c>
      <c r="V924" s="80" t="s">
        <v>231</v>
      </c>
      <c r="X924" s="77" t="s">
        <v>232</v>
      </c>
      <c r="Y924" s="78" t="s">
        <v>88</v>
      </c>
      <c r="AA924" s="77" t="s">
        <v>3463</v>
      </c>
      <c r="AB924" s="77" t="s">
        <v>78</v>
      </c>
      <c r="AC924" s="77" t="s">
        <v>90</v>
      </c>
      <c r="AD924" s="77" t="s">
        <v>91</v>
      </c>
      <c r="AE924" s="77" t="s">
        <v>3464</v>
      </c>
    </row>
    <row r="925" spans="1:33" x14ac:dyDescent="0.3">
      <c r="A925" s="77" t="s">
        <v>3469</v>
      </c>
      <c r="B925" s="77" t="s">
        <v>1295</v>
      </c>
      <c r="G925" s="77" t="s">
        <v>3462</v>
      </c>
      <c r="H925" s="77" t="s">
        <v>77</v>
      </c>
      <c r="I925" s="77" t="s">
        <v>78</v>
      </c>
      <c r="J925" s="77" t="s">
        <v>3039</v>
      </c>
      <c r="K925" s="77" t="s">
        <v>80</v>
      </c>
      <c r="L925" s="77" t="s">
        <v>1296</v>
      </c>
      <c r="M925" s="77" t="s">
        <v>82</v>
      </c>
      <c r="N925" s="77" t="s">
        <v>83</v>
      </c>
      <c r="Q925" s="77" t="s">
        <v>1279</v>
      </c>
      <c r="U925" s="77" t="s">
        <v>85</v>
      </c>
      <c r="V925" s="80" t="s">
        <v>211</v>
      </c>
      <c r="X925" s="77" t="s">
        <v>212</v>
      </c>
      <c r="Y925" s="78" t="s">
        <v>88</v>
      </c>
      <c r="AA925" s="77" t="s">
        <v>3463</v>
      </c>
      <c r="AB925" s="77" t="s">
        <v>78</v>
      </c>
      <c r="AC925" s="77" t="s">
        <v>90</v>
      </c>
      <c r="AD925" s="77" t="s">
        <v>91</v>
      </c>
      <c r="AE925" s="77" t="s">
        <v>3464</v>
      </c>
    </row>
    <row r="926" spans="1:33" x14ac:dyDescent="0.3">
      <c r="A926" s="77" t="s">
        <v>3470</v>
      </c>
      <c r="B926" s="77" t="s">
        <v>1298</v>
      </c>
      <c r="G926" s="77" t="s">
        <v>3462</v>
      </c>
      <c r="H926" s="77" t="s">
        <v>77</v>
      </c>
      <c r="I926" s="77" t="s">
        <v>78</v>
      </c>
      <c r="J926" s="77" t="s">
        <v>3039</v>
      </c>
      <c r="K926" s="77" t="s">
        <v>80</v>
      </c>
      <c r="L926" s="77" t="s">
        <v>1299</v>
      </c>
      <c r="M926" s="77" t="s">
        <v>82</v>
      </c>
      <c r="N926" s="77" t="s">
        <v>83</v>
      </c>
      <c r="Q926" s="77" t="s">
        <v>1279</v>
      </c>
      <c r="U926" s="77" t="s">
        <v>85</v>
      </c>
      <c r="V926" s="80" t="s">
        <v>216</v>
      </c>
      <c r="X926" s="77" t="s">
        <v>217</v>
      </c>
      <c r="Y926" s="78" t="s">
        <v>88</v>
      </c>
      <c r="AA926" s="77" t="s">
        <v>3463</v>
      </c>
      <c r="AB926" s="77" t="s">
        <v>78</v>
      </c>
      <c r="AC926" s="77" t="s">
        <v>90</v>
      </c>
      <c r="AD926" s="77" t="s">
        <v>91</v>
      </c>
      <c r="AE926" s="77" t="s">
        <v>3464</v>
      </c>
    </row>
    <row r="927" spans="1:33" x14ac:dyDescent="0.3">
      <c r="A927" s="77" t="s">
        <v>3471</v>
      </c>
      <c r="B927" s="77" t="s">
        <v>1301</v>
      </c>
      <c r="G927" s="77" t="s">
        <v>3462</v>
      </c>
      <c r="H927" s="77" t="s">
        <v>77</v>
      </c>
      <c r="I927" s="77" t="s">
        <v>78</v>
      </c>
      <c r="J927" s="77" t="s">
        <v>3039</v>
      </c>
      <c r="K927" s="77" t="s">
        <v>80</v>
      </c>
      <c r="L927" s="77" t="s">
        <v>1302</v>
      </c>
      <c r="M927" s="77" t="s">
        <v>82</v>
      </c>
      <c r="N927" s="77" t="s">
        <v>83</v>
      </c>
      <c r="Q927" s="77" t="s">
        <v>1279</v>
      </c>
      <c r="U927" s="77" t="s">
        <v>85</v>
      </c>
      <c r="V927" s="80" t="s">
        <v>221</v>
      </c>
      <c r="X927" s="77" t="s">
        <v>222</v>
      </c>
      <c r="Y927" s="78" t="s">
        <v>101</v>
      </c>
      <c r="AA927" s="77" t="s">
        <v>3463</v>
      </c>
      <c r="AB927" s="77" t="s">
        <v>78</v>
      </c>
      <c r="AC927" s="77" t="s">
        <v>90</v>
      </c>
      <c r="AD927" s="77" t="s">
        <v>102</v>
      </c>
      <c r="AE927" s="77" t="s">
        <v>3464</v>
      </c>
    </row>
    <row r="928" spans="1:33" x14ac:dyDescent="0.3">
      <c r="A928" s="77" t="s">
        <v>3472</v>
      </c>
      <c r="B928" s="77" t="s">
        <v>1304</v>
      </c>
      <c r="G928" s="77" t="s">
        <v>3462</v>
      </c>
      <c r="H928" s="77" t="s">
        <v>77</v>
      </c>
      <c r="I928" s="77" t="s">
        <v>78</v>
      </c>
      <c r="J928" s="77" t="s">
        <v>3039</v>
      </c>
      <c r="K928" s="77" t="s">
        <v>80</v>
      </c>
      <c r="L928" s="77" t="s">
        <v>1305</v>
      </c>
      <c r="M928" s="77" t="s">
        <v>82</v>
      </c>
      <c r="N928" s="77" t="s">
        <v>83</v>
      </c>
      <c r="Q928" s="77" t="s">
        <v>1279</v>
      </c>
      <c r="U928" s="77" t="s">
        <v>85</v>
      </c>
      <c r="V928" s="80" t="s">
        <v>226</v>
      </c>
      <c r="X928" s="77" t="s">
        <v>227</v>
      </c>
      <c r="Y928" s="78" t="s">
        <v>101</v>
      </c>
      <c r="AA928" s="77" t="s">
        <v>3463</v>
      </c>
      <c r="AB928" s="77" t="s">
        <v>78</v>
      </c>
      <c r="AC928" s="77" t="s">
        <v>90</v>
      </c>
      <c r="AD928" s="77" t="s">
        <v>102</v>
      </c>
      <c r="AE928" s="77" t="s">
        <v>3464</v>
      </c>
    </row>
    <row r="929" spans="1:31" x14ac:dyDescent="0.3">
      <c r="A929" s="77" t="s">
        <v>3473</v>
      </c>
      <c r="B929" s="77" t="s">
        <v>1307</v>
      </c>
      <c r="G929" s="77" t="s">
        <v>3462</v>
      </c>
      <c r="H929" s="77" t="s">
        <v>77</v>
      </c>
      <c r="I929" s="77" t="s">
        <v>78</v>
      </c>
      <c r="J929" s="77" t="s">
        <v>3039</v>
      </c>
      <c r="K929" s="77" t="s">
        <v>80</v>
      </c>
      <c r="L929" s="77" t="s">
        <v>1308</v>
      </c>
      <c r="M929" s="77" t="s">
        <v>82</v>
      </c>
      <c r="N929" s="77" t="s">
        <v>83</v>
      </c>
      <c r="Q929" s="77" t="s">
        <v>1279</v>
      </c>
      <c r="U929" s="77" t="s">
        <v>85</v>
      </c>
      <c r="V929" s="80" t="s">
        <v>231</v>
      </c>
      <c r="X929" s="77" t="s">
        <v>232</v>
      </c>
      <c r="Y929" s="78" t="s">
        <v>88</v>
      </c>
      <c r="AA929" s="77" t="s">
        <v>3463</v>
      </c>
      <c r="AB929" s="77" t="s">
        <v>78</v>
      </c>
      <c r="AC929" s="77" t="s">
        <v>90</v>
      </c>
      <c r="AD929" s="77" t="s">
        <v>91</v>
      </c>
      <c r="AE929" s="77" t="s">
        <v>3464</v>
      </c>
    </row>
    <row r="930" spans="1:31" x14ac:dyDescent="0.3">
      <c r="A930" s="77" t="s">
        <v>3474</v>
      </c>
      <c r="B930" s="77" t="s">
        <v>1310</v>
      </c>
      <c r="G930" s="77" t="s">
        <v>3462</v>
      </c>
      <c r="H930" s="77" t="s">
        <v>77</v>
      </c>
      <c r="I930" s="77" t="s">
        <v>78</v>
      </c>
      <c r="J930" s="77" t="s">
        <v>3039</v>
      </c>
      <c r="K930" s="77" t="s">
        <v>80</v>
      </c>
      <c r="L930" s="77" t="s">
        <v>1311</v>
      </c>
      <c r="M930" s="77" t="s">
        <v>82</v>
      </c>
      <c r="N930" s="77" t="s">
        <v>83</v>
      </c>
      <c r="Q930" s="77" t="s">
        <v>1279</v>
      </c>
      <c r="U930" s="77" t="s">
        <v>85</v>
      </c>
      <c r="V930" s="80" t="s">
        <v>86</v>
      </c>
      <c r="X930" s="77" t="s">
        <v>87</v>
      </c>
      <c r="Y930" s="78" t="s">
        <v>88</v>
      </c>
      <c r="AA930" s="77" t="s">
        <v>3463</v>
      </c>
      <c r="AB930" s="77" t="s">
        <v>78</v>
      </c>
      <c r="AC930" s="77" t="s">
        <v>90</v>
      </c>
      <c r="AD930" s="77" t="s">
        <v>91</v>
      </c>
      <c r="AE930" s="77" t="s">
        <v>3464</v>
      </c>
    </row>
    <row r="931" spans="1:31" x14ac:dyDescent="0.3">
      <c r="A931" s="77" t="s">
        <v>3475</v>
      </c>
      <c r="B931" s="77" t="s">
        <v>1313</v>
      </c>
      <c r="G931" s="77" t="s">
        <v>3462</v>
      </c>
      <c r="H931" s="77" t="s">
        <v>77</v>
      </c>
      <c r="I931" s="77" t="s">
        <v>78</v>
      </c>
      <c r="J931" s="77" t="s">
        <v>3039</v>
      </c>
      <c r="K931" s="77" t="s">
        <v>80</v>
      </c>
      <c r="L931" s="77" t="s">
        <v>1311</v>
      </c>
      <c r="M931" s="77" t="s">
        <v>82</v>
      </c>
      <c r="N931" s="77" t="s">
        <v>83</v>
      </c>
      <c r="Q931" s="77" t="s">
        <v>1279</v>
      </c>
      <c r="U931" s="77" t="s">
        <v>85</v>
      </c>
      <c r="V931" s="80" t="s">
        <v>95</v>
      </c>
      <c r="X931" s="77" t="s">
        <v>96</v>
      </c>
      <c r="Y931" s="78" t="s">
        <v>88</v>
      </c>
      <c r="AA931" s="77" t="s">
        <v>3463</v>
      </c>
      <c r="AB931" s="77" t="s">
        <v>78</v>
      </c>
      <c r="AC931" s="77" t="s">
        <v>90</v>
      </c>
      <c r="AD931" s="77" t="s">
        <v>91</v>
      </c>
      <c r="AE931" s="77" t="s">
        <v>3464</v>
      </c>
    </row>
    <row r="932" spans="1:31" x14ac:dyDescent="0.3">
      <c r="A932" s="77" t="s">
        <v>3476</v>
      </c>
      <c r="B932" s="77" t="s">
        <v>1315</v>
      </c>
      <c r="G932" s="77" t="s">
        <v>3462</v>
      </c>
      <c r="H932" s="77" t="s">
        <v>77</v>
      </c>
      <c r="I932" s="77" t="s">
        <v>78</v>
      </c>
      <c r="J932" s="77" t="s">
        <v>3039</v>
      </c>
      <c r="K932" s="77" t="s">
        <v>80</v>
      </c>
      <c r="L932" s="77" t="s">
        <v>1311</v>
      </c>
      <c r="M932" s="77" t="s">
        <v>82</v>
      </c>
      <c r="N932" s="77" t="s">
        <v>83</v>
      </c>
      <c r="Q932" s="77" t="s">
        <v>1279</v>
      </c>
      <c r="U932" s="77" t="s">
        <v>85</v>
      </c>
      <c r="V932" s="80" t="s">
        <v>99</v>
      </c>
      <c r="X932" s="77" t="s">
        <v>100</v>
      </c>
      <c r="Y932" s="78" t="s">
        <v>101</v>
      </c>
      <c r="AA932" s="77" t="s">
        <v>3463</v>
      </c>
      <c r="AB932" s="77" t="s">
        <v>78</v>
      </c>
      <c r="AC932" s="77" t="s">
        <v>90</v>
      </c>
      <c r="AD932" s="77" t="s">
        <v>102</v>
      </c>
      <c r="AE932" s="77" t="s">
        <v>3464</v>
      </c>
    </row>
    <row r="933" spans="1:31" x14ac:dyDescent="0.3">
      <c r="A933" s="77" t="s">
        <v>3477</v>
      </c>
      <c r="B933" s="77" t="s">
        <v>1317</v>
      </c>
      <c r="G933" s="77" t="s">
        <v>3462</v>
      </c>
      <c r="H933" s="77" t="s">
        <v>77</v>
      </c>
      <c r="I933" s="77" t="s">
        <v>78</v>
      </c>
      <c r="J933" s="77" t="s">
        <v>3039</v>
      </c>
      <c r="K933" s="77" t="s">
        <v>80</v>
      </c>
      <c r="L933" s="77" t="s">
        <v>1311</v>
      </c>
      <c r="M933" s="77" t="s">
        <v>82</v>
      </c>
      <c r="N933" s="77" t="s">
        <v>83</v>
      </c>
      <c r="Q933" s="77" t="s">
        <v>1279</v>
      </c>
      <c r="U933" s="77" t="s">
        <v>85</v>
      </c>
      <c r="V933" s="80" t="s">
        <v>105</v>
      </c>
      <c r="X933" s="77" t="s">
        <v>106</v>
      </c>
      <c r="Y933" s="78" t="s">
        <v>101</v>
      </c>
      <c r="AA933" s="77" t="s">
        <v>3463</v>
      </c>
      <c r="AB933" s="77" t="s">
        <v>78</v>
      </c>
      <c r="AC933" s="77" t="s">
        <v>90</v>
      </c>
      <c r="AD933" s="77" t="s">
        <v>102</v>
      </c>
      <c r="AE933" s="77" t="s">
        <v>3464</v>
      </c>
    </row>
    <row r="934" spans="1:31" x14ac:dyDescent="0.3">
      <c r="A934" s="77" t="s">
        <v>3478</v>
      </c>
      <c r="B934" s="77" t="s">
        <v>1319</v>
      </c>
      <c r="G934" s="77" t="s">
        <v>3462</v>
      </c>
      <c r="H934" s="77" t="s">
        <v>77</v>
      </c>
      <c r="I934" s="77" t="s">
        <v>78</v>
      </c>
      <c r="J934" s="77" t="s">
        <v>3039</v>
      </c>
      <c r="K934" s="77" t="s">
        <v>80</v>
      </c>
      <c r="L934" s="77" t="s">
        <v>1320</v>
      </c>
      <c r="M934" s="77" t="s">
        <v>82</v>
      </c>
      <c r="N934" s="77" t="s">
        <v>83</v>
      </c>
      <c r="Q934" s="77" t="s">
        <v>1279</v>
      </c>
      <c r="U934" s="77" t="s">
        <v>85</v>
      </c>
      <c r="V934" s="80" t="s">
        <v>189</v>
      </c>
      <c r="X934" s="77" t="s">
        <v>190</v>
      </c>
      <c r="Y934" s="78" t="s">
        <v>88</v>
      </c>
      <c r="AA934" s="77" t="s">
        <v>3463</v>
      </c>
      <c r="AB934" s="77" t="s">
        <v>78</v>
      </c>
      <c r="AC934" s="77" t="s">
        <v>90</v>
      </c>
      <c r="AD934" s="77" t="s">
        <v>91</v>
      </c>
      <c r="AE934" s="77" t="s">
        <v>3464</v>
      </c>
    </row>
    <row r="935" spans="1:31" x14ac:dyDescent="0.3">
      <c r="A935" s="77" t="s">
        <v>3479</v>
      </c>
      <c r="B935" s="77" t="s">
        <v>1322</v>
      </c>
      <c r="G935" s="77" t="s">
        <v>3462</v>
      </c>
      <c r="H935" s="77" t="s">
        <v>77</v>
      </c>
      <c r="I935" s="77" t="s">
        <v>78</v>
      </c>
      <c r="J935" s="77" t="s">
        <v>3039</v>
      </c>
      <c r="K935" s="77" t="s">
        <v>80</v>
      </c>
      <c r="L935" s="77" t="s">
        <v>1323</v>
      </c>
      <c r="M935" s="77" t="s">
        <v>82</v>
      </c>
      <c r="N935" s="77" t="s">
        <v>83</v>
      </c>
      <c r="Q935" s="77" t="s">
        <v>1279</v>
      </c>
      <c r="U935" s="77" t="s">
        <v>85</v>
      </c>
      <c r="V935" s="80" t="s">
        <v>196</v>
      </c>
      <c r="X935" s="77" t="s">
        <v>197</v>
      </c>
      <c r="Y935" s="78" t="s">
        <v>88</v>
      </c>
      <c r="AA935" s="77" t="s">
        <v>3463</v>
      </c>
      <c r="AB935" s="77" t="s">
        <v>78</v>
      </c>
      <c r="AC935" s="77" t="s">
        <v>90</v>
      </c>
      <c r="AD935" s="77" t="s">
        <v>91</v>
      </c>
      <c r="AE935" s="77" t="s">
        <v>3464</v>
      </c>
    </row>
    <row r="936" spans="1:31" x14ac:dyDescent="0.3">
      <c r="A936" s="77" t="s">
        <v>3480</v>
      </c>
      <c r="B936" s="77" t="s">
        <v>1325</v>
      </c>
      <c r="G936" s="77" t="s">
        <v>3462</v>
      </c>
      <c r="H936" s="77" t="s">
        <v>77</v>
      </c>
      <c r="I936" s="77" t="s">
        <v>78</v>
      </c>
      <c r="J936" s="77" t="s">
        <v>3039</v>
      </c>
      <c r="K936" s="77" t="s">
        <v>80</v>
      </c>
      <c r="L936" s="77" t="s">
        <v>1326</v>
      </c>
      <c r="M936" s="77" t="s">
        <v>82</v>
      </c>
      <c r="N936" s="77" t="s">
        <v>83</v>
      </c>
      <c r="Q936" s="77" t="s">
        <v>1279</v>
      </c>
      <c r="U936" s="77" t="s">
        <v>85</v>
      </c>
      <c r="V936" s="80" t="s">
        <v>201</v>
      </c>
      <c r="X936" s="77" t="s">
        <v>202</v>
      </c>
      <c r="Y936" s="78" t="s">
        <v>101</v>
      </c>
      <c r="AA936" s="77" t="s">
        <v>3463</v>
      </c>
      <c r="AB936" s="77" t="s">
        <v>78</v>
      </c>
      <c r="AC936" s="77" t="s">
        <v>90</v>
      </c>
      <c r="AD936" s="77" t="s">
        <v>102</v>
      </c>
      <c r="AE936" s="77" t="s">
        <v>3464</v>
      </c>
    </row>
    <row r="937" spans="1:31" x14ac:dyDescent="0.3">
      <c r="A937" s="77" t="s">
        <v>3481</v>
      </c>
      <c r="B937" s="77" t="s">
        <v>1328</v>
      </c>
      <c r="G937" s="77" t="s">
        <v>3462</v>
      </c>
      <c r="H937" s="77" t="s">
        <v>77</v>
      </c>
      <c r="I937" s="77" t="s">
        <v>78</v>
      </c>
      <c r="J937" s="77" t="s">
        <v>3039</v>
      </c>
      <c r="K937" s="77" t="s">
        <v>80</v>
      </c>
      <c r="L937" s="77" t="s">
        <v>1329</v>
      </c>
      <c r="M937" s="77" t="s">
        <v>82</v>
      </c>
      <c r="N937" s="77" t="s">
        <v>83</v>
      </c>
      <c r="Q937" s="77" t="s">
        <v>1279</v>
      </c>
      <c r="U937" s="77" t="s">
        <v>85</v>
      </c>
      <c r="V937" s="80" t="s">
        <v>206</v>
      </c>
      <c r="X937" s="77" t="s">
        <v>207</v>
      </c>
      <c r="Y937" s="78" t="s">
        <v>101</v>
      </c>
      <c r="AA937" s="77" t="s">
        <v>3463</v>
      </c>
      <c r="AB937" s="77" t="s">
        <v>78</v>
      </c>
      <c r="AC937" s="77" t="s">
        <v>90</v>
      </c>
      <c r="AD937" s="77" t="s">
        <v>102</v>
      </c>
      <c r="AE937" s="77" t="s">
        <v>3464</v>
      </c>
    </row>
    <row r="938" spans="1:31" x14ac:dyDescent="0.3">
      <c r="A938" s="77" t="s">
        <v>3482</v>
      </c>
      <c r="B938" s="77" t="s">
        <v>1331</v>
      </c>
      <c r="G938" s="77" t="s">
        <v>3462</v>
      </c>
      <c r="H938" s="77" t="s">
        <v>77</v>
      </c>
      <c r="I938" s="77" t="s">
        <v>78</v>
      </c>
      <c r="J938" s="77" t="s">
        <v>3039</v>
      </c>
      <c r="K938" s="77" t="s">
        <v>80</v>
      </c>
      <c r="L938" s="77" t="s">
        <v>1332</v>
      </c>
      <c r="M938" s="77" t="s">
        <v>82</v>
      </c>
      <c r="N938" s="77" t="s">
        <v>83</v>
      </c>
      <c r="Q938" s="77" t="s">
        <v>1279</v>
      </c>
      <c r="U938" s="77" t="s">
        <v>85</v>
      </c>
      <c r="V938" s="80" t="s">
        <v>896</v>
      </c>
      <c r="X938" s="77" t="s">
        <v>897</v>
      </c>
      <c r="Y938" s="78" t="s">
        <v>88</v>
      </c>
      <c r="AA938" s="77" t="s">
        <v>3463</v>
      </c>
      <c r="AB938" s="77" t="s">
        <v>78</v>
      </c>
      <c r="AC938" s="77" t="s">
        <v>90</v>
      </c>
      <c r="AD938" s="77" t="s">
        <v>91</v>
      </c>
      <c r="AE938" s="77" t="s">
        <v>3464</v>
      </c>
    </row>
    <row r="939" spans="1:31" x14ac:dyDescent="0.3">
      <c r="A939" s="77" t="s">
        <v>3483</v>
      </c>
      <c r="B939" s="77" t="s">
        <v>1334</v>
      </c>
      <c r="G939" s="77" t="s">
        <v>3462</v>
      </c>
      <c r="H939" s="77" t="s">
        <v>77</v>
      </c>
      <c r="I939" s="77" t="s">
        <v>78</v>
      </c>
      <c r="J939" s="77" t="s">
        <v>3039</v>
      </c>
      <c r="K939" s="77" t="s">
        <v>80</v>
      </c>
      <c r="L939" s="77" t="s">
        <v>1335</v>
      </c>
      <c r="M939" s="77" t="s">
        <v>82</v>
      </c>
      <c r="N939" s="77" t="s">
        <v>83</v>
      </c>
      <c r="Q939" s="77" t="s">
        <v>1279</v>
      </c>
      <c r="U939" s="77" t="s">
        <v>85</v>
      </c>
      <c r="V939" s="80" t="s">
        <v>272</v>
      </c>
      <c r="X939" s="77" t="s">
        <v>273</v>
      </c>
      <c r="Y939" s="78" t="s">
        <v>101</v>
      </c>
      <c r="AA939" s="77" t="s">
        <v>3463</v>
      </c>
      <c r="AB939" s="77" t="s">
        <v>78</v>
      </c>
      <c r="AC939" s="77" t="s">
        <v>90</v>
      </c>
      <c r="AD939" s="77" t="s">
        <v>274</v>
      </c>
      <c r="AE939" s="77" t="s">
        <v>3464</v>
      </c>
    </row>
    <row r="940" spans="1:31" x14ac:dyDescent="0.3">
      <c r="A940" s="77" t="s">
        <v>3484</v>
      </c>
      <c r="B940" s="77" t="s">
        <v>1337</v>
      </c>
      <c r="G940" s="77" t="s">
        <v>3462</v>
      </c>
      <c r="H940" s="77" t="s">
        <v>77</v>
      </c>
      <c r="I940" s="77" t="s">
        <v>78</v>
      </c>
      <c r="J940" s="77" t="s">
        <v>3039</v>
      </c>
      <c r="K940" s="77" t="s">
        <v>80</v>
      </c>
      <c r="L940" s="77" t="s">
        <v>1338</v>
      </c>
      <c r="M940" s="77" t="s">
        <v>82</v>
      </c>
      <c r="N940" s="77" t="s">
        <v>83</v>
      </c>
      <c r="Q940" s="77" t="s">
        <v>1279</v>
      </c>
      <c r="U940" s="77" t="s">
        <v>85</v>
      </c>
      <c r="V940" s="80" t="s">
        <v>272</v>
      </c>
      <c r="X940" s="77" t="s">
        <v>273</v>
      </c>
      <c r="Y940" s="78" t="s">
        <v>101</v>
      </c>
      <c r="AA940" s="77" t="s">
        <v>3463</v>
      </c>
      <c r="AB940" s="77" t="s">
        <v>78</v>
      </c>
      <c r="AC940" s="77" t="s">
        <v>90</v>
      </c>
      <c r="AD940" s="77" t="s">
        <v>274</v>
      </c>
      <c r="AE940" s="77" t="s">
        <v>3464</v>
      </c>
    </row>
    <row r="941" spans="1:31" x14ac:dyDescent="0.3">
      <c r="A941" s="77" t="s">
        <v>3485</v>
      </c>
      <c r="B941" s="77" t="s">
        <v>1236</v>
      </c>
      <c r="G941" s="77" t="s">
        <v>3486</v>
      </c>
      <c r="H941" s="77" t="s">
        <v>77</v>
      </c>
      <c r="I941" s="77" t="s">
        <v>78</v>
      </c>
      <c r="J941" s="77" t="s">
        <v>3039</v>
      </c>
      <c r="K941" s="77" t="s">
        <v>80</v>
      </c>
      <c r="L941" s="77" t="s">
        <v>1238</v>
      </c>
      <c r="M941" s="77" t="s">
        <v>82</v>
      </c>
      <c r="N941" s="77" t="s">
        <v>83</v>
      </c>
      <c r="Q941" s="77" t="s">
        <v>1279</v>
      </c>
      <c r="U941" s="77" t="s">
        <v>85</v>
      </c>
      <c r="V941" s="80" t="s">
        <v>86</v>
      </c>
      <c r="X941" s="77" t="s">
        <v>87</v>
      </c>
      <c r="Y941" s="78" t="s">
        <v>88</v>
      </c>
      <c r="AA941" s="77" t="s">
        <v>1240</v>
      </c>
      <c r="AB941" s="77" t="s">
        <v>78</v>
      </c>
      <c r="AC941" s="77" t="s">
        <v>90</v>
      </c>
      <c r="AD941" s="77" t="s">
        <v>91</v>
      </c>
      <c r="AE941" s="77" t="s">
        <v>3487</v>
      </c>
    </row>
    <row r="942" spans="1:31" x14ac:dyDescent="0.3">
      <c r="A942" s="77" t="s">
        <v>3488</v>
      </c>
      <c r="B942" s="77" t="s">
        <v>1243</v>
      </c>
      <c r="G942" s="77" t="s">
        <v>3486</v>
      </c>
      <c r="H942" s="77" t="s">
        <v>77</v>
      </c>
      <c r="I942" s="77" t="s">
        <v>78</v>
      </c>
      <c r="J942" s="77" t="s">
        <v>3039</v>
      </c>
      <c r="K942" s="77" t="s">
        <v>80</v>
      </c>
      <c r="L942" s="77" t="s">
        <v>1244</v>
      </c>
      <c r="M942" s="77" t="s">
        <v>82</v>
      </c>
      <c r="N942" s="77" t="s">
        <v>83</v>
      </c>
      <c r="Q942" s="77" t="s">
        <v>1279</v>
      </c>
      <c r="U942" s="77" t="s">
        <v>85</v>
      </c>
      <c r="V942" s="80" t="s">
        <v>95</v>
      </c>
      <c r="X942" s="77" t="s">
        <v>96</v>
      </c>
      <c r="Y942" s="78" t="s">
        <v>88</v>
      </c>
      <c r="AA942" s="77" t="s">
        <v>1240</v>
      </c>
      <c r="AB942" s="77" t="s">
        <v>78</v>
      </c>
      <c r="AC942" s="77" t="s">
        <v>90</v>
      </c>
      <c r="AD942" s="77" t="s">
        <v>91</v>
      </c>
      <c r="AE942" s="77" t="s">
        <v>3487</v>
      </c>
    </row>
    <row r="943" spans="1:31" x14ac:dyDescent="0.3">
      <c r="A943" s="77" t="s">
        <v>3489</v>
      </c>
      <c r="B943" s="77" t="s">
        <v>1246</v>
      </c>
      <c r="G943" s="77" t="s">
        <v>3486</v>
      </c>
      <c r="H943" s="77" t="s">
        <v>77</v>
      </c>
      <c r="I943" s="77" t="s">
        <v>78</v>
      </c>
      <c r="J943" s="77" t="s">
        <v>3039</v>
      </c>
      <c r="K943" s="77" t="s">
        <v>80</v>
      </c>
      <c r="L943" s="77" t="s">
        <v>1247</v>
      </c>
      <c r="M943" s="77" t="s">
        <v>82</v>
      </c>
      <c r="N943" s="77" t="s">
        <v>83</v>
      </c>
      <c r="Q943" s="77" t="s">
        <v>1279</v>
      </c>
      <c r="U943" s="77" t="s">
        <v>85</v>
      </c>
      <c r="V943" s="80" t="s">
        <v>99</v>
      </c>
      <c r="X943" s="77" t="s">
        <v>100</v>
      </c>
      <c r="Y943" s="78" t="s">
        <v>101</v>
      </c>
      <c r="AA943" s="77" t="s">
        <v>1240</v>
      </c>
      <c r="AB943" s="77" t="s">
        <v>78</v>
      </c>
      <c r="AC943" s="77" t="s">
        <v>90</v>
      </c>
      <c r="AD943" s="77" t="s">
        <v>102</v>
      </c>
      <c r="AE943" s="77" t="s">
        <v>3487</v>
      </c>
    </row>
    <row r="944" spans="1:31" x14ac:dyDescent="0.3">
      <c r="A944" s="77" t="s">
        <v>3490</v>
      </c>
      <c r="B944" s="77" t="s">
        <v>1249</v>
      </c>
      <c r="G944" s="77" t="s">
        <v>3486</v>
      </c>
      <c r="H944" s="77" t="s">
        <v>77</v>
      </c>
      <c r="I944" s="77" t="s">
        <v>78</v>
      </c>
      <c r="J944" s="77" t="s">
        <v>3039</v>
      </c>
      <c r="K944" s="77" t="s">
        <v>80</v>
      </c>
      <c r="L944" s="77" t="s">
        <v>1250</v>
      </c>
      <c r="M944" s="77" t="s">
        <v>82</v>
      </c>
      <c r="N944" s="77" t="s">
        <v>83</v>
      </c>
      <c r="Q944" s="77" t="s">
        <v>1279</v>
      </c>
      <c r="U944" s="77" t="s">
        <v>85</v>
      </c>
      <c r="V944" s="80" t="s">
        <v>105</v>
      </c>
      <c r="X944" s="77" t="s">
        <v>106</v>
      </c>
      <c r="Y944" s="78" t="s">
        <v>101</v>
      </c>
      <c r="AA944" s="77" t="s">
        <v>1240</v>
      </c>
      <c r="AB944" s="77" t="s">
        <v>78</v>
      </c>
      <c r="AC944" s="77" t="s">
        <v>90</v>
      </c>
      <c r="AD944" s="77" t="s">
        <v>102</v>
      </c>
      <c r="AE944" s="77" t="s">
        <v>3487</v>
      </c>
    </row>
    <row r="945" spans="1:33" x14ac:dyDescent="0.3">
      <c r="A945" s="77" t="s">
        <v>3493</v>
      </c>
      <c r="B945" s="77" t="s">
        <v>1261</v>
      </c>
      <c r="G945" s="80" t="s">
        <v>3491</v>
      </c>
      <c r="H945" s="77" t="s">
        <v>77</v>
      </c>
      <c r="I945" s="77" t="s">
        <v>78</v>
      </c>
      <c r="J945" s="77" t="s">
        <v>3039</v>
      </c>
      <c r="K945" s="77" t="s">
        <v>80</v>
      </c>
      <c r="L945" s="77" t="s">
        <v>1252</v>
      </c>
      <c r="M945" s="77" t="s">
        <v>82</v>
      </c>
      <c r="N945" s="77" t="s">
        <v>83</v>
      </c>
      <c r="Q945" s="77" t="s">
        <v>1253</v>
      </c>
      <c r="T945" s="77" t="s">
        <v>1262</v>
      </c>
      <c r="U945" s="77" t="s">
        <v>85</v>
      </c>
      <c r="V945" s="80" t="s">
        <v>1254</v>
      </c>
      <c r="X945" s="77" t="s">
        <v>1255</v>
      </c>
      <c r="Y945" s="78" t="s">
        <v>88</v>
      </c>
      <c r="AA945" s="77" t="s">
        <v>1256</v>
      </c>
      <c r="AB945" s="77" t="s">
        <v>78</v>
      </c>
      <c r="AC945" s="77" t="s">
        <v>90</v>
      </c>
      <c r="AD945" s="77" t="s">
        <v>1258</v>
      </c>
      <c r="AE945" s="77" t="s">
        <v>3492</v>
      </c>
      <c r="AG945" s="77" t="s">
        <v>1262</v>
      </c>
    </row>
    <row r="946" spans="1:33" x14ac:dyDescent="0.3">
      <c r="A946" s="77" t="s">
        <v>3494</v>
      </c>
      <c r="B946" s="77" t="s">
        <v>1264</v>
      </c>
      <c r="G946" s="80" t="s">
        <v>3491</v>
      </c>
      <c r="H946" s="77" t="s">
        <v>77</v>
      </c>
      <c r="I946" s="77" t="s">
        <v>78</v>
      </c>
      <c r="J946" s="77" t="s">
        <v>3039</v>
      </c>
      <c r="K946" s="77" t="s">
        <v>80</v>
      </c>
      <c r="L946" s="77" t="s">
        <v>1252</v>
      </c>
      <c r="M946" s="77" t="s">
        <v>82</v>
      </c>
      <c r="N946" s="77" t="s">
        <v>83</v>
      </c>
      <c r="Q946" s="77" t="s">
        <v>1253</v>
      </c>
      <c r="T946" s="77" t="s">
        <v>1265</v>
      </c>
      <c r="U946" s="77" t="s">
        <v>85</v>
      </c>
      <c r="V946" s="80" t="s">
        <v>1254</v>
      </c>
      <c r="X946" s="77" t="s">
        <v>1255</v>
      </c>
      <c r="Y946" s="78" t="s">
        <v>88</v>
      </c>
      <c r="AA946" s="77" t="s">
        <v>1256</v>
      </c>
      <c r="AB946" s="77" t="s">
        <v>78</v>
      </c>
      <c r="AC946" s="77" t="s">
        <v>90</v>
      </c>
      <c r="AD946" s="77" t="s">
        <v>1258</v>
      </c>
      <c r="AE946" s="77" t="s">
        <v>3492</v>
      </c>
      <c r="AG946" s="77" t="s">
        <v>1265</v>
      </c>
    </row>
    <row r="947" spans="1:33" x14ac:dyDescent="0.3">
      <c r="A947" s="77" t="s">
        <v>3495</v>
      </c>
      <c r="B947" s="77" t="s">
        <v>1267</v>
      </c>
      <c r="G947" s="80" t="s">
        <v>3491</v>
      </c>
      <c r="H947" s="77" t="s">
        <v>77</v>
      </c>
      <c r="I947" s="77" t="s">
        <v>78</v>
      </c>
      <c r="J947" s="77" t="s">
        <v>3039</v>
      </c>
      <c r="K947" s="77" t="s">
        <v>80</v>
      </c>
      <c r="L947" s="77" t="s">
        <v>1252</v>
      </c>
      <c r="M947" s="77" t="s">
        <v>82</v>
      </c>
      <c r="N947" s="77" t="s">
        <v>83</v>
      </c>
      <c r="Q947" s="77" t="s">
        <v>1253</v>
      </c>
      <c r="T947" s="77" t="s">
        <v>1268</v>
      </c>
      <c r="U947" s="77" t="s">
        <v>85</v>
      </c>
      <c r="V947" s="80" t="s">
        <v>1254</v>
      </c>
      <c r="X947" s="77" t="s">
        <v>1255</v>
      </c>
      <c r="Y947" s="78" t="s">
        <v>88</v>
      </c>
      <c r="AA947" s="77" t="s">
        <v>1256</v>
      </c>
      <c r="AB947" s="77" t="s">
        <v>78</v>
      </c>
      <c r="AC947" s="77" t="s">
        <v>90</v>
      </c>
      <c r="AD947" s="77" t="s">
        <v>1258</v>
      </c>
      <c r="AE947" s="77" t="s">
        <v>3492</v>
      </c>
      <c r="AG947" s="77" t="s">
        <v>1268</v>
      </c>
    </row>
    <row r="948" spans="1:33" x14ac:dyDescent="0.3">
      <c r="A948" s="77" t="s">
        <v>3496</v>
      </c>
      <c r="B948" s="77" t="s">
        <v>1270</v>
      </c>
      <c r="G948" s="80" t="s">
        <v>3491</v>
      </c>
      <c r="H948" s="77" t="s">
        <v>77</v>
      </c>
      <c r="I948" s="77" t="s">
        <v>78</v>
      </c>
      <c r="J948" s="77" t="s">
        <v>3039</v>
      </c>
      <c r="K948" s="77" t="s">
        <v>80</v>
      </c>
      <c r="L948" s="77" t="s">
        <v>1271</v>
      </c>
      <c r="M948" s="77" t="s">
        <v>82</v>
      </c>
      <c r="N948" s="77" t="s">
        <v>83</v>
      </c>
      <c r="Q948" s="77" t="s">
        <v>1253</v>
      </c>
      <c r="T948" s="77" t="s">
        <v>1272</v>
      </c>
      <c r="U948" s="77" t="s">
        <v>85</v>
      </c>
      <c r="V948" s="80" t="s">
        <v>1273</v>
      </c>
      <c r="X948" s="77" t="s">
        <v>1274</v>
      </c>
      <c r="Y948" s="78" t="s">
        <v>88</v>
      </c>
      <c r="AA948" s="77" t="s">
        <v>1256</v>
      </c>
      <c r="AB948" s="77" t="s">
        <v>78</v>
      </c>
      <c r="AC948" s="77" t="s">
        <v>90</v>
      </c>
      <c r="AD948" s="77" t="s">
        <v>91</v>
      </c>
      <c r="AE948" s="77" t="s">
        <v>3492</v>
      </c>
      <c r="AG948" s="77" t="s">
        <v>1272</v>
      </c>
    </row>
    <row r="949" spans="1:33" x14ac:dyDescent="0.3">
      <c r="A949" s="77" t="s">
        <v>3975</v>
      </c>
      <c r="B949" s="77" t="s">
        <v>3976</v>
      </c>
      <c r="G949" s="77" t="s">
        <v>3977</v>
      </c>
      <c r="H949" s="77" t="s">
        <v>77</v>
      </c>
      <c r="I949" s="77" t="s">
        <v>78</v>
      </c>
      <c r="J949" s="77" t="s">
        <v>79</v>
      </c>
      <c r="K949" s="77" t="s">
        <v>80</v>
      </c>
      <c r="L949" s="77" t="s">
        <v>3978</v>
      </c>
      <c r="M949" s="77" t="s">
        <v>82</v>
      </c>
      <c r="N949" s="77" t="s">
        <v>83</v>
      </c>
      <c r="Q949" s="77" t="s">
        <v>188</v>
      </c>
      <c r="S949" s="77" t="s">
        <v>188</v>
      </c>
      <c r="U949" s="77" t="s">
        <v>85</v>
      </c>
      <c r="V949" s="80" t="s">
        <v>891</v>
      </c>
      <c r="X949" s="77" t="s">
        <v>892</v>
      </c>
      <c r="Y949" s="78" t="s">
        <v>88</v>
      </c>
      <c r="AB949" s="77" t="s">
        <v>78</v>
      </c>
      <c r="AC949" s="77" t="s">
        <v>90</v>
      </c>
      <c r="AD949" s="77" t="s">
        <v>91</v>
      </c>
      <c r="AE949" s="77" t="s">
        <v>3979</v>
      </c>
    </row>
    <row r="950" spans="1:33" x14ac:dyDescent="0.3">
      <c r="A950" s="77" t="s">
        <v>3980</v>
      </c>
      <c r="B950" s="77" t="s">
        <v>3981</v>
      </c>
      <c r="G950" s="77" t="s">
        <v>3977</v>
      </c>
      <c r="H950" s="77" t="s">
        <v>77</v>
      </c>
      <c r="I950" s="77" t="s">
        <v>78</v>
      </c>
      <c r="J950" s="77" t="s">
        <v>79</v>
      </c>
      <c r="K950" s="77" t="s">
        <v>80</v>
      </c>
      <c r="L950" s="77" t="s">
        <v>3982</v>
      </c>
      <c r="M950" s="77" t="s">
        <v>82</v>
      </c>
      <c r="N950" s="77" t="s">
        <v>83</v>
      </c>
      <c r="Q950" s="77" t="s">
        <v>188</v>
      </c>
      <c r="S950" s="77" t="s">
        <v>188</v>
      </c>
      <c r="U950" s="77" t="s">
        <v>85</v>
      </c>
      <c r="V950" s="80" t="s">
        <v>891</v>
      </c>
      <c r="X950" s="77" t="s">
        <v>892</v>
      </c>
      <c r="Y950" s="78" t="s">
        <v>88</v>
      </c>
      <c r="AB950" s="77" t="s">
        <v>78</v>
      </c>
      <c r="AC950" s="77" t="s">
        <v>90</v>
      </c>
      <c r="AD950" s="77" t="s">
        <v>91</v>
      </c>
      <c r="AE950" s="77" t="s">
        <v>3979</v>
      </c>
    </row>
    <row r="951" spans="1:33" x14ac:dyDescent="0.3">
      <c r="A951" s="77" t="s">
        <v>3983</v>
      </c>
      <c r="B951" s="77" t="s">
        <v>3984</v>
      </c>
      <c r="G951" s="77" t="s">
        <v>3985</v>
      </c>
      <c r="H951" s="77" t="s">
        <v>77</v>
      </c>
      <c r="I951" s="77" t="s">
        <v>78</v>
      </c>
      <c r="J951" s="77" t="s">
        <v>79</v>
      </c>
      <c r="K951" s="77" t="s">
        <v>80</v>
      </c>
      <c r="L951" s="77" t="s">
        <v>3986</v>
      </c>
      <c r="M951" s="77" t="s">
        <v>82</v>
      </c>
      <c r="N951" s="77" t="s">
        <v>83</v>
      </c>
      <c r="Q951" s="77" t="s">
        <v>111</v>
      </c>
      <c r="S951" s="77" t="s">
        <v>111</v>
      </c>
      <c r="U951" s="77" t="s">
        <v>85</v>
      </c>
      <c r="V951" s="80" t="s">
        <v>86</v>
      </c>
      <c r="X951" s="77" t="s">
        <v>87</v>
      </c>
      <c r="Y951" s="78" t="s">
        <v>88</v>
      </c>
      <c r="AA951" s="77" t="s">
        <v>1138</v>
      </c>
      <c r="AB951" s="77" t="s">
        <v>78</v>
      </c>
      <c r="AC951" s="77" t="s">
        <v>90</v>
      </c>
      <c r="AD951" s="77" t="s">
        <v>91</v>
      </c>
      <c r="AE951" s="77" t="s">
        <v>3987</v>
      </c>
    </row>
    <row r="952" spans="1:33" x14ac:dyDescent="0.3">
      <c r="A952" s="77" t="s">
        <v>3988</v>
      </c>
      <c r="B952" s="77" t="s">
        <v>3989</v>
      </c>
      <c r="G952" s="77" t="s">
        <v>3985</v>
      </c>
      <c r="H952" s="77" t="s">
        <v>77</v>
      </c>
      <c r="I952" s="77" t="s">
        <v>78</v>
      </c>
      <c r="J952" s="77" t="s">
        <v>79</v>
      </c>
      <c r="K952" s="77" t="s">
        <v>80</v>
      </c>
      <c r="L952" s="77" t="s">
        <v>3986</v>
      </c>
      <c r="M952" s="77" t="s">
        <v>82</v>
      </c>
      <c r="N952" s="77" t="s">
        <v>83</v>
      </c>
      <c r="Q952" s="77" t="s">
        <v>111</v>
      </c>
      <c r="S952" s="77" t="s">
        <v>111</v>
      </c>
      <c r="U952" s="77" t="s">
        <v>85</v>
      </c>
      <c r="V952" s="80" t="s">
        <v>86</v>
      </c>
      <c r="X952" s="77" t="s">
        <v>87</v>
      </c>
      <c r="Y952" s="78" t="s">
        <v>88</v>
      </c>
      <c r="AA952" s="77" t="s">
        <v>1138</v>
      </c>
      <c r="AB952" s="77" t="s">
        <v>78</v>
      </c>
      <c r="AC952" s="77" t="s">
        <v>90</v>
      </c>
      <c r="AD952" s="77" t="s">
        <v>91</v>
      </c>
      <c r="AE952" s="77" t="s">
        <v>3987</v>
      </c>
    </row>
    <row r="953" spans="1:33" x14ac:dyDescent="0.3">
      <c r="A953" s="77" t="s">
        <v>3990</v>
      </c>
      <c r="B953" s="77" t="s">
        <v>3991</v>
      </c>
      <c r="G953" s="77" t="s">
        <v>3985</v>
      </c>
      <c r="H953" s="77" t="s">
        <v>77</v>
      </c>
      <c r="I953" s="77" t="s">
        <v>78</v>
      </c>
      <c r="J953" s="77" t="s">
        <v>79</v>
      </c>
      <c r="K953" s="77" t="s">
        <v>80</v>
      </c>
      <c r="L953" s="77" t="s">
        <v>3986</v>
      </c>
      <c r="M953" s="77" t="s">
        <v>82</v>
      </c>
      <c r="N953" s="77" t="s">
        <v>83</v>
      </c>
      <c r="Q953" s="77" t="s">
        <v>111</v>
      </c>
      <c r="S953" s="77" t="s">
        <v>111</v>
      </c>
      <c r="U953" s="77" t="s">
        <v>85</v>
      </c>
      <c r="V953" s="80" t="s">
        <v>86</v>
      </c>
      <c r="X953" s="77" t="s">
        <v>87</v>
      </c>
      <c r="Y953" s="78" t="s">
        <v>88</v>
      </c>
      <c r="AA953" s="77" t="s">
        <v>1138</v>
      </c>
      <c r="AB953" s="77" t="s">
        <v>78</v>
      </c>
      <c r="AC953" s="77" t="s">
        <v>90</v>
      </c>
      <c r="AD953" s="77" t="s">
        <v>91</v>
      </c>
      <c r="AE953" s="77" t="s">
        <v>3987</v>
      </c>
    </row>
    <row r="954" spans="1:33" x14ac:dyDescent="0.3">
      <c r="A954" s="77" t="s">
        <v>3992</v>
      </c>
      <c r="B954" s="77" t="s">
        <v>3993</v>
      </c>
      <c r="G954" s="77" t="s">
        <v>3985</v>
      </c>
      <c r="H954" s="77" t="s">
        <v>77</v>
      </c>
      <c r="I954" s="77" t="s">
        <v>78</v>
      </c>
      <c r="J954" s="77" t="s">
        <v>79</v>
      </c>
      <c r="K954" s="77" t="s">
        <v>80</v>
      </c>
      <c r="L954" s="77" t="s">
        <v>3994</v>
      </c>
      <c r="M954" s="77" t="s">
        <v>82</v>
      </c>
      <c r="N954" s="77" t="s">
        <v>83</v>
      </c>
      <c r="Q954" s="77" t="s">
        <v>111</v>
      </c>
      <c r="S954" s="77" t="s">
        <v>111</v>
      </c>
      <c r="U954" s="77" t="s">
        <v>85</v>
      </c>
      <c r="V954" s="80" t="s">
        <v>95</v>
      </c>
      <c r="X954" s="77" t="s">
        <v>96</v>
      </c>
      <c r="Y954" s="78" t="s">
        <v>88</v>
      </c>
      <c r="AA954" s="77" t="s">
        <v>1138</v>
      </c>
      <c r="AB954" s="77" t="s">
        <v>78</v>
      </c>
      <c r="AC954" s="77" t="s">
        <v>90</v>
      </c>
      <c r="AD954" s="77" t="s">
        <v>91</v>
      </c>
      <c r="AE954" s="77" t="s">
        <v>3987</v>
      </c>
    </row>
    <row r="955" spans="1:33" x14ac:dyDescent="0.3">
      <c r="A955" s="77" t="s">
        <v>3995</v>
      </c>
      <c r="B955" s="77" t="s">
        <v>3996</v>
      </c>
      <c r="G955" s="77" t="s">
        <v>3985</v>
      </c>
      <c r="H955" s="77" t="s">
        <v>77</v>
      </c>
      <c r="I955" s="77" t="s">
        <v>78</v>
      </c>
      <c r="J955" s="77" t="s">
        <v>79</v>
      </c>
      <c r="K955" s="77" t="s">
        <v>80</v>
      </c>
      <c r="L955" s="77" t="s">
        <v>3994</v>
      </c>
      <c r="M955" s="77" t="s">
        <v>82</v>
      </c>
      <c r="N955" s="77" t="s">
        <v>83</v>
      </c>
      <c r="Q955" s="77" t="s">
        <v>111</v>
      </c>
      <c r="S955" s="77" t="s">
        <v>111</v>
      </c>
      <c r="U955" s="77" t="s">
        <v>85</v>
      </c>
      <c r="V955" s="80" t="s">
        <v>95</v>
      </c>
      <c r="X955" s="77" t="s">
        <v>96</v>
      </c>
      <c r="Y955" s="78" t="s">
        <v>88</v>
      </c>
      <c r="AA955" s="77" t="s">
        <v>1138</v>
      </c>
      <c r="AB955" s="77" t="s">
        <v>78</v>
      </c>
      <c r="AC955" s="77" t="s">
        <v>90</v>
      </c>
      <c r="AD955" s="77" t="s">
        <v>91</v>
      </c>
      <c r="AE955" s="77" t="s">
        <v>3987</v>
      </c>
    </row>
    <row r="956" spans="1:33" x14ac:dyDescent="0.3">
      <c r="A956" s="77" t="s">
        <v>3997</v>
      </c>
      <c r="B956" s="77" t="s">
        <v>3998</v>
      </c>
      <c r="G956" s="77" t="s">
        <v>3985</v>
      </c>
      <c r="H956" s="77" t="s">
        <v>77</v>
      </c>
      <c r="I956" s="77" t="s">
        <v>78</v>
      </c>
      <c r="J956" s="77" t="s">
        <v>79</v>
      </c>
      <c r="K956" s="77" t="s">
        <v>80</v>
      </c>
      <c r="L956" s="77" t="s">
        <v>3994</v>
      </c>
      <c r="M956" s="77" t="s">
        <v>82</v>
      </c>
      <c r="N956" s="77" t="s">
        <v>83</v>
      </c>
      <c r="Q956" s="77" t="s">
        <v>111</v>
      </c>
      <c r="S956" s="77" t="s">
        <v>111</v>
      </c>
      <c r="U956" s="77" t="s">
        <v>85</v>
      </c>
      <c r="V956" s="80" t="s">
        <v>95</v>
      </c>
      <c r="X956" s="77" t="s">
        <v>96</v>
      </c>
      <c r="Y956" s="78" t="s">
        <v>88</v>
      </c>
      <c r="AA956" s="77" t="s">
        <v>1138</v>
      </c>
      <c r="AB956" s="77" t="s">
        <v>78</v>
      </c>
      <c r="AC956" s="77" t="s">
        <v>90</v>
      </c>
      <c r="AD956" s="77" t="s">
        <v>91</v>
      </c>
      <c r="AE956" s="77" t="s">
        <v>3987</v>
      </c>
    </row>
    <row r="957" spans="1:33" x14ac:dyDescent="0.3">
      <c r="A957" s="77" t="s">
        <v>3999</v>
      </c>
      <c r="B957" s="77" t="s">
        <v>4000</v>
      </c>
      <c r="G957" s="77" t="s">
        <v>3985</v>
      </c>
      <c r="H957" s="77" t="s">
        <v>77</v>
      </c>
      <c r="I957" s="77" t="s">
        <v>78</v>
      </c>
      <c r="J957" s="77" t="s">
        <v>79</v>
      </c>
      <c r="K957" s="77" t="s">
        <v>80</v>
      </c>
      <c r="L957" s="77" t="s">
        <v>4001</v>
      </c>
      <c r="M957" s="77" t="s">
        <v>82</v>
      </c>
      <c r="N957" s="77" t="s">
        <v>83</v>
      </c>
      <c r="Q957" s="77" t="s">
        <v>111</v>
      </c>
      <c r="S957" s="77" t="s">
        <v>111</v>
      </c>
      <c r="U957" s="77" t="s">
        <v>85</v>
      </c>
      <c r="V957" s="80" t="s">
        <v>99</v>
      </c>
      <c r="X957" s="77" t="s">
        <v>100</v>
      </c>
      <c r="Y957" s="78" t="s">
        <v>101</v>
      </c>
      <c r="AA957" s="77" t="s">
        <v>1138</v>
      </c>
      <c r="AB957" s="77" t="s">
        <v>78</v>
      </c>
      <c r="AC957" s="77" t="s">
        <v>90</v>
      </c>
      <c r="AD957" s="77" t="s">
        <v>102</v>
      </c>
      <c r="AE957" s="77" t="s">
        <v>3987</v>
      </c>
    </row>
    <row r="958" spans="1:33" x14ac:dyDescent="0.3">
      <c r="A958" s="77" t="s">
        <v>4002</v>
      </c>
      <c r="B958" s="77" t="s">
        <v>4003</v>
      </c>
      <c r="G958" s="77" t="s">
        <v>3985</v>
      </c>
      <c r="H958" s="77" t="s">
        <v>77</v>
      </c>
      <c r="I958" s="77" t="s">
        <v>78</v>
      </c>
      <c r="J958" s="77" t="s">
        <v>79</v>
      </c>
      <c r="K958" s="77" t="s">
        <v>80</v>
      </c>
      <c r="L958" s="77" t="s">
        <v>4001</v>
      </c>
      <c r="M958" s="77" t="s">
        <v>82</v>
      </c>
      <c r="N958" s="77" t="s">
        <v>83</v>
      </c>
      <c r="Q958" s="77" t="s">
        <v>111</v>
      </c>
      <c r="S958" s="77" t="s">
        <v>111</v>
      </c>
      <c r="U958" s="77" t="s">
        <v>85</v>
      </c>
      <c r="V958" s="80" t="s">
        <v>99</v>
      </c>
      <c r="X958" s="77" t="s">
        <v>100</v>
      </c>
      <c r="Y958" s="78" t="s">
        <v>101</v>
      </c>
      <c r="AA958" s="77" t="s">
        <v>1138</v>
      </c>
      <c r="AB958" s="77" t="s">
        <v>78</v>
      </c>
      <c r="AC958" s="77" t="s">
        <v>90</v>
      </c>
      <c r="AD958" s="77" t="s">
        <v>102</v>
      </c>
      <c r="AE958" s="77" t="s">
        <v>3987</v>
      </c>
    </row>
    <row r="959" spans="1:33" x14ac:dyDescent="0.3">
      <c r="A959" s="77" t="s">
        <v>4004</v>
      </c>
      <c r="B959" s="77" t="s">
        <v>4005</v>
      </c>
      <c r="G959" s="77" t="s">
        <v>3985</v>
      </c>
      <c r="H959" s="77" t="s">
        <v>77</v>
      </c>
      <c r="I959" s="77" t="s">
        <v>78</v>
      </c>
      <c r="J959" s="77" t="s">
        <v>79</v>
      </c>
      <c r="K959" s="77" t="s">
        <v>80</v>
      </c>
      <c r="L959" s="77" t="s">
        <v>4001</v>
      </c>
      <c r="M959" s="77" t="s">
        <v>82</v>
      </c>
      <c r="N959" s="77" t="s">
        <v>83</v>
      </c>
      <c r="Q959" s="77" t="s">
        <v>111</v>
      </c>
      <c r="S959" s="77" t="s">
        <v>111</v>
      </c>
      <c r="U959" s="77" t="s">
        <v>85</v>
      </c>
      <c r="V959" s="80" t="s">
        <v>99</v>
      </c>
      <c r="X959" s="77" t="s">
        <v>100</v>
      </c>
      <c r="Y959" s="78" t="s">
        <v>101</v>
      </c>
      <c r="AA959" s="77" t="s">
        <v>1138</v>
      </c>
      <c r="AB959" s="77" t="s">
        <v>78</v>
      </c>
      <c r="AC959" s="77" t="s">
        <v>90</v>
      </c>
      <c r="AD959" s="77" t="s">
        <v>102</v>
      </c>
      <c r="AE959" s="77" t="s">
        <v>3987</v>
      </c>
    </row>
    <row r="960" spans="1:33" x14ac:dyDescent="0.3">
      <c r="A960" s="77" t="s">
        <v>4006</v>
      </c>
      <c r="B960" s="77" t="s">
        <v>4007</v>
      </c>
      <c r="G960" s="77" t="s">
        <v>3985</v>
      </c>
      <c r="H960" s="77" t="s">
        <v>77</v>
      </c>
      <c r="I960" s="77" t="s">
        <v>78</v>
      </c>
      <c r="J960" s="77" t="s">
        <v>79</v>
      </c>
      <c r="K960" s="77" t="s">
        <v>80</v>
      </c>
      <c r="L960" s="77" t="s">
        <v>4008</v>
      </c>
      <c r="M960" s="77" t="s">
        <v>82</v>
      </c>
      <c r="N960" s="77" t="s">
        <v>83</v>
      </c>
      <c r="Q960" s="77" t="s">
        <v>111</v>
      </c>
      <c r="S960" s="77" t="s">
        <v>111</v>
      </c>
      <c r="U960" s="77" t="s">
        <v>85</v>
      </c>
      <c r="V960" s="80" t="s">
        <v>105</v>
      </c>
      <c r="X960" s="77" t="s">
        <v>106</v>
      </c>
      <c r="Y960" s="78" t="s">
        <v>101</v>
      </c>
      <c r="AA960" s="77" t="s">
        <v>1138</v>
      </c>
      <c r="AB960" s="77" t="s">
        <v>78</v>
      </c>
      <c r="AC960" s="77" t="s">
        <v>90</v>
      </c>
      <c r="AD960" s="77" t="s">
        <v>102</v>
      </c>
      <c r="AE960" s="77" t="s">
        <v>3987</v>
      </c>
    </row>
    <row r="961" spans="1:33" x14ac:dyDescent="0.3">
      <c r="A961" s="77" t="s">
        <v>4009</v>
      </c>
      <c r="B961" s="77" t="s">
        <v>4010</v>
      </c>
      <c r="G961" s="77" t="s">
        <v>3985</v>
      </c>
      <c r="H961" s="77" t="s">
        <v>77</v>
      </c>
      <c r="I961" s="77" t="s">
        <v>78</v>
      </c>
      <c r="J961" s="77" t="s">
        <v>79</v>
      </c>
      <c r="K961" s="77" t="s">
        <v>80</v>
      </c>
      <c r="L961" s="77" t="s">
        <v>4008</v>
      </c>
      <c r="M961" s="77" t="s">
        <v>82</v>
      </c>
      <c r="N961" s="77" t="s">
        <v>83</v>
      </c>
      <c r="Q961" s="77" t="s">
        <v>111</v>
      </c>
      <c r="S961" s="77" t="s">
        <v>111</v>
      </c>
      <c r="U961" s="77" t="s">
        <v>85</v>
      </c>
      <c r="V961" s="80" t="s">
        <v>105</v>
      </c>
      <c r="X961" s="77" t="s">
        <v>106</v>
      </c>
      <c r="Y961" s="78" t="s">
        <v>101</v>
      </c>
      <c r="AA961" s="77" t="s">
        <v>1138</v>
      </c>
      <c r="AB961" s="77" t="s">
        <v>78</v>
      </c>
      <c r="AC961" s="77" t="s">
        <v>90</v>
      </c>
      <c r="AD961" s="77" t="s">
        <v>102</v>
      </c>
      <c r="AE961" s="77" t="s">
        <v>3987</v>
      </c>
    </row>
    <row r="962" spans="1:33" x14ac:dyDescent="0.3">
      <c r="A962" s="77" t="s">
        <v>4011</v>
      </c>
      <c r="B962" s="77" t="s">
        <v>4012</v>
      </c>
      <c r="G962" s="77" t="s">
        <v>3985</v>
      </c>
      <c r="H962" s="77" t="s">
        <v>77</v>
      </c>
      <c r="I962" s="77" t="s">
        <v>78</v>
      </c>
      <c r="J962" s="77" t="s">
        <v>79</v>
      </c>
      <c r="K962" s="77" t="s">
        <v>80</v>
      </c>
      <c r="L962" s="77" t="s">
        <v>4008</v>
      </c>
      <c r="M962" s="77" t="s">
        <v>82</v>
      </c>
      <c r="N962" s="77" t="s">
        <v>83</v>
      </c>
      <c r="Q962" s="77" t="s">
        <v>111</v>
      </c>
      <c r="S962" s="77" t="s">
        <v>111</v>
      </c>
      <c r="U962" s="77" t="s">
        <v>85</v>
      </c>
      <c r="V962" s="80" t="s">
        <v>105</v>
      </c>
      <c r="X962" s="77" t="s">
        <v>106</v>
      </c>
      <c r="Y962" s="78" t="s">
        <v>101</v>
      </c>
      <c r="AA962" s="77" t="s">
        <v>1138</v>
      </c>
      <c r="AB962" s="77" t="s">
        <v>78</v>
      </c>
      <c r="AC962" s="77" t="s">
        <v>90</v>
      </c>
      <c r="AD962" s="77" t="s">
        <v>102</v>
      </c>
      <c r="AE962" s="77" t="s">
        <v>3987</v>
      </c>
    </row>
    <row r="963" spans="1:33" x14ac:dyDescent="0.3">
      <c r="A963" s="77" t="s">
        <v>4013</v>
      </c>
      <c r="B963" s="77" t="s">
        <v>4014</v>
      </c>
      <c r="G963" s="77" t="s">
        <v>3985</v>
      </c>
      <c r="H963" s="77" t="s">
        <v>77</v>
      </c>
      <c r="I963" s="77" t="s">
        <v>78</v>
      </c>
      <c r="J963" s="77" t="s">
        <v>79</v>
      </c>
      <c r="K963" s="77" t="s">
        <v>80</v>
      </c>
      <c r="L963" s="77" t="s">
        <v>4015</v>
      </c>
      <c r="M963" s="77" t="s">
        <v>82</v>
      </c>
      <c r="N963" s="77" t="s">
        <v>83</v>
      </c>
      <c r="Q963" s="77" t="s">
        <v>111</v>
      </c>
      <c r="S963" s="77" t="s">
        <v>111</v>
      </c>
      <c r="U963" s="77" t="s">
        <v>85</v>
      </c>
      <c r="V963" s="80" t="s">
        <v>231</v>
      </c>
      <c r="X963" s="77" t="s">
        <v>232</v>
      </c>
      <c r="Y963" s="78" t="s">
        <v>88</v>
      </c>
      <c r="AA963" s="77" t="s">
        <v>1138</v>
      </c>
      <c r="AB963" s="77" t="s">
        <v>78</v>
      </c>
      <c r="AC963" s="77" t="s">
        <v>90</v>
      </c>
      <c r="AD963" s="77" t="s">
        <v>91</v>
      </c>
      <c r="AE963" s="77" t="s">
        <v>3987</v>
      </c>
    </row>
    <row r="964" spans="1:33" x14ac:dyDescent="0.3">
      <c r="A964" s="77" t="s">
        <v>4016</v>
      </c>
      <c r="B964" s="77" t="s">
        <v>4017</v>
      </c>
      <c r="G964" s="77" t="s">
        <v>3985</v>
      </c>
      <c r="H964" s="77" t="s">
        <v>77</v>
      </c>
      <c r="I964" s="77" t="s">
        <v>78</v>
      </c>
      <c r="J964" s="77" t="s">
        <v>79</v>
      </c>
      <c r="K964" s="77" t="s">
        <v>80</v>
      </c>
      <c r="L964" s="77" t="s">
        <v>4015</v>
      </c>
      <c r="M964" s="77" t="s">
        <v>82</v>
      </c>
      <c r="N964" s="77" t="s">
        <v>83</v>
      </c>
      <c r="Q964" s="77" t="s">
        <v>111</v>
      </c>
      <c r="S964" s="77" t="s">
        <v>111</v>
      </c>
      <c r="U964" s="77" t="s">
        <v>85</v>
      </c>
      <c r="V964" s="80" t="s">
        <v>231</v>
      </c>
      <c r="X964" s="77" t="s">
        <v>232</v>
      </c>
      <c r="Y964" s="78" t="s">
        <v>88</v>
      </c>
      <c r="AA964" s="77" t="s">
        <v>1138</v>
      </c>
      <c r="AB964" s="77" t="s">
        <v>78</v>
      </c>
      <c r="AC964" s="77" t="s">
        <v>90</v>
      </c>
      <c r="AD964" s="77" t="s">
        <v>91</v>
      </c>
      <c r="AE964" s="77" t="s">
        <v>3987</v>
      </c>
    </row>
    <row r="965" spans="1:33" hidden="1" x14ac:dyDescent="0.3">
      <c r="A965" s="77" t="s">
        <v>4018</v>
      </c>
      <c r="B965" s="77" t="s">
        <v>4019</v>
      </c>
      <c r="G965" s="77" t="s">
        <v>3985</v>
      </c>
      <c r="H965" s="77" t="s">
        <v>77</v>
      </c>
      <c r="I965" s="77" t="s">
        <v>78</v>
      </c>
      <c r="J965" s="77" t="s">
        <v>79</v>
      </c>
      <c r="K965" s="77" t="s">
        <v>80</v>
      </c>
      <c r="L965" s="77" t="s">
        <v>4020</v>
      </c>
      <c r="M965" s="77" t="s">
        <v>82</v>
      </c>
      <c r="N965" s="77" t="s">
        <v>83</v>
      </c>
      <c r="Q965" s="77" t="s">
        <v>111</v>
      </c>
      <c r="S965" s="77" t="s">
        <v>111</v>
      </c>
      <c r="U965" s="77" t="s">
        <v>85</v>
      </c>
      <c r="V965" s="77" t="s">
        <v>891</v>
      </c>
      <c r="W965" s="79">
        <v>46206.602331944443</v>
      </c>
      <c r="X965" s="77" t="s">
        <v>892</v>
      </c>
      <c r="Y965" s="78" t="s">
        <v>88</v>
      </c>
      <c r="AA965" s="77" t="s">
        <v>1138</v>
      </c>
      <c r="AB965" s="77" t="s">
        <v>78</v>
      </c>
      <c r="AC965" s="77" t="s">
        <v>114</v>
      </c>
      <c r="AD965" s="77" t="s">
        <v>91</v>
      </c>
      <c r="AE965" s="77" t="s">
        <v>3987</v>
      </c>
      <c r="AF965" s="77" t="s">
        <v>2706</v>
      </c>
    </row>
    <row r="966" spans="1:33" hidden="1" x14ac:dyDescent="0.3">
      <c r="A966" s="77" t="s">
        <v>4021</v>
      </c>
      <c r="B966" s="77" t="s">
        <v>4022</v>
      </c>
      <c r="G966" s="77" t="s">
        <v>3985</v>
      </c>
      <c r="H966" s="77" t="s">
        <v>77</v>
      </c>
      <c r="I966" s="77" t="s">
        <v>78</v>
      </c>
      <c r="J966" s="77" t="s">
        <v>79</v>
      </c>
      <c r="K966" s="77" t="s">
        <v>80</v>
      </c>
      <c r="L966" s="77" t="s">
        <v>4023</v>
      </c>
      <c r="M966" s="77" t="s">
        <v>82</v>
      </c>
      <c r="N966" s="77" t="s">
        <v>83</v>
      </c>
      <c r="Q966" s="77" t="s">
        <v>111</v>
      </c>
      <c r="S966" s="77" t="s">
        <v>111</v>
      </c>
      <c r="U966" s="77" t="s">
        <v>85</v>
      </c>
      <c r="V966" s="77" t="s">
        <v>891</v>
      </c>
      <c r="W966" s="79">
        <v>46206.603852048611</v>
      </c>
      <c r="X966" s="77" t="s">
        <v>892</v>
      </c>
      <c r="Y966" s="78" t="s">
        <v>88</v>
      </c>
      <c r="AA966" s="77" t="s">
        <v>1138</v>
      </c>
      <c r="AB966" s="77" t="s">
        <v>78</v>
      </c>
      <c r="AC966" s="77" t="s">
        <v>114</v>
      </c>
      <c r="AD966" s="77" t="s">
        <v>91</v>
      </c>
      <c r="AE966" s="77" t="s">
        <v>3987</v>
      </c>
      <c r="AF966" s="77" t="s">
        <v>2706</v>
      </c>
    </row>
    <row r="967" spans="1:33" x14ac:dyDescent="0.3">
      <c r="A967" s="77" t="s">
        <v>4024</v>
      </c>
      <c r="B967" s="77" t="s">
        <v>4025</v>
      </c>
      <c r="G967" s="77" t="s">
        <v>3985</v>
      </c>
      <c r="H967" s="77" t="s">
        <v>77</v>
      </c>
      <c r="I967" s="77" t="s">
        <v>78</v>
      </c>
      <c r="J967" s="77" t="s">
        <v>79</v>
      </c>
      <c r="K967" s="77" t="s">
        <v>80</v>
      </c>
      <c r="L967" s="77" t="s">
        <v>4015</v>
      </c>
      <c r="M967" s="77" t="s">
        <v>82</v>
      </c>
      <c r="N967" s="77" t="s">
        <v>83</v>
      </c>
      <c r="Q967" s="77" t="s">
        <v>111</v>
      </c>
      <c r="S967" s="77" t="s">
        <v>111</v>
      </c>
      <c r="U967" s="77" t="s">
        <v>85</v>
      </c>
      <c r="V967" s="80" t="s">
        <v>231</v>
      </c>
      <c r="X967" s="77" t="s">
        <v>232</v>
      </c>
      <c r="Y967" s="78" t="s">
        <v>88</v>
      </c>
      <c r="AA967" s="77" t="s">
        <v>1138</v>
      </c>
      <c r="AB967" s="77" t="s">
        <v>78</v>
      </c>
      <c r="AC967" s="77" t="s">
        <v>90</v>
      </c>
      <c r="AD967" s="77" t="s">
        <v>91</v>
      </c>
      <c r="AE967" s="77" t="s">
        <v>3987</v>
      </c>
    </row>
    <row r="968" spans="1:33" x14ac:dyDescent="0.3">
      <c r="A968" s="77" t="s">
        <v>4026</v>
      </c>
      <c r="B968" s="77" t="s">
        <v>4027</v>
      </c>
      <c r="G968" s="77" t="s">
        <v>3985</v>
      </c>
      <c r="H968" s="77" t="s">
        <v>77</v>
      </c>
      <c r="I968" s="77" t="s">
        <v>78</v>
      </c>
      <c r="J968" s="77" t="s">
        <v>79</v>
      </c>
      <c r="K968" s="77" t="s">
        <v>80</v>
      </c>
      <c r="L968" s="77" t="s">
        <v>4015</v>
      </c>
      <c r="M968" s="77" t="s">
        <v>82</v>
      </c>
      <c r="N968" s="77" t="s">
        <v>83</v>
      </c>
      <c r="Q968" s="77" t="s">
        <v>111</v>
      </c>
      <c r="S968" s="77" t="s">
        <v>111</v>
      </c>
      <c r="U968" s="77" t="s">
        <v>85</v>
      </c>
      <c r="V968" s="80" t="s">
        <v>231</v>
      </c>
      <c r="X968" s="77" t="s">
        <v>232</v>
      </c>
      <c r="Y968" s="78" t="s">
        <v>88</v>
      </c>
      <c r="AA968" s="77" t="s">
        <v>1138</v>
      </c>
      <c r="AB968" s="77" t="s">
        <v>78</v>
      </c>
      <c r="AC968" s="77" t="s">
        <v>90</v>
      </c>
      <c r="AD968" s="77" t="s">
        <v>91</v>
      </c>
      <c r="AE968" s="77" t="s">
        <v>3987</v>
      </c>
    </row>
    <row r="969" spans="1:33" x14ac:dyDescent="0.3">
      <c r="A969" s="77" t="s">
        <v>4028</v>
      </c>
      <c r="B969" s="77" t="s">
        <v>4029</v>
      </c>
      <c r="G969" s="77" t="s">
        <v>3985</v>
      </c>
      <c r="H969" s="77" t="s">
        <v>77</v>
      </c>
      <c r="I969" s="77" t="s">
        <v>78</v>
      </c>
      <c r="J969" s="77" t="s">
        <v>79</v>
      </c>
      <c r="K969" s="77" t="s">
        <v>80</v>
      </c>
      <c r="L969" s="77" t="s">
        <v>4015</v>
      </c>
      <c r="M969" s="77" t="s">
        <v>82</v>
      </c>
      <c r="N969" s="77" t="s">
        <v>83</v>
      </c>
      <c r="Q969" s="77" t="s">
        <v>111</v>
      </c>
      <c r="S969" s="77" t="s">
        <v>111</v>
      </c>
      <c r="U969" s="77" t="s">
        <v>85</v>
      </c>
      <c r="V969" s="80" t="s">
        <v>231</v>
      </c>
      <c r="X969" s="77" t="s">
        <v>232</v>
      </c>
      <c r="Y969" s="78" t="s">
        <v>88</v>
      </c>
      <c r="AA969" s="77" t="s">
        <v>1138</v>
      </c>
      <c r="AB969" s="77" t="s">
        <v>78</v>
      </c>
      <c r="AC969" s="77" t="s">
        <v>90</v>
      </c>
      <c r="AD969" s="77" t="s">
        <v>91</v>
      </c>
      <c r="AE969" s="77" t="s">
        <v>3987</v>
      </c>
    </row>
    <row r="970" spans="1:33" x14ac:dyDescent="0.3">
      <c r="A970" s="77" t="s">
        <v>1518</v>
      </c>
      <c r="B970" s="77" t="s">
        <v>1519</v>
      </c>
      <c r="G970" s="77" t="s">
        <v>1520</v>
      </c>
      <c r="H970" s="77" t="s">
        <v>77</v>
      </c>
      <c r="I970" s="77" t="s">
        <v>1521</v>
      </c>
      <c r="J970" s="77" t="s">
        <v>79</v>
      </c>
      <c r="K970" s="77" t="s">
        <v>1522</v>
      </c>
      <c r="L970" s="77" t="s">
        <v>1523</v>
      </c>
      <c r="M970" s="77" t="s">
        <v>82</v>
      </c>
      <c r="N970" s="77" t="s">
        <v>83</v>
      </c>
      <c r="Q970" s="77" t="s">
        <v>188</v>
      </c>
      <c r="U970" s="77" t="s">
        <v>85</v>
      </c>
      <c r="V970" s="80" t="s">
        <v>891</v>
      </c>
      <c r="X970" s="77" t="s">
        <v>892</v>
      </c>
      <c r="Y970" s="78" t="s">
        <v>88</v>
      </c>
      <c r="AA970" s="77" t="s">
        <v>1524</v>
      </c>
      <c r="AB970" s="77" t="s">
        <v>1521</v>
      </c>
      <c r="AC970" s="77" t="s">
        <v>90</v>
      </c>
      <c r="AD970" s="77" t="s">
        <v>91</v>
      </c>
      <c r="AE970" s="77" t="s">
        <v>1525</v>
      </c>
    </row>
    <row r="971" spans="1:33" x14ac:dyDescent="0.3">
      <c r="A971" s="77" t="s">
        <v>1526</v>
      </c>
      <c r="B971" s="77" t="s">
        <v>1527</v>
      </c>
      <c r="G971" s="77" t="s">
        <v>1528</v>
      </c>
      <c r="H971" s="77" t="s">
        <v>77</v>
      </c>
      <c r="I971" s="77" t="s">
        <v>1521</v>
      </c>
      <c r="J971" s="77" t="s">
        <v>79</v>
      </c>
      <c r="K971" s="77" t="s">
        <v>1522</v>
      </c>
      <c r="L971" s="77" t="s">
        <v>1529</v>
      </c>
      <c r="M971" s="77" t="s">
        <v>82</v>
      </c>
      <c r="N971" s="77" t="s">
        <v>83</v>
      </c>
      <c r="Q971" s="77" t="s">
        <v>188</v>
      </c>
      <c r="T971" s="77" t="s">
        <v>1530</v>
      </c>
      <c r="U971" s="77" t="s">
        <v>85</v>
      </c>
      <c r="V971" s="80" t="s">
        <v>325</v>
      </c>
      <c r="X971" s="77" t="s">
        <v>326</v>
      </c>
      <c r="Y971" s="78" t="s">
        <v>101</v>
      </c>
      <c r="AA971" s="77" t="s">
        <v>1531</v>
      </c>
      <c r="AB971" s="77" t="s">
        <v>1521</v>
      </c>
      <c r="AC971" s="77" t="s">
        <v>90</v>
      </c>
      <c r="AD971" s="77" t="s">
        <v>327</v>
      </c>
      <c r="AE971" s="77" t="s">
        <v>1532</v>
      </c>
      <c r="AG971" s="77" t="s">
        <v>1530</v>
      </c>
    </row>
    <row r="972" spans="1:33" x14ac:dyDescent="0.3">
      <c r="A972" s="77" t="s">
        <v>1526</v>
      </c>
      <c r="B972" s="77" t="s">
        <v>1527</v>
      </c>
      <c r="G972" s="77" t="s">
        <v>1528</v>
      </c>
      <c r="H972" s="77" t="s">
        <v>77</v>
      </c>
      <c r="I972" s="77" t="s">
        <v>1521</v>
      </c>
      <c r="J972" s="77" t="s">
        <v>79</v>
      </c>
      <c r="K972" s="77" t="s">
        <v>1522</v>
      </c>
      <c r="L972" s="77" t="s">
        <v>1529</v>
      </c>
      <c r="M972" s="77" t="s">
        <v>82</v>
      </c>
      <c r="N972" s="77" t="s">
        <v>83</v>
      </c>
      <c r="Q972" s="77" t="s">
        <v>188</v>
      </c>
      <c r="T972" s="77" t="s">
        <v>1530</v>
      </c>
      <c r="U972" s="77" t="s">
        <v>85</v>
      </c>
      <c r="V972" s="80" t="s">
        <v>325</v>
      </c>
      <c r="X972" s="77" t="s">
        <v>326</v>
      </c>
      <c r="Y972" s="78" t="s">
        <v>101</v>
      </c>
      <c r="AA972" s="77" t="s">
        <v>1531</v>
      </c>
      <c r="AB972" s="77" t="s">
        <v>1521</v>
      </c>
      <c r="AC972" s="77" t="s">
        <v>90</v>
      </c>
      <c r="AD972" s="77" t="s">
        <v>327</v>
      </c>
      <c r="AE972" s="77" t="s">
        <v>1532</v>
      </c>
      <c r="AG972" s="77" t="s">
        <v>1533</v>
      </c>
    </row>
    <row r="973" spans="1:33" x14ac:dyDescent="0.3">
      <c r="A973" s="77" t="s">
        <v>1534</v>
      </c>
      <c r="B973" s="77" t="s">
        <v>1535</v>
      </c>
      <c r="G973" s="77" t="s">
        <v>1528</v>
      </c>
      <c r="H973" s="77" t="s">
        <v>77</v>
      </c>
      <c r="I973" s="77" t="s">
        <v>1521</v>
      </c>
      <c r="J973" s="77" t="s">
        <v>79</v>
      </c>
      <c r="K973" s="77" t="s">
        <v>1522</v>
      </c>
      <c r="L973" s="77" t="s">
        <v>1529</v>
      </c>
      <c r="M973" s="77" t="s">
        <v>82</v>
      </c>
      <c r="N973" s="77" t="s">
        <v>83</v>
      </c>
      <c r="Q973" s="77" t="s">
        <v>188</v>
      </c>
      <c r="T973" s="77" t="s">
        <v>1530</v>
      </c>
      <c r="U973" s="77" t="s">
        <v>85</v>
      </c>
      <c r="V973" s="80" t="s">
        <v>325</v>
      </c>
      <c r="X973" s="77" t="s">
        <v>326</v>
      </c>
      <c r="Y973" s="78" t="s">
        <v>101</v>
      </c>
      <c r="AA973" s="77" t="s">
        <v>1531</v>
      </c>
      <c r="AB973" s="77" t="s">
        <v>1521</v>
      </c>
      <c r="AC973" s="77" t="s">
        <v>90</v>
      </c>
      <c r="AD973" s="77" t="s">
        <v>327</v>
      </c>
      <c r="AE973" s="77" t="s">
        <v>1532</v>
      </c>
      <c r="AG973" s="77" t="s">
        <v>1530</v>
      </c>
    </row>
    <row r="974" spans="1:33" x14ac:dyDescent="0.3">
      <c r="A974" s="77" t="s">
        <v>1534</v>
      </c>
      <c r="B974" s="77" t="s">
        <v>1535</v>
      </c>
      <c r="G974" s="77" t="s">
        <v>1528</v>
      </c>
      <c r="H974" s="77" t="s">
        <v>77</v>
      </c>
      <c r="I974" s="77" t="s">
        <v>1521</v>
      </c>
      <c r="J974" s="77" t="s">
        <v>79</v>
      </c>
      <c r="K974" s="77" t="s">
        <v>1522</v>
      </c>
      <c r="L974" s="77" t="s">
        <v>1529</v>
      </c>
      <c r="M974" s="77" t="s">
        <v>82</v>
      </c>
      <c r="N974" s="77" t="s">
        <v>83</v>
      </c>
      <c r="Q974" s="77" t="s">
        <v>188</v>
      </c>
      <c r="T974" s="77" t="s">
        <v>1530</v>
      </c>
      <c r="U974" s="77" t="s">
        <v>85</v>
      </c>
      <c r="V974" s="80" t="s">
        <v>325</v>
      </c>
      <c r="X974" s="77" t="s">
        <v>326</v>
      </c>
      <c r="Y974" s="78" t="s">
        <v>101</v>
      </c>
      <c r="AA974" s="77" t="s">
        <v>1531</v>
      </c>
      <c r="AB974" s="77" t="s">
        <v>1521</v>
      </c>
      <c r="AC974" s="77" t="s">
        <v>90</v>
      </c>
      <c r="AD974" s="77" t="s">
        <v>327</v>
      </c>
      <c r="AE974" s="77" t="s">
        <v>1532</v>
      </c>
      <c r="AG974" s="77" t="s">
        <v>1533</v>
      </c>
    </row>
    <row r="975" spans="1:33" x14ac:dyDescent="0.3">
      <c r="A975" s="77" t="s">
        <v>1536</v>
      </c>
      <c r="B975" s="77" t="s">
        <v>1537</v>
      </c>
      <c r="G975" s="77" t="s">
        <v>1528</v>
      </c>
      <c r="H975" s="77" t="s">
        <v>77</v>
      </c>
      <c r="I975" s="77" t="s">
        <v>1521</v>
      </c>
      <c r="J975" s="77" t="s">
        <v>79</v>
      </c>
      <c r="K975" s="77" t="s">
        <v>1522</v>
      </c>
      <c r="L975" s="77" t="s">
        <v>1529</v>
      </c>
      <c r="M975" s="77" t="s">
        <v>82</v>
      </c>
      <c r="N975" s="77" t="s">
        <v>83</v>
      </c>
      <c r="Q975" s="77" t="s">
        <v>188</v>
      </c>
      <c r="T975" s="77" t="s">
        <v>1530</v>
      </c>
      <c r="U975" s="77" t="s">
        <v>85</v>
      </c>
      <c r="V975" s="80" t="s">
        <v>325</v>
      </c>
      <c r="X975" s="77" t="s">
        <v>326</v>
      </c>
      <c r="Y975" s="78" t="s">
        <v>101</v>
      </c>
      <c r="AA975" s="77" t="s">
        <v>1531</v>
      </c>
      <c r="AB975" s="77" t="s">
        <v>1521</v>
      </c>
      <c r="AC975" s="77" t="s">
        <v>90</v>
      </c>
      <c r="AD975" s="77" t="s">
        <v>327</v>
      </c>
      <c r="AE975" s="77" t="s">
        <v>1532</v>
      </c>
      <c r="AG975" s="77" t="s">
        <v>1530</v>
      </c>
    </row>
    <row r="976" spans="1:33" x14ac:dyDescent="0.3">
      <c r="A976" s="77" t="s">
        <v>1536</v>
      </c>
      <c r="B976" s="77" t="s">
        <v>1537</v>
      </c>
      <c r="G976" s="77" t="s">
        <v>1528</v>
      </c>
      <c r="H976" s="77" t="s">
        <v>77</v>
      </c>
      <c r="I976" s="77" t="s">
        <v>1521</v>
      </c>
      <c r="J976" s="77" t="s">
        <v>79</v>
      </c>
      <c r="K976" s="77" t="s">
        <v>1522</v>
      </c>
      <c r="L976" s="77" t="s">
        <v>1529</v>
      </c>
      <c r="M976" s="77" t="s">
        <v>82</v>
      </c>
      <c r="N976" s="77" t="s">
        <v>83</v>
      </c>
      <c r="Q976" s="77" t="s">
        <v>188</v>
      </c>
      <c r="T976" s="77" t="s">
        <v>1530</v>
      </c>
      <c r="U976" s="77" t="s">
        <v>85</v>
      </c>
      <c r="V976" s="80" t="s">
        <v>325</v>
      </c>
      <c r="X976" s="77" t="s">
        <v>326</v>
      </c>
      <c r="Y976" s="78" t="s">
        <v>101</v>
      </c>
      <c r="AA976" s="77" t="s">
        <v>1531</v>
      </c>
      <c r="AB976" s="77" t="s">
        <v>1521</v>
      </c>
      <c r="AC976" s="77" t="s">
        <v>90</v>
      </c>
      <c r="AD976" s="77" t="s">
        <v>327</v>
      </c>
      <c r="AE976" s="77" t="s">
        <v>1532</v>
      </c>
      <c r="AG976" s="77" t="s">
        <v>1533</v>
      </c>
    </row>
    <row r="977" spans="1:33" x14ac:dyDescent="0.3">
      <c r="A977" s="77" t="s">
        <v>1538</v>
      </c>
      <c r="B977" s="77" t="s">
        <v>1539</v>
      </c>
      <c r="G977" s="77" t="s">
        <v>1528</v>
      </c>
      <c r="H977" s="77" t="s">
        <v>77</v>
      </c>
      <c r="I977" s="77" t="s">
        <v>1521</v>
      </c>
      <c r="J977" s="77" t="s">
        <v>79</v>
      </c>
      <c r="K977" s="77" t="s">
        <v>1522</v>
      </c>
      <c r="L977" s="77" t="s">
        <v>1540</v>
      </c>
      <c r="M977" s="77" t="s">
        <v>82</v>
      </c>
      <c r="N977" s="77" t="s">
        <v>83</v>
      </c>
      <c r="Q977" s="77" t="s">
        <v>188</v>
      </c>
      <c r="T977" s="77" t="s">
        <v>1397</v>
      </c>
      <c r="U977" s="77" t="s">
        <v>85</v>
      </c>
      <c r="V977" s="80" t="s">
        <v>952</v>
      </c>
      <c r="X977" s="77" t="s">
        <v>953</v>
      </c>
      <c r="Y977" s="78" t="s">
        <v>101</v>
      </c>
      <c r="AA977" s="77" t="s">
        <v>1531</v>
      </c>
      <c r="AB977" s="77" t="s">
        <v>1521</v>
      </c>
      <c r="AC977" s="77" t="s">
        <v>90</v>
      </c>
      <c r="AD977" s="77" t="s">
        <v>954</v>
      </c>
      <c r="AE977" s="77" t="s">
        <v>1532</v>
      </c>
      <c r="AG977" s="77" t="s">
        <v>1397</v>
      </c>
    </row>
    <row r="978" spans="1:33" x14ac:dyDescent="0.3">
      <c r="A978" s="77" t="s">
        <v>1541</v>
      </c>
      <c r="B978" s="77" t="s">
        <v>1542</v>
      </c>
      <c r="G978" s="77" t="s">
        <v>1528</v>
      </c>
      <c r="H978" s="77" t="s">
        <v>77</v>
      </c>
      <c r="I978" s="77" t="s">
        <v>1521</v>
      </c>
      <c r="J978" s="77" t="s">
        <v>79</v>
      </c>
      <c r="K978" s="77" t="s">
        <v>1522</v>
      </c>
      <c r="L978" s="77" t="s">
        <v>1543</v>
      </c>
      <c r="M978" s="77" t="s">
        <v>82</v>
      </c>
      <c r="N978" s="77" t="s">
        <v>83</v>
      </c>
      <c r="Q978" s="77" t="s">
        <v>188</v>
      </c>
      <c r="T978" s="77" t="s">
        <v>1397</v>
      </c>
      <c r="U978" s="77" t="s">
        <v>85</v>
      </c>
      <c r="V978" s="80" t="s">
        <v>952</v>
      </c>
      <c r="X978" s="77" t="s">
        <v>953</v>
      </c>
      <c r="Y978" s="78" t="s">
        <v>101</v>
      </c>
      <c r="AA978" s="77" t="s">
        <v>1531</v>
      </c>
      <c r="AB978" s="77" t="s">
        <v>1521</v>
      </c>
      <c r="AC978" s="77" t="s">
        <v>90</v>
      </c>
      <c r="AD978" s="77" t="s">
        <v>954</v>
      </c>
      <c r="AE978" s="77" t="s">
        <v>1532</v>
      </c>
      <c r="AG978" s="77" t="s">
        <v>1397</v>
      </c>
    </row>
    <row r="979" spans="1:33" x14ac:dyDescent="0.3">
      <c r="A979" s="77" t="s">
        <v>1544</v>
      </c>
      <c r="B979" s="77" t="s">
        <v>1545</v>
      </c>
      <c r="G979" s="77" t="s">
        <v>1528</v>
      </c>
      <c r="H979" s="77" t="s">
        <v>77</v>
      </c>
      <c r="I979" s="77" t="s">
        <v>1521</v>
      </c>
      <c r="J979" s="77" t="s">
        <v>79</v>
      </c>
      <c r="K979" s="77" t="s">
        <v>1522</v>
      </c>
      <c r="L979" s="77" t="s">
        <v>1546</v>
      </c>
      <c r="M979" s="77" t="s">
        <v>82</v>
      </c>
      <c r="N979" s="77" t="s">
        <v>83</v>
      </c>
      <c r="Q979" s="77" t="s">
        <v>188</v>
      </c>
      <c r="T979" s="77" t="s">
        <v>1547</v>
      </c>
      <c r="U979" s="77" t="s">
        <v>85</v>
      </c>
      <c r="V979" s="80" t="s">
        <v>891</v>
      </c>
      <c r="X979" s="77" t="s">
        <v>892</v>
      </c>
      <c r="Y979" s="78" t="s">
        <v>88</v>
      </c>
      <c r="AA979" s="77" t="s">
        <v>1531</v>
      </c>
      <c r="AB979" s="77" t="s">
        <v>1521</v>
      </c>
      <c r="AC979" s="77" t="s">
        <v>90</v>
      </c>
      <c r="AD979" s="77" t="s">
        <v>91</v>
      </c>
      <c r="AE979" s="77" t="s">
        <v>1532</v>
      </c>
      <c r="AG979" s="77" t="s">
        <v>1547</v>
      </c>
    </row>
    <row r="980" spans="1:33" x14ac:dyDescent="0.3">
      <c r="A980" s="77" t="s">
        <v>1548</v>
      </c>
      <c r="B980" s="77" t="s">
        <v>1549</v>
      </c>
      <c r="G980" s="77" t="s">
        <v>1528</v>
      </c>
      <c r="H980" s="77" t="s">
        <v>77</v>
      </c>
      <c r="I980" s="77" t="s">
        <v>1521</v>
      </c>
      <c r="J980" s="77" t="s">
        <v>79</v>
      </c>
      <c r="K980" s="77" t="s">
        <v>1522</v>
      </c>
      <c r="L980" s="77" t="s">
        <v>1550</v>
      </c>
      <c r="M980" s="77" t="s">
        <v>82</v>
      </c>
      <c r="N980" s="77" t="s">
        <v>83</v>
      </c>
      <c r="Q980" s="77" t="s">
        <v>188</v>
      </c>
      <c r="T980" s="77" t="s">
        <v>1551</v>
      </c>
      <c r="U980" s="77" t="s">
        <v>85</v>
      </c>
      <c r="V980" s="80" t="s">
        <v>947</v>
      </c>
      <c r="X980" s="77" t="s">
        <v>948</v>
      </c>
      <c r="Y980" s="78" t="s">
        <v>88</v>
      </c>
      <c r="AA980" s="77" t="s">
        <v>1531</v>
      </c>
      <c r="AB980" s="77" t="s">
        <v>1521</v>
      </c>
      <c r="AC980" s="77" t="s">
        <v>90</v>
      </c>
      <c r="AD980" s="77" t="s">
        <v>91</v>
      </c>
      <c r="AE980" s="77" t="s">
        <v>1532</v>
      </c>
      <c r="AG980" s="77" t="s">
        <v>1551</v>
      </c>
    </row>
    <row r="981" spans="1:33" x14ac:dyDescent="0.3">
      <c r="A981" s="77" t="s">
        <v>1552</v>
      </c>
      <c r="B981" s="77" t="s">
        <v>1553</v>
      </c>
      <c r="G981" s="77" t="s">
        <v>1528</v>
      </c>
      <c r="H981" s="77" t="s">
        <v>77</v>
      </c>
      <c r="I981" s="77" t="s">
        <v>1521</v>
      </c>
      <c r="J981" s="77" t="s">
        <v>79</v>
      </c>
      <c r="K981" s="77" t="s">
        <v>1522</v>
      </c>
      <c r="L981" s="77" t="s">
        <v>1550</v>
      </c>
      <c r="M981" s="77" t="s">
        <v>82</v>
      </c>
      <c r="N981" s="77" t="s">
        <v>83</v>
      </c>
      <c r="Q981" s="77" t="s">
        <v>188</v>
      </c>
      <c r="T981" s="77" t="s">
        <v>1551</v>
      </c>
      <c r="U981" s="77" t="s">
        <v>85</v>
      </c>
      <c r="V981" s="80" t="s">
        <v>947</v>
      </c>
      <c r="X981" s="77" t="s">
        <v>948</v>
      </c>
      <c r="Y981" s="78" t="s">
        <v>88</v>
      </c>
      <c r="AA981" s="77" t="s">
        <v>1531</v>
      </c>
      <c r="AB981" s="77" t="s">
        <v>1521</v>
      </c>
      <c r="AC981" s="77" t="s">
        <v>90</v>
      </c>
      <c r="AD981" s="77" t="s">
        <v>91</v>
      </c>
      <c r="AE981" s="77" t="s">
        <v>1532</v>
      </c>
      <c r="AG981" s="77" t="s">
        <v>1551</v>
      </c>
    </row>
    <row r="982" spans="1:33" x14ac:dyDescent="0.3">
      <c r="A982" s="77" t="s">
        <v>1554</v>
      </c>
      <c r="B982" s="77" t="s">
        <v>1555</v>
      </c>
      <c r="G982" s="77" t="s">
        <v>1528</v>
      </c>
      <c r="H982" s="77" t="s">
        <v>77</v>
      </c>
      <c r="I982" s="77" t="s">
        <v>1521</v>
      </c>
      <c r="J982" s="77" t="s">
        <v>79</v>
      </c>
      <c r="K982" s="77" t="s">
        <v>1522</v>
      </c>
      <c r="L982" s="77" t="s">
        <v>1540</v>
      </c>
      <c r="M982" s="77" t="s">
        <v>82</v>
      </c>
      <c r="N982" s="77" t="s">
        <v>83</v>
      </c>
      <c r="Q982" s="77" t="s">
        <v>188</v>
      </c>
      <c r="U982" s="77" t="s">
        <v>85</v>
      </c>
      <c r="V982" s="80" t="s">
        <v>891</v>
      </c>
      <c r="X982" s="77" t="s">
        <v>892</v>
      </c>
      <c r="Y982" s="78" t="s">
        <v>88</v>
      </c>
      <c r="AA982" s="77" t="s">
        <v>1531</v>
      </c>
      <c r="AB982" s="77" t="s">
        <v>1521</v>
      </c>
      <c r="AC982" s="77" t="s">
        <v>90</v>
      </c>
      <c r="AD982" s="77" t="s">
        <v>91</v>
      </c>
      <c r="AE982" s="77" t="s">
        <v>1532</v>
      </c>
    </row>
    <row r="983" spans="1:33" x14ac:dyDescent="0.3">
      <c r="A983" s="77" t="s">
        <v>1556</v>
      </c>
      <c r="B983" s="77" t="s">
        <v>1557</v>
      </c>
      <c r="G983" s="77" t="s">
        <v>1528</v>
      </c>
      <c r="H983" s="77" t="s">
        <v>77</v>
      </c>
      <c r="I983" s="77" t="s">
        <v>1521</v>
      </c>
      <c r="J983" s="77" t="s">
        <v>79</v>
      </c>
      <c r="K983" s="77" t="s">
        <v>1522</v>
      </c>
      <c r="L983" s="77" t="s">
        <v>1543</v>
      </c>
      <c r="M983" s="77" t="s">
        <v>82</v>
      </c>
      <c r="N983" s="77" t="s">
        <v>83</v>
      </c>
      <c r="Q983" s="77" t="s">
        <v>188</v>
      </c>
      <c r="U983" s="77" t="s">
        <v>85</v>
      </c>
      <c r="V983" s="80" t="s">
        <v>891</v>
      </c>
      <c r="X983" s="77" t="s">
        <v>892</v>
      </c>
      <c r="Y983" s="78" t="s">
        <v>88</v>
      </c>
      <c r="AA983" s="77" t="s">
        <v>1531</v>
      </c>
      <c r="AB983" s="77" t="s">
        <v>1521</v>
      </c>
      <c r="AC983" s="77" t="s">
        <v>90</v>
      </c>
      <c r="AD983" s="77" t="s">
        <v>91</v>
      </c>
      <c r="AE983" s="77" t="s">
        <v>1532</v>
      </c>
    </row>
    <row r="984" spans="1:33" x14ac:dyDescent="0.3">
      <c r="A984" s="77" t="s">
        <v>1558</v>
      </c>
      <c r="B984" s="77" t="s">
        <v>1559</v>
      </c>
      <c r="G984" s="77" t="s">
        <v>1528</v>
      </c>
      <c r="H984" s="77" t="s">
        <v>77</v>
      </c>
      <c r="I984" s="77" t="s">
        <v>1521</v>
      </c>
      <c r="J984" s="77" t="s">
        <v>79</v>
      </c>
      <c r="K984" s="77" t="s">
        <v>1522</v>
      </c>
      <c r="L984" s="77" t="s">
        <v>1560</v>
      </c>
      <c r="M984" s="77" t="s">
        <v>82</v>
      </c>
      <c r="N984" s="77" t="s">
        <v>83</v>
      </c>
      <c r="Q984" s="77" t="s">
        <v>188</v>
      </c>
      <c r="U984" s="77" t="s">
        <v>85</v>
      </c>
      <c r="V984" s="80" t="s">
        <v>891</v>
      </c>
      <c r="X984" s="77" t="s">
        <v>892</v>
      </c>
      <c r="Y984" s="78" t="s">
        <v>88</v>
      </c>
      <c r="AA984" s="77" t="s">
        <v>1531</v>
      </c>
      <c r="AB984" s="77" t="s">
        <v>78</v>
      </c>
      <c r="AC984" s="77" t="s">
        <v>90</v>
      </c>
      <c r="AD984" s="77" t="s">
        <v>91</v>
      </c>
      <c r="AE984" s="77" t="s">
        <v>1532</v>
      </c>
    </row>
    <row r="985" spans="1:33" x14ac:dyDescent="0.3">
      <c r="A985" s="77" t="s">
        <v>1561</v>
      </c>
      <c r="B985" s="77" t="s">
        <v>1562</v>
      </c>
      <c r="G985" s="77" t="s">
        <v>1528</v>
      </c>
      <c r="H985" s="77" t="s">
        <v>77</v>
      </c>
      <c r="I985" s="77" t="s">
        <v>1521</v>
      </c>
      <c r="J985" s="77" t="s">
        <v>79</v>
      </c>
      <c r="K985" s="77" t="s">
        <v>1522</v>
      </c>
      <c r="L985" s="77" t="s">
        <v>1563</v>
      </c>
      <c r="M985" s="77" t="s">
        <v>82</v>
      </c>
      <c r="N985" s="77" t="s">
        <v>83</v>
      </c>
      <c r="Q985" s="77" t="s">
        <v>188</v>
      </c>
      <c r="U985" s="77" t="s">
        <v>85</v>
      </c>
      <c r="V985" s="80" t="s">
        <v>891</v>
      </c>
      <c r="X985" s="77" t="s">
        <v>892</v>
      </c>
      <c r="Y985" s="78" t="s">
        <v>88</v>
      </c>
      <c r="AA985" s="77" t="s">
        <v>1531</v>
      </c>
      <c r="AB985" s="77" t="s">
        <v>78</v>
      </c>
      <c r="AC985" s="77" t="s">
        <v>90</v>
      </c>
      <c r="AD985" s="77" t="s">
        <v>91</v>
      </c>
      <c r="AE985" s="77" t="s">
        <v>1532</v>
      </c>
    </row>
    <row r="986" spans="1:33" x14ac:dyDescent="0.3">
      <c r="A986" s="77" t="s">
        <v>1564</v>
      </c>
      <c r="B986" s="77" t="s">
        <v>1565</v>
      </c>
      <c r="G986" s="77" t="s">
        <v>1566</v>
      </c>
      <c r="H986" s="77" t="s">
        <v>77</v>
      </c>
      <c r="I986" s="77" t="s">
        <v>1521</v>
      </c>
      <c r="J986" s="77" t="s">
        <v>79</v>
      </c>
      <c r="K986" s="77" t="s">
        <v>1522</v>
      </c>
      <c r="L986" s="77" t="s">
        <v>1567</v>
      </c>
      <c r="M986" s="77" t="s">
        <v>82</v>
      </c>
      <c r="N986" s="77" t="s">
        <v>83</v>
      </c>
      <c r="Q986" s="77" t="s">
        <v>111</v>
      </c>
      <c r="S986" s="77" t="s">
        <v>111</v>
      </c>
      <c r="U986" s="77" t="s">
        <v>85</v>
      </c>
      <c r="V986" s="80" t="s">
        <v>86</v>
      </c>
      <c r="X986" s="77" t="s">
        <v>87</v>
      </c>
      <c r="Y986" s="78" t="s">
        <v>88</v>
      </c>
      <c r="AA986" s="77" t="s">
        <v>1568</v>
      </c>
      <c r="AB986" s="77" t="s">
        <v>1521</v>
      </c>
      <c r="AC986" s="77" t="s">
        <v>90</v>
      </c>
      <c r="AD986" s="77" t="s">
        <v>91</v>
      </c>
      <c r="AE986" s="77" t="s">
        <v>1569</v>
      </c>
    </row>
    <row r="987" spans="1:33" x14ac:dyDescent="0.3">
      <c r="A987" s="77" t="s">
        <v>1570</v>
      </c>
      <c r="B987" s="77" t="s">
        <v>1571</v>
      </c>
      <c r="G987" s="77" t="s">
        <v>1566</v>
      </c>
      <c r="H987" s="77" t="s">
        <v>77</v>
      </c>
      <c r="I987" s="77" t="s">
        <v>1521</v>
      </c>
      <c r="J987" s="77" t="s">
        <v>79</v>
      </c>
      <c r="K987" s="77" t="s">
        <v>1522</v>
      </c>
      <c r="L987" s="77" t="s">
        <v>1572</v>
      </c>
      <c r="M987" s="77" t="s">
        <v>82</v>
      </c>
      <c r="N987" s="77" t="s">
        <v>83</v>
      </c>
      <c r="Q987" s="77" t="s">
        <v>111</v>
      </c>
      <c r="S987" s="77" t="s">
        <v>111</v>
      </c>
      <c r="U987" s="77" t="s">
        <v>85</v>
      </c>
      <c r="V987" s="80" t="s">
        <v>95</v>
      </c>
      <c r="X987" s="77" t="s">
        <v>96</v>
      </c>
      <c r="Y987" s="78" t="s">
        <v>88</v>
      </c>
      <c r="AA987" s="77" t="s">
        <v>1568</v>
      </c>
      <c r="AB987" s="77" t="s">
        <v>1521</v>
      </c>
      <c r="AC987" s="77" t="s">
        <v>90</v>
      </c>
      <c r="AD987" s="77" t="s">
        <v>91</v>
      </c>
      <c r="AE987" s="77" t="s">
        <v>1569</v>
      </c>
    </row>
    <row r="988" spans="1:33" x14ac:dyDescent="0.3">
      <c r="A988" s="77" t="s">
        <v>1573</v>
      </c>
      <c r="B988" s="77" t="s">
        <v>1574</v>
      </c>
      <c r="G988" s="77" t="s">
        <v>1566</v>
      </c>
      <c r="H988" s="77" t="s">
        <v>77</v>
      </c>
      <c r="I988" s="77" t="s">
        <v>1521</v>
      </c>
      <c r="J988" s="77" t="s">
        <v>79</v>
      </c>
      <c r="K988" s="77" t="s">
        <v>1522</v>
      </c>
      <c r="L988" s="77" t="s">
        <v>1575</v>
      </c>
      <c r="M988" s="77" t="s">
        <v>82</v>
      </c>
      <c r="N988" s="77" t="s">
        <v>83</v>
      </c>
      <c r="Q988" s="77" t="s">
        <v>111</v>
      </c>
      <c r="S988" s="77" t="s">
        <v>111</v>
      </c>
      <c r="U988" s="77" t="s">
        <v>85</v>
      </c>
      <c r="V988" s="80" t="s">
        <v>99</v>
      </c>
      <c r="X988" s="77" t="s">
        <v>100</v>
      </c>
      <c r="Y988" s="78" t="s">
        <v>101</v>
      </c>
      <c r="AA988" s="77" t="s">
        <v>1568</v>
      </c>
      <c r="AB988" s="77" t="s">
        <v>1521</v>
      </c>
      <c r="AC988" s="77" t="s">
        <v>90</v>
      </c>
      <c r="AD988" s="77" t="s">
        <v>102</v>
      </c>
      <c r="AE988" s="77" t="s">
        <v>1569</v>
      </c>
    </row>
    <row r="989" spans="1:33" x14ac:dyDescent="0.3">
      <c r="A989" s="77" t="s">
        <v>1576</v>
      </c>
      <c r="B989" s="77" t="s">
        <v>1577</v>
      </c>
      <c r="G989" s="77" t="s">
        <v>1566</v>
      </c>
      <c r="H989" s="77" t="s">
        <v>77</v>
      </c>
      <c r="I989" s="77" t="s">
        <v>1521</v>
      </c>
      <c r="J989" s="77" t="s">
        <v>79</v>
      </c>
      <c r="K989" s="77" t="s">
        <v>1522</v>
      </c>
      <c r="L989" s="77" t="s">
        <v>1578</v>
      </c>
      <c r="M989" s="77" t="s">
        <v>82</v>
      </c>
      <c r="N989" s="77" t="s">
        <v>83</v>
      </c>
      <c r="Q989" s="77" t="s">
        <v>111</v>
      </c>
      <c r="S989" s="77" t="s">
        <v>111</v>
      </c>
      <c r="U989" s="77" t="s">
        <v>85</v>
      </c>
      <c r="V989" s="80" t="s">
        <v>105</v>
      </c>
      <c r="X989" s="77" t="s">
        <v>106</v>
      </c>
      <c r="Y989" s="78" t="s">
        <v>101</v>
      </c>
      <c r="AA989" s="77" t="s">
        <v>1568</v>
      </c>
      <c r="AB989" s="77" t="s">
        <v>1521</v>
      </c>
      <c r="AC989" s="77" t="s">
        <v>90</v>
      </c>
      <c r="AD989" s="77" t="s">
        <v>102</v>
      </c>
      <c r="AE989" s="77" t="s">
        <v>1569</v>
      </c>
    </row>
    <row r="990" spans="1:33" x14ac:dyDescent="0.3">
      <c r="A990" s="77" t="s">
        <v>1579</v>
      </c>
      <c r="B990" s="77" t="s">
        <v>1580</v>
      </c>
      <c r="G990" s="77" t="s">
        <v>1566</v>
      </c>
      <c r="H990" s="77" t="s">
        <v>77</v>
      </c>
      <c r="I990" s="77" t="s">
        <v>1521</v>
      </c>
      <c r="J990" s="77" t="s">
        <v>79</v>
      </c>
      <c r="K990" s="77" t="s">
        <v>1522</v>
      </c>
      <c r="L990" s="77" t="s">
        <v>1581</v>
      </c>
      <c r="M990" s="77" t="s">
        <v>82</v>
      </c>
      <c r="N990" s="77" t="s">
        <v>83</v>
      </c>
      <c r="Q990" s="77" t="s">
        <v>111</v>
      </c>
      <c r="S990" s="77" t="s">
        <v>111</v>
      </c>
      <c r="U990" s="77" t="s">
        <v>85</v>
      </c>
      <c r="V990" s="80" t="s">
        <v>231</v>
      </c>
      <c r="X990" s="77" t="s">
        <v>232</v>
      </c>
      <c r="Y990" s="78" t="s">
        <v>88</v>
      </c>
      <c r="AA990" s="77" t="s">
        <v>1568</v>
      </c>
      <c r="AB990" s="77" t="s">
        <v>1521</v>
      </c>
      <c r="AC990" s="77" t="s">
        <v>90</v>
      </c>
      <c r="AD990" s="77" t="s">
        <v>91</v>
      </c>
      <c r="AE990" s="77" t="s">
        <v>1569</v>
      </c>
    </row>
    <row r="991" spans="1:33" x14ac:dyDescent="0.3">
      <c r="A991" s="77" t="s">
        <v>1582</v>
      </c>
      <c r="B991" s="77" t="s">
        <v>1583</v>
      </c>
      <c r="G991" s="77" t="s">
        <v>1566</v>
      </c>
      <c r="H991" s="77" t="s">
        <v>77</v>
      </c>
      <c r="I991" s="77" t="s">
        <v>1521</v>
      </c>
      <c r="J991" s="77" t="s">
        <v>79</v>
      </c>
      <c r="K991" s="77" t="s">
        <v>1522</v>
      </c>
      <c r="L991" s="77" t="s">
        <v>1584</v>
      </c>
      <c r="M991" s="77" t="s">
        <v>82</v>
      </c>
      <c r="N991" s="77" t="s">
        <v>83</v>
      </c>
      <c r="Q991" s="77" t="s">
        <v>111</v>
      </c>
      <c r="S991" s="77" t="s">
        <v>111</v>
      </c>
      <c r="U991" s="77" t="s">
        <v>85</v>
      </c>
      <c r="V991" s="80" t="s">
        <v>86</v>
      </c>
      <c r="X991" s="77" t="s">
        <v>87</v>
      </c>
      <c r="Y991" s="78" t="s">
        <v>88</v>
      </c>
      <c r="AA991" s="77" t="s">
        <v>1568</v>
      </c>
      <c r="AB991" s="77" t="s">
        <v>1521</v>
      </c>
      <c r="AC991" s="77" t="s">
        <v>90</v>
      </c>
      <c r="AD991" s="77" t="s">
        <v>91</v>
      </c>
      <c r="AE991" s="77" t="s">
        <v>1569</v>
      </c>
    </row>
    <row r="992" spans="1:33" x14ac:dyDescent="0.3">
      <c r="A992" s="77" t="s">
        <v>1585</v>
      </c>
      <c r="B992" s="77" t="s">
        <v>1586</v>
      </c>
      <c r="G992" s="77" t="s">
        <v>1566</v>
      </c>
      <c r="H992" s="77" t="s">
        <v>77</v>
      </c>
      <c r="I992" s="77" t="s">
        <v>1521</v>
      </c>
      <c r="J992" s="77" t="s">
        <v>79</v>
      </c>
      <c r="K992" s="77" t="s">
        <v>1522</v>
      </c>
      <c r="L992" s="77" t="s">
        <v>1584</v>
      </c>
      <c r="M992" s="77" t="s">
        <v>82</v>
      </c>
      <c r="N992" s="77" t="s">
        <v>83</v>
      </c>
      <c r="Q992" s="77" t="s">
        <v>111</v>
      </c>
      <c r="S992" s="77" t="s">
        <v>111</v>
      </c>
      <c r="U992" s="77" t="s">
        <v>85</v>
      </c>
      <c r="V992" s="80" t="s">
        <v>86</v>
      </c>
      <c r="X992" s="77" t="s">
        <v>87</v>
      </c>
      <c r="Y992" s="78" t="s">
        <v>88</v>
      </c>
      <c r="AA992" s="77" t="s">
        <v>1568</v>
      </c>
      <c r="AB992" s="77" t="s">
        <v>1521</v>
      </c>
      <c r="AC992" s="77" t="s">
        <v>90</v>
      </c>
      <c r="AD992" s="77" t="s">
        <v>91</v>
      </c>
      <c r="AE992" s="77" t="s">
        <v>1569</v>
      </c>
    </row>
    <row r="993" spans="1:31" x14ac:dyDescent="0.3">
      <c r="A993" s="77" t="s">
        <v>1587</v>
      </c>
      <c r="B993" s="77" t="s">
        <v>1588</v>
      </c>
      <c r="G993" s="77" t="s">
        <v>1566</v>
      </c>
      <c r="H993" s="77" t="s">
        <v>77</v>
      </c>
      <c r="I993" s="77" t="s">
        <v>1521</v>
      </c>
      <c r="J993" s="77" t="s">
        <v>79</v>
      </c>
      <c r="K993" s="77" t="s">
        <v>1522</v>
      </c>
      <c r="L993" s="77" t="s">
        <v>1584</v>
      </c>
      <c r="M993" s="77" t="s">
        <v>82</v>
      </c>
      <c r="N993" s="77" t="s">
        <v>83</v>
      </c>
      <c r="Q993" s="77" t="s">
        <v>111</v>
      </c>
      <c r="S993" s="77" t="s">
        <v>111</v>
      </c>
      <c r="U993" s="77" t="s">
        <v>85</v>
      </c>
      <c r="V993" s="80" t="s">
        <v>86</v>
      </c>
      <c r="X993" s="77" t="s">
        <v>87</v>
      </c>
      <c r="Y993" s="78" t="s">
        <v>88</v>
      </c>
      <c r="AA993" s="77" t="s">
        <v>1568</v>
      </c>
      <c r="AB993" s="77" t="s">
        <v>1521</v>
      </c>
      <c r="AC993" s="77" t="s">
        <v>90</v>
      </c>
      <c r="AD993" s="77" t="s">
        <v>91</v>
      </c>
      <c r="AE993" s="77" t="s">
        <v>1569</v>
      </c>
    </row>
    <row r="994" spans="1:31" x14ac:dyDescent="0.3">
      <c r="A994" s="77" t="s">
        <v>1589</v>
      </c>
      <c r="B994" s="77" t="s">
        <v>1590</v>
      </c>
      <c r="G994" s="77" t="s">
        <v>1566</v>
      </c>
      <c r="H994" s="77" t="s">
        <v>77</v>
      </c>
      <c r="I994" s="77" t="s">
        <v>1521</v>
      </c>
      <c r="J994" s="77" t="s">
        <v>79</v>
      </c>
      <c r="K994" s="77" t="s">
        <v>1522</v>
      </c>
      <c r="L994" s="77" t="s">
        <v>1591</v>
      </c>
      <c r="M994" s="77" t="s">
        <v>82</v>
      </c>
      <c r="N994" s="77" t="s">
        <v>83</v>
      </c>
      <c r="Q994" s="77" t="s">
        <v>111</v>
      </c>
      <c r="S994" s="77" t="s">
        <v>111</v>
      </c>
      <c r="U994" s="77" t="s">
        <v>85</v>
      </c>
      <c r="V994" s="80" t="s">
        <v>95</v>
      </c>
      <c r="X994" s="77" t="s">
        <v>96</v>
      </c>
      <c r="Y994" s="78" t="s">
        <v>88</v>
      </c>
      <c r="AA994" s="77" t="s">
        <v>1568</v>
      </c>
      <c r="AB994" s="77" t="s">
        <v>1521</v>
      </c>
      <c r="AC994" s="77" t="s">
        <v>90</v>
      </c>
      <c r="AD994" s="77" t="s">
        <v>91</v>
      </c>
      <c r="AE994" s="77" t="s">
        <v>1569</v>
      </c>
    </row>
    <row r="995" spans="1:31" x14ac:dyDescent="0.3">
      <c r="A995" s="77" t="s">
        <v>1592</v>
      </c>
      <c r="B995" s="77" t="s">
        <v>1593</v>
      </c>
      <c r="G995" s="77" t="s">
        <v>1566</v>
      </c>
      <c r="H995" s="77" t="s">
        <v>77</v>
      </c>
      <c r="I995" s="77" t="s">
        <v>1521</v>
      </c>
      <c r="J995" s="77" t="s">
        <v>79</v>
      </c>
      <c r="K995" s="77" t="s">
        <v>1522</v>
      </c>
      <c r="L995" s="77" t="s">
        <v>1591</v>
      </c>
      <c r="M995" s="77" t="s">
        <v>82</v>
      </c>
      <c r="N995" s="77" t="s">
        <v>83</v>
      </c>
      <c r="Q995" s="77" t="s">
        <v>111</v>
      </c>
      <c r="S995" s="77" t="s">
        <v>111</v>
      </c>
      <c r="U995" s="77" t="s">
        <v>85</v>
      </c>
      <c r="V995" s="80" t="s">
        <v>95</v>
      </c>
      <c r="X995" s="77" t="s">
        <v>96</v>
      </c>
      <c r="Y995" s="78" t="s">
        <v>88</v>
      </c>
      <c r="AA995" s="77" t="s">
        <v>1568</v>
      </c>
      <c r="AB995" s="77" t="s">
        <v>1521</v>
      </c>
      <c r="AC995" s="77" t="s">
        <v>90</v>
      </c>
      <c r="AD995" s="77" t="s">
        <v>91</v>
      </c>
      <c r="AE995" s="77" t="s">
        <v>1569</v>
      </c>
    </row>
    <row r="996" spans="1:31" x14ac:dyDescent="0.3">
      <c r="A996" s="77" t="s">
        <v>1594</v>
      </c>
      <c r="B996" s="77" t="s">
        <v>1595</v>
      </c>
      <c r="G996" s="77" t="s">
        <v>1566</v>
      </c>
      <c r="H996" s="77" t="s">
        <v>77</v>
      </c>
      <c r="I996" s="77" t="s">
        <v>1521</v>
      </c>
      <c r="J996" s="77" t="s">
        <v>79</v>
      </c>
      <c r="K996" s="77" t="s">
        <v>1522</v>
      </c>
      <c r="L996" s="77" t="s">
        <v>1591</v>
      </c>
      <c r="M996" s="77" t="s">
        <v>82</v>
      </c>
      <c r="N996" s="77" t="s">
        <v>83</v>
      </c>
      <c r="Q996" s="77" t="s">
        <v>111</v>
      </c>
      <c r="S996" s="77" t="s">
        <v>111</v>
      </c>
      <c r="U996" s="77" t="s">
        <v>85</v>
      </c>
      <c r="V996" s="80" t="s">
        <v>95</v>
      </c>
      <c r="X996" s="77" t="s">
        <v>96</v>
      </c>
      <c r="Y996" s="78" t="s">
        <v>88</v>
      </c>
      <c r="AA996" s="77" t="s">
        <v>1568</v>
      </c>
      <c r="AB996" s="77" t="s">
        <v>1521</v>
      </c>
      <c r="AC996" s="77" t="s">
        <v>90</v>
      </c>
      <c r="AD996" s="77" t="s">
        <v>91</v>
      </c>
      <c r="AE996" s="77" t="s">
        <v>1569</v>
      </c>
    </row>
    <row r="997" spans="1:31" x14ac:dyDescent="0.3">
      <c r="A997" s="77" t="s">
        <v>1596</v>
      </c>
      <c r="B997" s="77" t="s">
        <v>1597</v>
      </c>
      <c r="G997" s="77" t="s">
        <v>1566</v>
      </c>
      <c r="H997" s="77" t="s">
        <v>77</v>
      </c>
      <c r="I997" s="77" t="s">
        <v>1521</v>
      </c>
      <c r="J997" s="77" t="s">
        <v>79</v>
      </c>
      <c r="K997" s="77" t="s">
        <v>1522</v>
      </c>
      <c r="L997" s="77" t="s">
        <v>1598</v>
      </c>
      <c r="M997" s="77" t="s">
        <v>82</v>
      </c>
      <c r="N997" s="77" t="s">
        <v>83</v>
      </c>
      <c r="Q997" s="77" t="s">
        <v>111</v>
      </c>
      <c r="S997" s="77" t="s">
        <v>111</v>
      </c>
      <c r="U997" s="77" t="s">
        <v>85</v>
      </c>
      <c r="V997" s="80" t="s">
        <v>99</v>
      </c>
      <c r="X997" s="77" t="s">
        <v>100</v>
      </c>
      <c r="Y997" s="78" t="s">
        <v>101</v>
      </c>
      <c r="AA997" s="77" t="s">
        <v>1568</v>
      </c>
      <c r="AB997" s="77" t="s">
        <v>1521</v>
      </c>
      <c r="AC997" s="77" t="s">
        <v>90</v>
      </c>
      <c r="AD997" s="77" t="s">
        <v>102</v>
      </c>
      <c r="AE997" s="77" t="s">
        <v>1569</v>
      </c>
    </row>
    <row r="998" spans="1:31" x14ac:dyDescent="0.3">
      <c r="A998" s="77" t="s">
        <v>1599</v>
      </c>
      <c r="B998" s="77" t="s">
        <v>1600</v>
      </c>
      <c r="G998" s="77" t="s">
        <v>1566</v>
      </c>
      <c r="H998" s="77" t="s">
        <v>77</v>
      </c>
      <c r="I998" s="77" t="s">
        <v>1521</v>
      </c>
      <c r="J998" s="77" t="s">
        <v>79</v>
      </c>
      <c r="K998" s="77" t="s">
        <v>1522</v>
      </c>
      <c r="L998" s="77" t="s">
        <v>1598</v>
      </c>
      <c r="M998" s="77" t="s">
        <v>82</v>
      </c>
      <c r="N998" s="77" t="s">
        <v>83</v>
      </c>
      <c r="Q998" s="77" t="s">
        <v>111</v>
      </c>
      <c r="S998" s="77" t="s">
        <v>111</v>
      </c>
      <c r="U998" s="77" t="s">
        <v>85</v>
      </c>
      <c r="V998" s="80" t="s">
        <v>99</v>
      </c>
      <c r="X998" s="77" t="s">
        <v>100</v>
      </c>
      <c r="Y998" s="78" t="s">
        <v>101</v>
      </c>
      <c r="AA998" s="77" t="s">
        <v>1568</v>
      </c>
      <c r="AB998" s="77" t="s">
        <v>1521</v>
      </c>
      <c r="AC998" s="77" t="s">
        <v>90</v>
      </c>
      <c r="AD998" s="77" t="s">
        <v>102</v>
      </c>
      <c r="AE998" s="77" t="s">
        <v>1569</v>
      </c>
    </row>
    <row r="999" spans="1:31" x14ac:dyDescent="0.3">
      <c r="A999" s="77" t="s">
        <v>1601</v>
      </c>
      <c r="B999" s="77" t="s">
        <v>1602</v>
      </c>
      <c r="G999" s="77" t="s">
        <v>1566</v>
      </c>
      <c r="H999" s="77" t="s">
        <v>77</v>
      </c>
      <c r="I999" s="77" t="s">
        <v>1521</v>
      </c>
      <c r="J999" s="77" t="s">
        <v>79</v>
      </c>
      <c r="K999" s="77" t="s">
        <v>1522</v>
      </c>
      <c r="L999" s="77" t="s">
        <v>1598</v>
      </c>
      <c r="M999" s="77" t="s">
        <v>82</v>
      </c>
      <c r="N999" s="77" t="s">
        <v>83</v>
      </c>
      <c r="Q999" s="77" t="s">
        <v>111</v>
      </c>
      <c r="S999" s="77" t="s">
        <v>111</v>
      </c>
      <c r="U999" s="77" t="s">
        <v>85</v>
      </c>
      <c r="V999" s="80" t="s">
        <v>99</v>
      </c>
      <c r="X999" s="77" t="s">
        <v>100</v>
      </c>
      <c r="Y999" s="78" t="s">
        <v>101</v>
      </c>
      <c r="AA999" s="77" t="s">
        <v>1568</v>
      </c>
      <c r="AB999" s="77" t="s">
        <v>1521</v>
      </c>
      <c r="AC999" s="77" t="s">
        <v>90</v>
      </c>
      <c r="AD999" s="77" t="s">
        <v>102</v>
      </c>
      <c r="AE999" s="77" t="s">
        <v>1569</v>
      </c>
    </row>
    <row r="1000" spans="1:31" x14ac:dyDescent="0.3">
      <c r="A1000" s="77" t="s">
        <v>1603</v>
      </c>
      <c r="B1000" s="77" t="s">
        <v>1604</v>
      </c>
      <c r="G1000" s="77" t="s">
        <v>1566</v>
      </c>
      <c r="H1000" s="77" t="s">
        <v>77</v>
      </c>
      <c r="I1000" s="77" t="s">
        <v>1521</v>
      </c>
      <c r="J1000" s="77" t="s">
        <v>79</v>
      </c>
      <c r="K1000" s="77" t="s">
        <v>1522</v>
      </c>
      <c r="L1000" s="77" t="s">
        <v>1605</v>
      </c>
      <c r="M1000" s="77" t="s">
        <v>82</v>
      </c>
      <c r="N1000" s="77" t="s">
        <v>83</v>
      </c>
      <c r="Q1000" s="77" t="s">
        <v>111</v>
      </c>
      <c r="S1000" s="77" t="s">
        <v>111</v>
      </c>
      <c r="U1000" s="77" t="s">
        <v>85</v>
      </c>
      <c r="V1000" s="80" t="s">
        <v>105</v>
      </c>
      <c r="X1000" s="77" t="s">
        <v>106</v>
      </c>
      <c r="Y1000" s="78" t="s">
        <v>101</v>
      </c>
      <c r="AA1000" s="77" t="s">
        <v>1568</v>
      </c>
      <c r="AB1000" s="77" t="s">
        <v>1521</v>
      </c>
      <c r="AC1000" s="77" t="s">
        <v>90</v>
      </c>
      <c r="AD1000" s="77" t="s">
        <v>102</v>
      </c>
      <c r="AE1000" s="77" t="s">
        <v>1569</v>
      </c>
    </row>
    <row r="1001" spans="1:31" x14ac:dyDescent="0.3">
      <c r="A1001" s="77" t="s">
        <v>1606</v>
      </c>
      <c r="B1001" s="77" t="s">
        <v>1607</v>
      </c>
      <c r="G1001" s="77" t="s">
        <v>1566</v>
      </c>
      <c r="H1001" s="77" t="s">
        <v>77</v>
      </c>
      <c r="I1001" s="77" t="s">
        <v>1521</v>
      </c>
      <c r="J1001" s="77" t="s">
        <v>79</v>
      </c>
      <c r="K1001" s="77" t="s">
        <v>1522</v>
      </c>
      <c r="L1001" s="77" t="s">
        <v>1605</v>
      </c>
      <c r="M1001" s="77" t="s">
        <v>82</v>
      </c>
      <c r="N1001" s="77" t="s">
        <v>83</v>
      </c>
      <c r="Q1001" s="77" t="s">
        <v>111</v>
      </c>
      <c r="S1001" s="77" t="s">
        <v>111</v>
      </c>
      <c r="U1001" s="77" t="s">
        <v>85</v>
      </c>
      <c r="V1001" s="80" t="s">
        <v>105</v>
      </c>
      <c r="X1001" s="77" t="s">
        <v>106</v>
      </c>
      <c r="Y1001" s="78" t="s">
        <v>101</v>
      </c>
      <c r="AA1001" s="77" t="s">
        <v>1568</v>
      </c>
      <c r="AB1001" s="77" t="s">
        <v>1521</v>
      </c>
      <c r="AC1001" s="77" t="s">
        <v>90</v>
      </c>
      <c r="AD1001" s="77" t="s">
        <v>102</v>
      </c>
      <c r="AE1001" s="77" t="s">
        <v>1569</v>
      </c>
    </row>
    <row r="1002" spans="1:31" x14ac:dyDescent="0.3">
      <c r="A1002" s="77" t="s">
        <v>1608</v>
      </c>
      <c r="B1002" s="77" t="s">
        <v>1609</v>
      </c>
      <c r="G1002" s="77" t="s">
        <v>1566</v>
      </c>
      <c r="H1002" s="77" t="s">
        <v>77</v>
      </c>
      <c r="I1002" s="77" t="s">
        <v>1521</v>
      </c>
      <c r="J1002" s="77" t="s">
        <v>79</v>
      </c>
      <c r="K1002" s="77" t="s">
        <v>1522</v>
      </c>
      <c r="L1002" s="77" t="s">
        <v>1605</v>
      </c>
      <c r="M1002" s="77" t="s">
        <v>82</v>
      </c>
      <c r="N1002" s="77" t="s">
        <v>83</v>
      </c>
      <c r="Q1002" s="77" t="s">
        <v>111</v>
      </c>
      <c r="S1002" s="77" t="s">
        <v>111</v>
      </c>
      <c r="U1002" s="77" t="s">
        <v>85</v>
      </c>
      <c r="V1002" s="80" t="s">
        <v>105</v>
      </c>
      <c r="X1002" s="77" t="s">
        <v>106</v>
      </c>
      <c r="Y1002" s="78" t="s">
        <v>101</v>
      </c>
      <c r="AA1002" s="77" t="s">
        <v>1568</v>
      </c>
      <c r="AB1002" s="77" t="s">
        <v>1521</v>
      </c>
      <c r="AC1002" s="77" t="s">
        <v>90</v>
      </c>
      <c r="AD1002" s="77" t="s">
        <v>102</v>
      </c>
      <c r="AE1002" s="77" t="s">
        <v>1569</v>
      </c>
    </row>
    <row r="1003" spans="1:31" x14ac:dyDescent="0.3">
      <c r="A1003" s="77" t="s">
        <v>1610</v>
      </c>
      <c r="B1003" s="77" t="s">
        <v>1611</v>
      </c>
      <c r="G1003" s="77" t="s">
        <v>1566</v>
      </c>
      <c r="H1003" s="77" t="s">
        <v>77</v>
      </c>
      <c r="I1003" s="77" t="s">
        <v>1521</v>
      </c>
      <c r="J1003" s="77" t="s">
        <v>79</v>
      </c>
      <c r="K1003" s="77" t="s">
        <v>1522</v>
      </c>
      <c r="L1003" s="77" t="s">
        <v>1612</v>
      </c>
      <c r="M1003" s="77" t="s">
        <v>82</v>
      </c>
      <c r="N1003" s="77" t="s">
        <v>83</v>
      </c>
      <c r="Q1003" s="77" t="s">
        <v>111</v>
      </c>
      <c r="S1003" s="77" t="s">
        <v>111</v>
      </c>
      <c r="U1003" s="77" t="s">
        <v>85</v>
      </c>
      <c r="V1003" s="80" t="s">
        <v>211</v>
      </c>
      <c r="X1003" s="77" t="s">
        <v>212</v>
      </c>
      <c r="Y1003" s="78" t="s">
        <v>88</v>
      </c>
      <c r="AA1003" s="77" t="s">
        <v>1568</v>
      </c>
      <c r="AB1003" s="77" t="s">
        <v>1521</v>
      </c>
      <c r="AC1003" s="77" t="s">
        <v>90</v>
      </c>
      <c r="AD1003" s="77" t="s">
        <v>91</v>
      </c>
      <c r="AE1003" s="77" t="s">
        <v>1569</v>
      </c>
    </row>
    <row r="1004" spans="1:31" x14ac:dyDescent="0.3">
      <c r="A1004" s="77" t="s">
        <v>1613</v>
      </c>
      <c r="B1004" s="77" t="s">
        <v>1614</v>
      </c>
      <c r="G1004" s="77" t="s">
        <v>1566</v>
      </c>
      <c r="H1004" s="77" t="s">
        <v>77</v>
      </c>
      <c r="I1004" s="77" t="s">
        <v>1521</v>
      </c>
      <c r="J1004" s="77" t="s">
        <v>79</v>
      </c>
      <c r="K1004" s="77" t="s">
        <v>1522</v>
      </c>
      <c r="L1004" s="77" t="s">
        <v>1612</v>
      </c>
      <c r="M1004" s="77" t="s">
        <v>82</v>
      </c>
      <c r="N1004" s="77" t="s">
        <v>83</v>
      </c>
      <c r="Q1004" s="77" t="s">
        <v>111</v>
      </c>
      <c r="S1004" s="77" t="s">
        <v>111</v>
      </c>
      <c r="U1004" s="77" t="s">
        <v>85</v>
      </c>
      <c r="V1004" s="80" t="s">
        <v>211</v>
      </c>
      <c r="X1004" s="77" t="s">
        <v>212</v>
      </c>
      <c r="Y1004" s="78" t="s">
        <v>88</v>
      </c>
      <c r="AA1004" s="77" t="s">
        <v>1568</v>
      </c>
      <c r="AB1004" s="77" t="s">
        <v>1521</v>
      </c>
      <c r="AC1004" s="77" t="s">
        <v>90</v>
      </c>
      <c r="AD1004" s="77" t="s">
        <v>91</v>
      </c>
      <c r="AE1004" s="77" t="s">
        <v>1569</v>
      </c>
    </row>
    <row r="1005" spans="1:31" x14ac:dyDescent="0.3">
      <c r="A1005" s="77" t="s">
        <v>1615</v>
      </c>
      <c r="B1005" s="77" t="s">
        <v>1616</v>
      </c>
      <c r="G1005" s="77" t="s">
        <v>1566</v>
      </c>
      <c r="H1005" s="77" t="s">
        <v>77</v>
      </c>
      <c r="I1005" s="77" t="s">
        <v>1521</v>
      </c>
      <c r="J1005" s="77" t="s">
        <v>79</v>
      </c>
      <c r="K1005" s="77" t="s">
        <v>1522</v>
      </c>
      <c r="L1005" s="77" t="s">
        <v>1617</v>
      </c>
      <c r="M1005" s="77" t="s">
        <v>82</v>
      </c>
      <c r="N1005" s="77" t="s">
        <v>83</v>
      </c>
      <c r="Q1005" s="77" t="s">
        <v>111</v>
      </c>
      <c r="S1005" s="77" t="s">
        <v>111</v>
      </c>
      <c r="U1005" s="77" t="s">
        <v>85</v>
      </c>
      <c r="V1005" s="80" t="s">
        <v>216</v>
      </c>
      <c r="X1005" s="77" t="s">
        <v>217</v>
      </c>
      <c r="Y1005" s="78" t="s">
        <v>88</v>
      </c>
      <c r="AA1005" s="77" t="s">
        <v>1568</v>
      </c>
      <c r="AB1005" s="77" t="s">
        <v>1521</v>
      </c>
      <c r="AC1005" s="77" t="s">
        <v>90</v>
      </c>
      <c r="AD1005" s="77" t="s">
        <v>91</v>
      </c>
      <c r="AE1005" s="77" t="s">
        <v>1569</v>
      </c>
    </row>
    <row r="1006" spans="1:31" x14ac:dyDescent="0.3">
      <c r="A1006" s="77" t="s">
        <v>1618</v>
      </c>
      <c r="B1006" s="77" t="s">
        <v>1619</v>
      </c>
      <c r="G1006" s="77" t="s">
        <v>1566</v>
      </c>
      <c r="H1006" s="77" t="s">
        <v>77</v>
      </c>
      <c r="I1006" s="77" t="s">
        <v>1521</v>
      </c>
      <c r="J1006" s="77" t="s">
        <v>79</v>
      </c>
      <c r="K1006" s="77" t="s">
        <v>1522</v>
      </c>
      <c r="L1006" s="77" t="s">
        <v>1617</v>
      </c>
      <c r="M1006" s="77" t="s">
        <v>82</v>
      </c>
      <c r="N1006" s="77" t="s">
        <v>83</v>
      </c>
      <c r="Q1006" s="77" t="s">
        <v>111</v>
      </c>
      <c r="S1006" s="77" t="s">
        <v>111</v>
      </c>
      <c r="U1006" s="77" t="s">
        <v>85</v>
      </c>
      <c r="V1006" s="80" t="s">
        <v>216</v>
      </c>
      <c r="X1006" s="77" t="s">
        <v>217</v>
      </c>
      <c r="Y1006" s="78" t="s">
        <v>88</v>
      </c>
      <c r="AA1006" s="77" t="s">
        <v>1568</v>
      </c>
      <c r="AB1006" s="77" t="s">
        <v>1521</v>
      </c>
      <c r="AC1006" s="77" t="s">
        <v>90</v>
      </c>
      <c r="AD1006" s="77" t="s">
        <v>91</v>
      </c>
      <c r="AE1006" s="77" t="s">
        <v>1569</v>
      </c>
    </row>
    <row r="1007" spans="1:31" x14ac:dyDescent="0.3">
      <c r="A1007" s="77" t="s">
        <v>1620</v>
      </c>
      <c r="B1007" s="77" t="s">
        <v>1621</v>
      </c>
      <c r="G1007" s="77" t="s">
        <v>1566</v>
      </c>
      <c r="H1007" s="77" t="s">
        <v>77</v>
      </c>
      <c r="I1007" s="77" t="s">
        <v>1521</v>
      </c>
      <c r="J1007" s="77" t="s">
        <v>79</v>
      </c>
      <c r="K1007" s="77" t="s">
        <v>1522</v>
      </c>
      <c r="L1007" s="77" t="s">
        <v>1622</v>
      </c>
      <c r="M1007" s="77" t="s">
        <v>82</v>
      </c>
      <c r="N1007" s="77" t="s">
        <v>83</v>
      </c>
      <c r="Q1007" s="77" t="s">
        <v>111</v>
      </c>
      <c r="S1007" s="77" t="s">
        <v>111</v>
      </c>
      <c r="U1007" s="77" t="s">
        <v>85</v>
      </c>
      <c r="V1007" s="80" t="s">
        <v>221</v>
      </c>
      <c r="X1007" s="77" t="s">
        <v>222</v>
      </c>
      <c r="Y1007" s="78" t="s">
        <v>101</v>
      </c>
      <c r="AA1007" s="77" t="s">
        <v>1568</v>
      </c>
      <c r="AB1007" s="77" t="s">
        <v>1521</v>
      </c>
      <c r="AC1007" s="77" t="s">
        <v>90</v>
      </c>
      <c r="AD1007" s="77" t="s">
        <v>102</v>
      </c>
      <c r="AE1007" s="77" t="s">
        <v>1569</v>
      </c>
    </row>
    <row r="1008" spans="1:31" x14ac:dyDescent="0.3">
      <c r="A1008" s="77" t="s">
        <v>1623</v>
      </c>
      <c r="B1008" s="77" t="s">
        <v>1624</v>
      </c>
      <c r="G1008" s="77" t="s">
        <v>1566</v>
      </c>
      <c r="H1008" s="77" t="s">
        <v>77</v>
      </c>
      <c r="I1008" s="77" t="s">
        <v>1521</v>
      </c>
      <c r="J1008" s="77" t="s">
        <v>79</v>
      </c>
      <c r="K1008" s="77" t="s">
        <v>1522</v>
      </c>
      <c r="L1008" s="77" t="s">
        <v>1622</v>
      </c>
      <c r="M1008" s="77" t="s">
        <v>82</v>
      </c>
      <c r="N1008" s="77" t="s">
        <v>83</v>
      </c>
      <c r="Q1008" s="77" t="s">
        <v>111</v>
      </c>
      <c r="S1008" s="77" t="s">
        <v>111</v>
      </c>
      <c r="U1008" s="77" t="s">
        <v>85</v>
      </c>
      <c r="V1008" s="80" t="s">
        <v>221</v>
      </c>
      <c r="X1008" s="77" t="s">
        <v>222</v>
      </c>
      <c r="Y1008" s="78" t="s">
        <v>101</v>
      </c>
      <c r="AA1008" s="77" t="s">
        <v>1568</v>
      </c>
      <c r="AB1008" s="77" t="s">
        <v>1521</v>
      </c>
      <c r="AC1008" s="77" t="s">
        <v>90</v>
      </c>
      <c r="AD1008" s="77" t="s">
        <v>102</v>
      </c>
      <c r="AE1008" s="77" t="s">
        <v>1569</v>
      </c>
    </row>
    <row r="1009" spans="1:31" x14ac:dyDescent="0.3">
      <c r="A1009" s="77" t="s">
        <v>1625</v>
      </c>
      <c r="B1009" s="77" t="s">
        <v>1626</v>
      </c>
      <c r="G1009" s="77" t="s">
        <v>1566</v>
      </c>
      <c r="H1009" s="77" t="s">
        <v>77</v>
      </c>
      <c r="I1009" s="77" t="s">
        <v>1521</v>
      </c>
      <c r="J1009" s="77" t="s">
        <v>79</v>
      </c>
      <c r="K1009" s="77" t="s">
        <v>1522</v>
      </c>
      <c r="L1009" s="77" t="s">
        <v>1627</v>
      </c>
      <c r="M1009" s="77" t="s">
        <v>82</v>
      </c>
      <c r="N1009" s="77" t="s">
        <v>83</v>
      </c>
      <c r="Q1009" s="77" t="s">
        <v>111</v>
      </c>
      <c r="S1009" s="77" t="s">
        <v>111</v>
      </c>
      <c r="U1009" s="77" t="s">
        <v>85</v>
      </c>
      <c r="V1009" s="80" t="s">
        <v>226</v>
      </c>
      <c r="X1009" s="77" t="s">
        <v>227</v>
      </c>
      <c r="Y1009" s="78" t="s">
        <v>101</v>
      </c>
      <c r="AA1009" s="77" t="s">
        <v>1568</v>
      </c>
      <c r="AB1009" s="77" t="s">
        <v>1521</v>
      </c>
      <c r="AC1009" s="77" t="s">
        <v>90</v>
      </c>
      <c r="AD1009" s="77" t="s">
        <v>102</v>
      </c>
      <c r="AE1009" s="77" t="s">
        <v>1569</v>
      </c>
    </row>
    <row r="1010" spans="1:31" x14ac:dyDescent="0.3">
      <c r="A1010" s="77" t="s">
        <v>1628</v>
      </c>
      <c r="B1010" s="77" t="s">
        <v>1629</v>
      </c>
      <c r="G1010" s="77" t="s">
        <v>1566</v>
      </c>
      <c r="H1010" s="77" t="s">
        <v>77</v>
      </c>
      <c r="I1010" s="77" t="s">
        <v>1521</v>
      </c>
      <c r="J1010" s="77" t="s">
        <v>79</v>
      </c>
      <c r="K1010" s="77" t="s">
        <v>1522</v>
      </c>
      <c r="L1010" s="77" t="s">
        <v>1627</v>
      </c>
      <c r="M1010" s="77" t="s">
        <v>82</v>
      </c>
      <c r="N1010" s="77" t="s">
        <v>83</v>
      </c>
      <c r="Q1010" s="77" t="s">
        <v>111</v>
      </c>
      <c r="S1010" s="77" t="s">
        <v>111</v>
      </c>
      <c r="U1010" s="77" t="s">
        <v>85</v>
      </c>
      <c r="V1010" s="80" t="s">
        <v>226</v>
      </c>
      <c r="X1010" s="77" t="s">
        <v>227</v>
      </c>
      <c r="Y1010" s="78" t="s">
        <v>101</v>
      </c>
      <c r="AA1010" s="77" t="s">
        <v>1568</v>
      </c>
      <c r="AB1010" s="77" t="s">
        <v>1521</v>
      </c>
      <c r="AC1010" s="77" t="s">
        <v>90</v>
      </c>
      <c r="AD1010" s="77" t="s">
        <v>102</v>
      </c>
      <c r="AE1010" s="77" t="s">
        <v>1569</v>
      </c>
    </row>
    <row r="1011" spans="1:31" x14ac:dyDescent="0.3">
      <c r="A1011" s="77" t="s">
        <v>1630</v>
      </c>
      <c r="B1011" s="77" t="s">
        <v>1631</v>
      </c>
      <c r="G1011" s="77" t="s">
        <v>1566</v>
      </c>
      <c r="H1011" s="77" t="s">
        <v>77</v>
      </c>
      <c r="I1011" s="77" t="s">
        <v>1521</v>
      </c>
      <c r="J1011" s="77" t="s">
        <v>79</v>
      </c>
      <c r="K1011" s="77" t="s">
        <v>1522</v>
      </c>
      <c r="L1011" s="77" t="s">
        <v>1632</v>
      </c>
      <c r="M1011" s="77" t="s">
        <v>82</v>
      </c>
      <c r="N1011" s="77" t="s">
        <v>83</v>
      </c>
      <c r="Q1011" s="77" t="s">
        <v>111</v>
      </c>
      <c r="S1011" s="77" t="s">
        <v>111</v>
      </c>
      <c r="U1011" s="77" t="s">
        <v>85</v>
      </c>
      <c r="V1011" s="80" t="s">
        <v>231</v>
      </c>
      <c r="X1011" s="77" t="s">
        <v>232</v>
      </c>
      <c r="Y1011" s="78" t="s">
        <v>88</v>
      </c>
      <c r="AA1011" s="77" t="s">
        <v>1568</v>
      </c>
      <c r="AB1011" s="77" t="s">
        <v>1521</v>
      </c>
      <c r="AC1011" s="77" t="s">
        <v>90</v>
      </c>
      <c r="AD1011" s="77" t="s">
        <v>91</v>
      </c>
      <c r="AE1011" s="77" t="s">
        <v>1569</v>
      </c>
    </row>
    <row r="1012" spans="1:31" x14ac:dyDescent="0.3">
      <c r="A1012" s="77" t="s">
        <v>1633</v>
      </c>
      <c r="B1012" s="77" t="s">
        <v>1634</v>
      </c>
      <c r="G1012" s="77" t="s">
        <v>1566</v>
      </c>
      <c r="H1012" s="77" t="s">
        <v>77</v>
      </c>
      <c r="I1012" s="77" t="s">
        <v>1521</v>
      </c>
      <c r="J1012" s="77" t="s">
        <v>79</v>
      </c>
      <c r="K1012" s="77" t="s">
        <v>1522</v>
      </c>
      <c r="L1012" s="77" t="s">
        <v>1632</v>
      </c>
      <c r="M1012" s="77" t="s">
        <v>82</v>
      </c>
      <c r="N1012" s="77" t="s">
        <v>83</v>
      </c>
      <c r="Q1012" s="77" t="s">
        <v>111</v>
      </c>
      <c r="S1012" s="77" t="s">
        <v>111</v>
      </c>
      <c r="U1012" s="77" t="s">
        <v>85</v>
      </c>
      <c r="V1012" s="80" t="s">
        <v>231</v>
      </c>
      <c r="X1012" s="77" t="s">
        <v>232</v>
      </c>
      <c r="Y1012" s="78" t="s">
        <v>88</v>
      </c>
      <c r="AA1012" s="77" t="s">
        <v>1568</v>
      </c>
      <c r="AB1012" s="77" t="s">
        <v>1521</v>
      </c>
      <c r="AC1012" s="77" t="s">
        <v>90</v>
      </c>
      <c r="AD1012" s="77" t="s">
        <v>91</v>
      </c>
      <c r="AE1012" s="77" t="s">
        <v>1569</v>
      </c>
    </row>
    <row r="1013" spans="1:31" x14ac:dyDescent="0.3">
      <c r="A1013" s="77" t="s">
        <v>1635</v>
      </c>
      <c r="B1013" s="77" t="s">
        <v>1636</v>
      </c>
      <c r="G1013" s="77" t="s">
        <v>1566</v>
      </c>
      <c r="H1013" s="77" t="s">
        <v>77</v>
      </c>
      <c r="I1013" s="77" t="s">
        <v>1521</v>
      </c>
      <c r="J1013" s="77" t="s">
        <v>79</v>
      </c>
      <c r="K1013" s="77" t="s">
        <v>1522</v>
      </c>
      <c r="L1013" s="77" t="s">
        <v>1637</v>
      </c>
      <c r="M1013" s="77" t="s">
        <v>82</v>
      </c>
      <c r="N1013" s="77" t="s">
        <v>83</v>
      </c>
      <c r="Q1013" s="77" t="s">
        <v>111</v>
      </c>
      <c r="S1013" s="77" t="s">
        <v>111</v>
      </c>
      <c r="U1013" s="77" t="s">
        <v>85</v>
      </c>
      <c r="V1013" s="80" t="s">
        <v>231</v>
      </c>
      <c r="X1013" s="77" t="s">
        <v>232</v>
      </c>
      <c r="Y1013" s="78" t="s">
        <v>88</v>
      </c>
      <c r="AA1013" s="77" t="s">
        <v>1568</v>
      </c>
      <c r="AB1013" s="77" t="s">
        <v>1521</v>
      </c>
      <c r="AC1013" s="77" t="s">
        <v>90</v>
      </c>
      <c r="AD1013" s="77" t="s">
        <v>91</v>
      </c>
      <c r="AE1013" s="77" t="s">
        <v>1569</v>
      </c>
    </row>
    <row r="1014" spans="1:31" x14ac:dyDescent="0.3">
      <c r="A1014" s="77" t="s">
        <v>1638</v>
      </c>
      <c r="B1014" s="77" t="s">
        <v>1639</v>
      </c>
      <c r="G1014" s="77" t="s">
        <v>1566</v>
      </c>
      <c r="H1014" s="77" t="s">
        <v>77</v>
      </c>
      <c r="I1014" s="77" t="s">
        <v>1521</v>
      </c>
      <c r="J1014" s="77" t="s">
        <v>79</v>
      </c>
      <c r="K1014" s="77" t="s">
        <v>1522</v>
      </c>
      <c r="L1014" s="77" t="s">
        <v>1637</v>
      </c>
      <c r="M1014" s="77" t="s">
        <v>82</v>
      </c>
      <c r="N1014" s="77" t="s">
        <v>83</v>
      </c>
      <c r="Q1014" s="77" t="s">
        <v>111</v>
      </c>
      <c r="S1014" s="77" t="s">
        <v>111</v>
      </c>
      <c r="U1014" s="77" t="s">
        <v>85</v>
      </c>
      <c r="V1014" s="80" t="s">
        <v>231</v>
      </c>
      <c r="X1014" s="77" t="s">
        <v>232</v>
      </c>
      <c r="Y1014" s="78" t="s">
        <v>88</v>
      </c>
      <c r="AA1014" s="77" t="s">
        <v>1568</v>
      </c>
      <c r="AB1014" s="77" t="s">
        <v>1521</v>
      </c>
      <c r="AC1014" s="77" t="s">
        <v>90</v>
      </c>
      <c r="AD1014" s="77" t="s">
        <v>91</v>
      </c>
      <c r="AE1014" s="77" t="s">
        <v>1569</v>
      </c>
    </row>
    <row r="1015" spans="1:31" x14ac:dyDescent="0.3">
      <c r="A1015" s="77" t="s">
        <v>1640</v>
      </c>
      <c r="B1015" s="77" t="s">
        <v>1641</v>
      </c>
      <c r="G1015" s="77" t="s">
        <v>1566</v>
      </c>
      <c r="H1015" s="77" t="s">
        <v>77</v>
      </c>
      <c r="I1015" s="77" t="s">
        <v>1521</v>
      </c>
      <c r="J1015" s="77" t="s">
        <v>79</v>
      </c>
      <c r="K1015" s="77" t="s">
        <v>1522</v>
      </c>
      <c r="L1015" s="77" t="s">
        <v>1642</v>
      </c>
      <c r="M1015" s="77" t="s">
        <v>82</v>
      </c>
      <c r="N1015" s="77" t="s">
        <v>83</v>
      </c>
      <c r="Q1015" s="77" t="s">
        <v>111</v>
      </c>
      <c r="S1015" s="77" t="s">
        <v>111</v>
      </c>
      <c r="U1015" s="77" t="s">
        <v>85</v>
      </c>
      <c r="V1015" s="80" t="s">
        <v>238</v>
      </c>
      <c r="X1015" s="77" t="s">
        <v>239</v>
      </c>
      <c r="Y1015" s="78" t="s">
        <v>88</v>
      </c>
      <c r="AA1015" s="77" t="s">
        <v>1568</v>
      </c>
      <c r="AB1015" s="77" t="s">
        <v>1521</v>
      </c>
      <c r="AC1015" s="77" t="s">
        <v>90</v>
      </c>
      <c r="AD1015" s="77" t="s">
        <v>91</v>
      </c>
      <c r="AE1015" s="77" t="s">
        <v>1569</v>
      </c>
    </row>
    <row r="1016" spans="1:31" x14ac:dyDescent="0.3">
      <c r="A1016" s="77" t="s">
        <v>1643</v>
      </c>
      <c r="B1016" s="77" t="s">
        <v>1644</v>
      </c>
      <c r="G1016" s="77" t="s">
        <v>1566</v>
      </c>
      <c r="H1016" s="77" t="s">
        <v>77</v>
      </c>
      <c r="I1016" s="77" t="s">
        <v>1521</v>
      </c>
      <c r="J1016" s="77" t="s">
        <v>79</v>
      </c>
      <c r="K1016" s="77" t="s">
        <v>1522</v>
      </c>
      <c r="L1016" s="77" t="s">
        <v>1645</v>
      </c>
      <c r="M1016" s="77" t="s">
        <v>82</v>
      </c>
      <c r="N1016" s="77" t="s">
        <v>83</v>
      </c>
      <c r="Q1016" s="77" t="s">
        <v>111</v>
      </c>
      <c r="S1016" s="77" t="s">
        <v>111</v>
      </c>
      <c r="U1016" s="77" t="s">
        <v>85</v>
      </c>
      <c r="V1016" s="80" t="s">
        <v>245</v>
      </c>
      <c r="X1016" s="77" t="s">
        <v>246</v>
      </c>
      <c r="Y1016" s="78" t="s">
        <v>88</v>
      </c>
      <c r="AA1016" s="77" t="s">
        <v>1568</v>
      </c>
      <c r="AB1016" s="77" t="s">
        <v>1521</v>
      </c>
      <c r="AC1016" s="77" t="s">
        <v>90</v>
      </c>
      <c r="AD1016" s="77" t="s">
        <v>91</v>
      </c>
      <c r="AE1016" s="77" t="s">
        <v>1569</v>
      </c>
    </row>
    <row r="1017" spans="1:31" x14ac:dyDescent="0.3">
      <c r="A1017" s="77" t="s">
        <v>1646</v>
      </c>
      <c r="B1017" s="77" t="s">
        <v>1647</v>
      </c>
      <c r="G1017" s="77" t="s">
        <v>1566</v>
      </c>
      <c r="H1017" s="77" t="s">
        <v>77</v>
      </c>
      <c r="I1017" s="77" t="s">
        <v>1521</v>
      </c>
      <c r="J1017" s="77" t="s">
        <v>79</v>
      </c>
      <c r="K1017" s="77" t="s">
        <v>1522</v>
      </c>
      <c r="L1017" s="77" t="s">
        <v>1648</v>
      </c>
      <c r="M1017" s="77" t="s">
        <v>82</v>
      </c>
      <c r="N1017" s="77" t="s">
        <v>83</v>
      </c>
      <c r="Q1017" s="77" t="s">
        <v>111</v>
      </c>
      <c r="S1017" s="77" t="s">
        <v>111</v>
      </c>
      <c r="U1017" s="77" t="s">
        <v>85</v>
      </c>
      <c r="V1017" s="80" t="s">
        <v>252</v>
      </c>
      <c r="X1017" s="77" t="s">
        <v>253</v>
      </c>
      <c r="Y1017" s="78" t="s">
        <v>101</v>
      </c>
      <c r="AA1017" s="77" t="s">
        <v>1568</v>
      </c>
      <c r="AB1017" s="77" t="s">
        <v>1521</v>
      </c>
      <c r="AC1017" s="77" t="s">
        <v>90</v>
      </c>
      <c r="AD1017" s="77" t="s">
        <v>102</v>
      </c>
      <c r="AE1017" s="77" t="s">
        <v>1569</v>
      </c>
    </row>
    <row r="1018" spans="1:31" x14ac:dyDescent="0.3">
      <c r="A1018" s="77" t="s">
        <v>1649</v>
      </c>
      <c r="B1018" s="77" t="s">
        <v>1650</v>
      </c>
      <c r="G1018" s="77" t="s">
        <v>1566</v>
      </c>
      <c r="H1018" s="77" t="s">
        <v>77</v>
      </c>
      <c r="I1018" s="77" t="s">
        <v>1521</v>
      </c>
      <c r="J1018" s="77" t="s">
        <v>79</v>
      </c>
      <c r="K1018" s="77" t="s">
        <v>1522</v>
      </c>
      <c r="L1018" s="77" t="s">
        <v>1651</v>
      </c>
      <c r="M1018" s="77" t="s">
        <v>82</v>
      </c>
      <c r="N1018" s="77" t="s">
        <v>83</v>
      </c>
      <c r="Q1018" s="77" t="s">
        <v>111</v>
      </c>
      <c r="S1018" s="77" t="s">
        <v>111</v>
      </c>
      <c r="U1018" s="77" t="s">
        <v>85</v>
      </c>
      <c r="V1018" s="80" t="s">
        <v>259</v>
      </c>
      <c r="X1018" s="77" t="s">
        <v>260</v>
      </c>
      <c r="Y1018" s="78" t="s">
        <v>101</v>
      </c>
      <c r="AA1018" s="77" t="s">
        <v>1568</v>
      </c>
      <c r="AB1018" s="77" t="s">
        <v>1521</v>
      </c>
      <c r="AC1018" s="77" t="s">
        <v>90</v>
      </c>
      <c r="AD1018" s="77" t="s">
        <v>102</v>
      </c>
      <c r="AE1018" s="77" t="s">
        <v>1569</v>
      </c>
    </row>
    <row r="1019" spans="1:31" x14ac:dyDescent="0.3">
      <c r="A1019" s="77" t="s">
        <v>1652</v>
      </c>
      <c r="B1019" s="77" t="s">
        <v>1653</v>
      </c>
      <c r="G1019" s="77" t="s">
        <v>1566</v>
      </c>
      <c r="H1019" s="77" t="s">
        <v>77</v>
      </c>
      <c r="I1019" s="77" t="s">
        <v>1521</v>
      </c>
      <c r="J1019" s="77" t="s">
        <v>79</v>
      </c>
      <c r="K1019" s="77" t="s">
        <v>1522</v>
      </c>
      <c r="L1019" s="77" t="s">
        <v>1642</v>
      </c>
      <c r="M1019" s="77" t="s">
        <v>82</v>
      </c>
      <c r="N1019" s="77" t="s">
        <v>83</v>
      </c>
      <c r="Q1019" s="77" t="s">
        <v>111</v>
      </c>
      <c r="S1019" s="77" t="s">
        <v>111</v>
      </c>
      <c r="U1019" s="77" t="s">
        <v>85</v>
      </c>
      <c r="V1019" s="80" t="s">
        <v>238</v>
      </c>
      <c r="X1019" s="77" t="s">
        <v>239</v>
      </c>
      <c r="Y1019" s="78" t="s">
        <v>88</v>
      </c>
      <c r="AA1019" s="77" t="s">
        <v>1568</v>
      </c>
      <c r="AB1019" s="77" t="s">
        <v>1521</v>
      </c>
      <c r="AC1019" s="77" t="s">
        <v>90</v>
      </c>
      <c r="AD1019" s="77" t="s">
        <v>91</v>
      </c>
      <c r="AE1019" s="77" t="s">
        <v>1569</v>
      </c>
    </row>
    <row r="1020" spans="1:31" x14ac:dyDescent="0.3">
      <c r="A1020" s="77" t="s">
        <v>1654</v>
      </c>
      <c r="B1020" s="77" t="s">
        <v>1655</v>
      </c>
      <c r="G1020" s="77" t="s">
        <v>1566</v>
      </c>
      <c r="H1020" s="77" t="s">
        <v>77</v>
      </c>
      <c r="I1020" s="77" t="s">
        <v>1521</v>
      </c>
      <c r="J1020" s="77" t="s">
        <v>79</v>
      </c>
      <c r="K1020" s="77" t="s">
        <v>1522</v>
      </c>
      <c r="L1020" s="77" t="s">
        <v>1645</v>
      </c>
      <c r="M1020" s="77" t="s">
        <v>82</v>
      </c>
      <c r="N1020" s="77" t="s">
        <v>83</v>
      </c>
      <c r="Q1020" s="77" t="s">
        <v>111</v>
      </c>
      <c r="S1020" s="77" t="s">
        <v>111</v>
      </c>
      <c r="U1020" s="77" t="s">
        <v>85</v>
      </c>
      <c r="V1020" s="80" t="s">
        <v>245</v>
      </c>
      <c r="X1020" s="77" t="s">
        <v>246</v>
      </c>
      <c r="Y1020" s="78" t="s">
        <v>88</v>
      </c>
      <c r="AA1020" s="77" t="s">
        <v>1568</v>
      </c>
      <c r="AB1020" s="77" t="s">
        <v>1521</v>
      </c>
      <c r="AC1020" s="77" t="s">
        <v>90</v>
      </c>
      <c r="AD1020" s="77" t="s">
        <v>91</v>
      </c>
      <c r="AE1020" s="77" t="s">
        <v>1569</v>
      </c>
    </row>
    <row r="1021" spans="1:31" x14ac:dyDescent="0.3">
      <c r="A1021" s="77" t="s">
        <v>1656</v>
      </c>
      <c r="B1021" s="77" t="s">
        <v>1657</v>
      </c>
      <c r="G1021" s="77" t="s">
        <v>1566</v>
      </c>
      <c r="H1021" s="77" t="s">
        <v>77</v>
      </c>
      <c r="I1021" s="77" t="s">
        <v>1521</v>
      </c>
      <c r="J1021" s="77" t="s">
        <v>79</v>
      </c>
      <c r="K1021" s="77" t="s">
        <v>1522</v>
      </c>
      <c r="L1021" s="77" t="s">
        <v>1648</v>
      </c>
      <c r="M1021" s="77" t="s">
        <v>82</v>
      </c>
      <c r="N1021" s="77" t="s">
        <v>83</v>
      </c>
      <c r="Q1021" s="77" t="s">
        <v>111</v>
      </c>
      <c r="S1021" s="77" t="s">
        <v>111</v>
      </c>
      <c r="U1021" s="77" t="s">
        <v>85</v>
      </c>
      <c r="V1021" s="80" t="s">
        <v>252</v>
      </c>
      <c r="X1021" s="77" t="s">
        <v>253</v>
      </c>
      <c r="Y1021" s="78" t="s">
        <v>101</v>
      </c>
      <c r="AA1021" s="77" t="s">
        <v>1568</v>
      </c>
      <c r="AB1021" s="77" t="s">
        <v>1521</v>
      </c>
      <c r="AC1021" s="77" t="s">
        <v>90</v>
      </c>
      <c r="AD1021" s="77" t="s">
        <v>102</v>
      </c>
      <c r="AE1021" s="77" t="s">
        <v>1569</v>
      </c>
    </row>
    <row r="1022" spans="1:31" x14ac:dyDescent="0.3">
      <c r="A1022" s="77" t="s">
        <v>1658</v>
      </c>
      <c r="B1022" s="77" t="s">
        <v>1659</v>
      </c>
      <c r="G1022" s="77" t="s">
        <v>1566</v>
      </c>
      <c r="H1022" s="77" t="s">
        <v>77</v>
      </c>
      <c r="I1022" s="77" t="s">
        <v>1521</v>
      </c>
      <c r="J1022" s="77" t="s">
        <v>79</v>
      </c>
      <c r="K1022" s="77" t="s">
        <v>1522</v>
      </c>
      <c r="L1022" s="77" t="s">
        <v>1651</v>
      </c>
      <c r="M1022" s="77" t="s">
        <v>82</v>
      </c>
      <c r="N1022" s="77" t="s">
        <v>83</v>
      </c>
      <c r="Q1022" s="77" t="s">
        <v>111</v>
      </c>
      <c r="S1022" s="77" t="s">
        <v>111</v>
      </c>
      <c r="U1022" s="77" t="s">
        <v>85</v>
      </c>
      <c r="V1022" s="80" t="s">
        <v>259</v>
      </c>
      <c r="X1022" s="77" t="s">
        <v>260</v>
      </c>
      <c r="Y1022" s="78" t="s">
        <v>101</v>
      </c>
      <c r="AA1022" s="77" t="s">
        <v>1568</v>
      </c>
      <c r="AB1022" s="77" t="s">
        <v>1521</v>
      </c>
      <c r="AC1022" s="77" t="s">
        <v>90</v>
      </c>
      <c r="AD1022" s="77" t="s">
        <v>102</v>
      </c>
      <c r="AE1022" s="77" t="s">
        <v>1569</v>
      </c>
    </row>
    <row r="1023" spans="1:31" x14ac:dyDescent="0.3">
      <c r="A1023" s="77" t="s">
        <v>1660</v>
      </c>
      <c r="B1023" s="77" t="s">
        <v>1661</v>
      </c>
      <c r="G1023" s="77" t="s">
        <v>1566</v>
      </c>
      <c r="H1023" s="77" t="s">
        <v>77</v>
      </c>
      <c r="I1023" s="77" t="s">
        <v>1521</v>
      </c>
      <c r="J1023" s="77" t="s">
        <v>79</v>
      </c>
      <c r="K1023" s="77" t="s">
        <v>1522</v>
      </c>
      <c r="L1023" s="77" t="s">
        <v>1662</v>
      </c>
      <c r="M1023" s="77" t="s">
        <v>82</v>
      </c>
      <c r="N1023" s="77" t="s">
        <v>83</v>
      </c>
      <c r="Q1023" s="77" t="s">
        <v>111</v>
      </c>
      <c r="S1023" s="77" t="s">
        <v>111</v>
      </c>
      <c r="U1023" s="77" t="s">
        <v>85</v>
      </c>
      <c r="V1023" s="80" t="s">
        <v>272</v>
      </c>
      <c r="X1023" s="77" t="s">
        <v>273</v>
      </c>
      <c r="Y1023" s="78" t="s">
        <v>101</v>
      </c>
      <c r="AA1023" s="77" t="s">
        <v>1568</v>
      </c>
      <c r="AB1023" s="77" t="s">
        <v>1521</v>
      </c>
      <c r="AC1023" s="77" t="s">
        <v>90</v>
      </c>
      <c r="AD1023" s="77" t="s">
        <v>274</v>
      </c>
      <c r="AE1023" s="77" t="s">
        <v>1569</v>
      </c>
    </row>
    <row r="1024" spans="1:31" x14ac:dyDescent="0.3">
      <c r="A1024" s="77" t="s">
        <v>1663</v>
      </c>
      <c r="B1024" s="77" t="s">
        <v>1664</v>
      </c>
      <c r="G1024" s="77" t="s">
        <v>1566</v>
      </c>
      <c r="H1024" s="77" t="s">
        <v>77</v>
      </c>
      <c r="I1024" s="77" t="s">
        <v>1521</v>
      </c>
      <c r="J1024" s="77" t="s">
        <v>79</v>
      </c>
      <c r="K1024" s="77" t="s">
        <v>1522</v>
      </c>
      <c r="L1024" s="77" t="s">
        <v>1665</v>
      </c>
      <c r="M1024" s="77" t="s">
        <v>82</v>
      </c>
      <c r="N1024" s="77" t="s">
        <v>83</v>
      </c>
      <c r="Q1024" s="77" t="s">
        <v>111</v>
      </c>
      <c r="T1024" s="77" t="s">
        <v>1666</v>
      </c>
      <c r="U1024" s="77" t="s">
        <v>85</v>
      </c>
      <c r="V1024" s="80" t="s">
        <v>325</v>
      </c>
      <c r="X1024" s="77" t="s">
        <v>326</v>
      </c>
      <c r="Y1024" s="78" t="s">
        <v>101</v>
      </c>
      <c r="AA1024" s="77" t="s">
        <v>1568</v>
      </c>
      <c r="AB1024" s="77" t="s">
        <v>1521</v>
      </c>
      <c r="AC1024" s="77" t="s">
        <v>90</v>
      </c>
      <c r="AD1024" s="77" t="s">
        <v>327</v>
      </c>
      <c r="AE1024" s="77" t="s">
        <v>1569</v>
      </c>
    </row>
    <row r="1025" spans="1:31" x14ac:dyDescent="0.3">
      <c r="A1025" s="77" t="s">
        <v>1667</v>
      </c>
      <c r="B1025" s="77" t="s">
        <v>1668</v>
      </c>
      <c r="G1025" s="77" t="s">
        <v>1566</v>
      </c>
      <c r="H1025" s="77" t="s">
        <v>77</v>
      </c>
      <c r="I1025" s="77" t="s">
        <v>1521</v>
      </c>
      <c r="J1025" s="77" t="s">
        <v>79</v>
      </c>
      <c r="K1025" s="77" t="s">
        <v>1522</v>
      </c>
      <c r="L1025" s="77" t="s">
        <v>1669</v>
      </c>
      <c r="M1025" s="77" t="s">
        <v>82</v>
      </c>
      <c r="N1025" s="77" t="s">
        <v>83</v>
      </c>
      <c r="Q1025" s="77" t="s">
        <v>111</v>
      </c>
      <c r="T1025" s="77" t="s">
        <v>1666</v>
      </c>
      <c r="U1025" s="77" t="s">
        <v>85</v>
      </c>
      <c r="V1025" s="80" t="s">
        <v>325</v>
      </c>
      <c r="X1025" s="77" t="s">
        <v>326</v>
      </c>
      <c r="Y1025" s="78" t="s">
        <v>101</v>
      </c>
      <c r="AA1025" s="77" t="s">
        <v>1568</v>
      </c>
      <c r="AB1025" s="77" t="s">
        <v>1521</v>
      </c>
      <c r="AC1025" s="77" t="s">
        <v>90</v>
      </c>
      <c r="AD1025" s="77" t="s">
        <v>327</v>
      </c>
      <c r="AE1025" s="77" t="s">
        <v>1569</v>
      </c>
    </row>
    <row r="1026" spans="1:31" x14ac:dyDescent="0.3">
      <c r="A1026" s="77" t="s">
        <v>1670</v>
      </c>
      <c r="B1026" s="77" t="s">
        <v>1671</v>
      </c>
      <c r="G1026" s="77" t="s">
        <v>1566</v>
      </c>
      <c r="H1026" s="77" t="s">
        <v>77</v>
      </c>
      <c r="I1026" s="77" t="s">
        <v>1521</v>
      </c>
      <c r="J1026" s="77" t="s">
        <v>79</v>
      </c>
      <c r="K1026" s="77" t="s">
        <v>1522</v>
      </c>
      <c r="L1026" s="77" t="s">
        <v>1672</v>
      </c>
      <c r="M1026" s="77" t="s">
        <v>82</v>
      </c>
      <c r="N1026" s="77" t="s">
        <v>83</v>
      </c>
      <c r="Q1026" s="77" t="s">
        <v>111</v>
      </c>
      <c r="T1026" s="77" t="s">
        <v>1666</v>
      </c>
      <c r="U1026" s="77" t="s">
        <v>85</v>
      </c>
      <c r="V1026" s="80" t="s">
        <v>325</v>
      </c>
      <c r="X1026" s="77" t="s">
        <v>326</v>
      </c>
      <c r="Y1026" s="78" t="s">
        <v>101</v>
      </c>
      <c r="AA1026" s="77" t="s">
        <v>1568</v>
      </c>
      <c r="AB1026" s="77" t="s">
        <v>1521</v>
      </c>
      <c r="AC1026" s="77" t="s">
        <v>90</v>
      </c>
      <c r="AD1026" s="77" t="s">
        <v>327</v>
      </c>
      <c r="AE1026" s="77" t="s">
        <v>1569</v>
      </c>
    </row>
    <row r="1027" spans="1:31" x14ac:dyDescent="0.3">
      <c r="A1027" s="77" t="s">
        <v>1673</v>
      </c>
      <c r="B1027" s="77" t="s">
        <v>1674</v>
      </c>
      <c r="G1027" s="77" t="s">
        <v>1566</v>
      </c>
      <c r="H1027" s="77" t="s">
        <v>77</v>
      </c>
      <c r="I1027" s="77" t="s">
        <v>1521</v>
      </c>
      <c r="J1027" s="77" t="s">
        <v>79</v>
      </c>
      <c r="K1027" s="77" t="s">
        <v>1522</v>
      </c>
      <c r="L1027" s="77" t="s">
        <v>1675</v>
      </c>
      <c r="M1027" s="77" t="s">
        <v>82</v>
      </c>
      <c r="N1027" s="77" t="s">
        <v>83</v>
      </c>
      <c r="Q1027" s="77" t="s">
        <v>111</v>
      </c>
      <c r="T1027" s="77" t="s">
        <v>1666</v>
      </c>
      <c r="U1027" s="77" t="s">
        <v>85</v>
      </c>
      <c r="V1027" s="80" t="s">
        <v>325</v>
      </c>
      <c r="X1027" s="77" t="s">
        <v>326</v>
      </c>
      <c r="Y1027" s="78" t="s">
        <v>101</v>
      </c>
      <c r="AA1027" s="77" t="s">
        <v>1568</v>
      </c>
      <c r="AB1027" s="77" t="s">
        <v>1521</v>
      </c>
      <c r="AC1027" s="77" t="s">
        <v>90</v>
      </c>
      <c r="AD1027" s="77" t="s">
        <v>327</v>
      </c>
      <c r="AE1027" s="77" t="s">
        <v>1569</v>
      </c>
    </row>
    <row r="1028" spans="1:31" x14ac:dyDescent="0.3">
      <c r="A1028" s="77" t="s">
        <v>1676</v>
      </c>
      <c r="B1028" s="77" t="s">
        <v>1677</v>
      </c>
      <c r="G1028" s="77" t="s">
        <v>1566</v>
      </c>
      <c r="H1028" s="77" t="s">
        <v>77</v>
      </c>
      <c r="I1028" s="77" t="s">
        <v>1521</v>
      </c>
      <c r="J1028" s="77" t="s">
        <v>79</v>
      </c>
      <c r="K1028" s="77" t="s">
        <v>1522</v>
      </c>
      <c r="L1028" s="77" t="s">
        <v>1678</v>
      </c>
      <c r="M1028" s="77" t="s">
        <v>82</v>
      </c>
      <c r="N1028" s="77" t="s">
        <v>83</v>
      </c>
      <c r="Q1028" s="77" t="s">
        <v>111</v>
      </c>
      <c r="T1028" s="77" t="s">
        <v>1666</v>
      </c>
      <c r="U1028" s="77" t="s">
        <v>85</v>
      </c>
      <c r="V1028" s="80" t="s">
        <v>325</v>
      </c>
      <c r="X1028" s="77" t="s">
        <v>326</v>
      </c>
      <c r="Y1028" s="78" t="s">
        <v>101</v>
      </c>
      <c r="AA1028" s="77" t="s">
        <v>1568</v>
      </c>
      <c r="AB1028" s="77" t="s">
        <v>1521</v>
      </c>
      <c r="AC1028" s="77" t="s">
        <v>90</v>
      </c>
      <c r="AD1028" s="77" t="s">
        <v>327</v>
      </c>
      <c r="AE1028" s="77" t="s">
        <v>1569</v>
      </c>
    </row>
    <row r="1029" spans="1:31" x14ac:dyDescent="0.3">
      <c r="A1029" s="77" t="s">
        <v>1679</v>
      </c>
      <c r="B1029" s="77" t="s">
        <v>1680</v>
      </c>
      <c r="G1029" s="77" t="s">
        <v>1566</v>
      </c>
      <c r="H1029" s="77" t="s">
        <v>77</v>
      </c>
      <c r="I1029" s="77" t="s">
        <v>1521</v>
      </c>
      <c r="J1029" s="77" t="s">
        <v>79</v>
      </c>
      <c r="K1029" s="77" t="s">
        <v>1522</v>
      </c>
      <c r="L1029" s="77" t="s">
        <v>1681</v>
      </c>
      <c r="M1029" s="77" t="s">
        <v>82</v>
      </c>
      <c r="N1029" s="77" t="s">
        <v>83</v>
      </c>
      <c r="Q1029" s="77" t="s">
        <v>111</v>
      </c>
      <c r="T1029" s="77" t="s">
        <v>1666</v>
      </c>
      <c r="U1029" s="77" t="s">
        <v>85</v>
      </c>
      <c r="V1029" s="80" t="s">
        <v>325</v>
      </c>
      <c r="X1029" s="77" t="s">
        <v>326</v>
      </c>
      <c r="Y1029" s="78" t="s">
        <v>101</v>
      </c>
      <c r="AA1029" s="77" t="s">
        <v>1568</v>
      </c>
      <c r="AB1029" s="77" t="s">
        <v>1521</v>
      </c>
      <c r="AC1029" s="77" t="s">
        <v>90</v>
      </c>
      <c r="AD1029" s="77" t="s">
        <v>327</v>
      </c>
      <c r="AE1029" s="77" t="s">
        <v>1569</v>
      </c>
    </row>
    <row r="1030" spans="1:31" x14ac:dyDescent="0.3">
      <c r="A1030" s="77" t="s">
        <v>1682</v>
      </c>
      <c r="B1030" s="77" t="s">
        <v>1683</v>
      </c>
      <c r="G1030" s="77" t="s">
        <v>1566</v>
      </c>
      <c r="H1030" s="77" t="s">
        <v>77</v>
      </c>
      <c r="I1030" s="77" t="s">
        <v>1521</v>
      </c>
      <c r="J1030" s="77" t="s">
        <v>79</v>
      </c>
      <c r="K1030" s="77" t="s">
        <v>1522</v>
      </c>
      <c r="L1030" s="77" t="s">
        <v>1684</v>
      </c>
      <c r="M1030" s="77" t="s">
        <v>82</v>
      </c>
      <c r="N1030" s="77" t="s">
        <v>83</v>
      </c>
      <c r="Q1030" s="77" t="s">
        <v>111</v>
      </c>
      <c r="T1030" s="77" t="s">
        <v>1666</v>
      </c>
      <c r="U1030" s="77" t="s">
        <v>85</v>
      </c>
      <c r="V1030" s="80" t="s">
        <v>325</v>
      </c>
      <c r="X1030" s="77" t="s">
        <v>326</v>
      </c>
      <c r="Y1030" s="78" t="s">
        <v>101</v>
      </c>
      <c r="AA1030" s="77" t="s">
        <v>1568</v>
      </c>
      <c r="AB1030" s="77" t="s">
        <v>1521</v>
      </c>
      <c r="AC1030" s="77" t="s">
        <v>90</v>
      </c>
      <c r="AD1030" s="77" t="s">
        <v>327</v>
      </c>
      <c r="AE1030" s="77" t="s">
        <v>1569</v>
      </c>
    </row>
    <row r="1031" spans="1:31" x14ac:dyDescent="0.3">
      <c r="A1031" s="77" t="s">
        <v>1685</v>
      </c>
      <c r="B1031" s="77" t="s">
        <v>1686</v>
      </c>
      <c r="G1031" s="77" t="s">
        <v>1566</v>
      </c>
      <c r="H1031" s="77" t="s">
        <v>77</v>
      </c>
      <c r="I1031" s="77" t="s">
        <v>1521</v>
      </c>
      <c r="J1031" s="77" t="s">
        <v>79</v>
      </c>
      <c r="K1031" s="77" t="s">
        <v>1522</v>
      </c>
      <c r="L1031" s="77" t="s">
        <v>1687</v>
      </c>
      <c r="M1031" s="77" t="s">
        <v>82</v>
      </c>
      <c r="N1031" s="77" t="s">
        <v>83</v>
      </c>
      <c r="Q1031" s="77" t="s">
        <v>111</v>
      </c>
      <c r="T1031" s="77" t="s">
        <v>1666</v>
      </c>
      <c r="U1031" s="77" t="s">
        <v>85</v>
      </c>
      <c r="V1031" s="80" t="s">
        <v>325</v>
      </c>
      <c r="X1031" s="77" t="s">
        <v>326</v>
      </c>
      <c r="Y1031" s="78" t="s">
        <v>101</v>
      </c>
      <c r="AA1031" s="77" t="s">
        <v>1568</v>
      </c>
      <c r="AB1031" s="77" t="s">
        <v>1521</v>
      </c>
      <c r="AC1031" s="77" t="s">
        <v>90</v>
      </c>
      <c r="AD1031" s="77" t="s">
        <v>327</v>
      </c>
      <c r="AE1031" s="77" t="s">
        <v>1569</v>
      </c>
    </row>
    <row r="1032" spans="1:31" x14ac:dyDescent="0.3">
      <c r="A1032" s="77" t="s">
        <v>1688</v>
      </c>
      <c r="B1032" s="77" t="s">
        <v>1689</v>
      </c>
      <c r="G1032" s="77" t="s">
        <v>1566</v>
      </c>
      <c r="H1032" s="77" t="s">
        <v>77</v>
      </c>
      <c r="I1032" s="77" t="s">
        <v>1521</v>
      </c>
      <c r="J1032" s="77" t="s">
        <v>79</v>
      </c>
      <c r="K1032" s="77" t="s">
        <v>1522</v>
      </c>
      <c r="L1032" s="77" t="s">
        <v>1690</v>
      </c>
      <c r="M1032" s="77" t="s">
        <v>82</v>
      </c>
      <c r="N1032" s="77" t="s">
        <v>83</v>
      </c>
      <c r="Q1032" s="77" t="s">
        <v>111</v>
      </c>
      <c r="T1032" s="77" t="s">
        <v>1666</v>
      </c>
      <c r="U1032" s="77" t="s">
        <v>85</v>
      </c>
      <c r="V1032" s="80" t="s">
        <v>325</v>
      </c>
      <c r="X1032" s="77" t="s">
        <v>326</v>
      </c>
      <c r="Y1032" s="78" t="s">
        <v>101</v>
      </c>
      <c r="AA1032" s="77" t="s">
        <v>1568</v>
      </c>
      <c r="AB1032" s="77" t="s">
        <v>1521</v>
      </c>
      <c r="AC1032" s="77" t="s">
        <v>90</v>
      </c>
      <c r="AD1032" s="77" t="s">
        <v>327</v>
      </c>
      <c r="AE1032" s="77" t="s">
        <v>1569</v>
      </c>
    </row>
    <row r="1033" spans="1:31" x14ac:dyDescent="0.3">
      <c r="A1033" s="77" t="s">
        <v>1691</v>
      </c>
      <c r="B1033" s="77" t="s">
        <v>1692</v>
      </c>
      <c r="G1033" s="77" t="s">
        <v>1566</v>
      </c>
      <c r="H1033" s="77" t="s">
        <v>77</v>
      </c>
      <c r="I1033" s="77" t="s">
        <v>1521</v>
      </c>
      <c r="J1033" s="77" t="s">
        <v>79</v>
      </c>
      <c r="K1033" s="77" t="s">
        <v>1522</v>
      </c>
      <c r="L1033" s="77" t="s">
        <v>1693</v>
      </c>
      <c r="M1033" s="77" t="s">
        <v>82</v>
      </c>
      <c r="N1033" s="77" t="s">
        <v>83</v>
      </c>
      <c r="Q1033" s="77" t="s">
        <v>111</v>
      </c>
      <c r="T1033" s="77" t="s">
        <v>1666</v>
      </c>
      <c r="U1033" s="77" t="s">
        <v>85</v>
      </c>
      <c r="V1033" s="80" t="s">
        <v>325</v>
      </c>
      <c r="X1033" s="77" t="s">
        <v>326</v>
      </c>
      <c r="Y1033" s="78" t="s">
        <v>101</v>
      </c>
      <c r="AA1033" s="77" t="s">
        <v>1568</v>
      </c>
      <c r="AB1033" s="77" t="s">
        <v>1521</v>
      </c>
      <c r="AC1033" s="77" t="s">
        <v>90</v>
      </c>
      <c r="AD1033" s="77" t="s">
        <v>327</v>
      </c>
      <c r="AE1033" s="77" t="s">
        <v>1569</v>
      </c>
    </row>
    <row r="1034" spans="1:31" x14ac:dyDescent="0.3">
      <c r="A1034" s="77" t="s">
        <v>1694</v>
      </c>
      <c r="B1034" s="77" t="s">
        <v>1695</v>
      </c>
      <c r="G1034" s="77" t="s">
        <v>1566</v>
      </c>
      <c r="H1034" s="77" t="s">
        <v>77</v>
      </c>
      <c r="I1034" s="77" t="s">
        <v>1521</v>
      </c>
      <c r="J1034" s="77" t="s">
        <v>79</v>
      </c>
      <c r="K1034" s="77" t="s">
        <v>1522</v>
      </c>
      <c r="L1034" s="77" t="s">
        <v>1696</v>
      </c>
      <c r="M1034" s="77" t="s">
        <v>82</v>
      </c>
      <c r="N1034" s="77" t="s">
        <v>83</v>
      </c>
      <c r="Q1034" s="77" t="s">
        <v>111</v>
      </c>
      <c r="T1034" s="77" t="s">
        <v>1666</v>
      </c>
      <c r="U1034" s="77" t="s">
        <v>85</v>
      </c>
      <c r="V1034" s="80" t="s">
        <v>331</v>
      </c>
      <c r="X1034" s="77" t="s">
        <v>332</v>
      </c>
      <c r="Y1034" s="78" t="s">
        <v>88</v>
      </c>
      <c r="AA1034" s="77" t="s">
        <v>1568</v>
      </c>
      <c r="AB1034" s="77" t="s">
        <v>1521</v>
      </c>
      <c r="AC1034" s="77" t="s">
        <v>90</v>
      </c>
      <c r="AD1034" s="77" t="s">
        <v>91</v>
      </c>
      <c r="AE1034" s="77" t="s">
        <v>1569</v>
      </c>
    </row>
    <row r="1035" spans="1:31" x14ac:dyDescent="0.3">
      <c r="A1035" s="77" t="s">
        <v>1697</v>
      </c>
      <c r="B1035" s="77" t="s">
        <v>1698</v>
      </c>
      <c r="G1035" s="77" t="s">
        <v>1566</v>
      </c>
      <c r="H1035" s="77" t="s">
        <v>77</v>
      </c>
      <c r="I1035" s="77" t="s">
        <v>1521</v>
      </c>
      <c r="J1035" s="77" t="s">
        <v>79</v>
      </c>
      <c r="K1035" s="77" t="s">
        <v>1522</v>
      </c>
      <c r="L1035" s="77" t="s">
        <v>1699</v>
      </c>
      <c r="M1035" s="77" t="s">
        <v>82</v>
      </c>
      <c r="N1035" s="77" t="s">
        <v>83</v>
      </c>
      <c r="Q1035" s="77" t="s">
        <v>111</v>
      </c>
      <c r="T1035" s="77" t="s">
        <v>1666</v>
      </c>
      <c r="U1035" s="77" t="s">
        <v>85</v>
      </c>
      <c r="V1035" s="80" t="s">
        <v>341</v>
      </c>
      <c r="X1035" s="77" t="s">
        <v>342</v>
      </c>
      <c r="Y1035" s="78" t="s">
        <v>88</v>
      </c>
      <c r="AA1035" s="77" t="s">
        <v>1568</v>
      </c>
      <c r="AB1035" s="77" t="s">
        <v>1521</v>
      </c>
      <c r="AC1035" s="77" t="s">
        <v>90</v>
      </c>
      <c r="AD1035" s="77" t="s">
        <v>91</v>
      </c>
      <c r="AE1035" s="77" t="s">
        <v>1569</v>
      </c>
    </row>
    <row r="1036" spans="1:31" x14ac:dyDescent="0.3">
      <c r="A1036" s="77" t="s">
        <v>1700</v>
      </c>
      <c r="B1036" s="77" t="s">
        <v>1701</v>
      </c>
      <c r="G1036" s="77" t="s">
        <v>1566</v>
      </c>
      <c r="H1036" s="77" t="s">
        <v>77</v>
      </c>
      <c r="I1036" s="77" t="s">
        <v>1521</v>
      </c>
      <c r="J1036" s="77" t="s">
        <v>79</v>
      </c>
      <c r="K1036" s="77" t="s">
        <v>1522</v>
      </c>
      <c r="L1036" s="77" t="s">
        <v>1702</v>
      </c>
      <c r="M1036" s="77" t="s">
        <v>82</v>
      </c>
      <c r="N1036" s="77" t="s">
        <v>83</v>
      </c>
      <c r="Q1036" s="77" t="s">
        <v>111</v>
      </c>
      <c r="T1036" s="77" t="s">
        <v>1666</v>
      </c>
      <c r="U1036" s="77" t="s">
        <v>85</v>
      </c>
      <c r="V1036" s="80" t="s">
        <v>365</v>
      </c>
      <c r="X1036" s="77" t="s">
        <v>366</v>
      </c>
      <c r="Y1036" s="78" t="s">
        <v>88</v>
      </c>
      <c r="AA1036" s="77" t="s">
        <v>1568</v>
      </c>
      <c r="AB1036" s="77" t="s">
        <v>1521</v>
      </c>
      <c r="AC1036" s="77" t="s">
        <v>90</v>
      </c>
      <c r="AD1036" s="77" t="s">
        <v>91</v>
      </c>
      <c r="AE1036" s="77" t="s">
        <v>1569</v>
      </c>
    </row>
    <row r="1037" spans="1:31" x14ac:dyDescent="0.3">
      <c r="A1037" s="77" t="s">
        <v>1703</v>
      </c>
      <c r="B1037" s="77" t="s">
        <v>1704</v>
      </c>
      <c r="G1037" s="77" t="s">
        <v>1566</v>
      </c>
      <c r="H1037" s="77" t="s">
        <v>77</v>
      </c>
      <c r="I1037" s="77" t="s">
        <v>1521</v>
      </c>
      <c r="J1037" s="77" t="s">
        <v>79</v>
      </c>
      <c r="K1037" s="77" t="s">
        <v>1522</v>
      </c>
      <c r="L1037" s="77" t="s">
        <v>1705</v>
      </c>
      <c r="M1037" s="77" t="s">
        <v>82</v>
      </c>
      <c r="N1037" s="77" t="s">
        <v>83</v>
      </c>
      <c r="Q1037" s="77" t="s">
        <v>111</v>
      </c>
      <c r="T1037" s="77" t="s">
        <v>1666</v>
      </c>
      <c r="U1037" s="77" t="s">
        <v>85</v>
      </c>
      <c r="V1037" s="80" t="s">
        <v>370</v>
      </c>
      <c r="X1037" s="77" t="s">
        <v>371</v>
      </c>
      <c r="Y1037" s="78" t="s">
        <v>88</v>
      </c>
      <c r="AA1037" s="77" t="s">
        <v>1568</v>
      </c>
      <c r="AB1037" s="77" t="s">
        <v>1521</v>
      </c>
      <c r="AC1037" s="77" t="s">
        <v>90</v>
      </c>
      <c r="AD1037" s="77" t="s">
        <v>91</v>
      </c>
      <c r="AE1037" s="77" t="s">
        <v>1569</v>
      </c>
    </row>
    <row r="1038" spans="1:31" x14ac:dyDescent="0.3">
      <c r="A1038" s="77" t="s">
        <v>1706</v>
      </c>
      <c r="B1038" s="77" t="s">
        <v>1707</v>
      </c>
      <c r="G1038" s="77" t="s">
        <v>1566</v>
      </c>
      <c r="H1038" s="77" t="s">
        <v>77</v>
      </c>
      <c r="I1038" s="77" t="s">
        <v>1521</v>
      </c>
      <c r="J1038" s="77" t="s">
        <v>79</v>
      </c>
      <c r="K1038" s="77" t="s">
        <v>1522</v>
      </c>
      <c r="L1038" s="77" t="s">
        <v>1708</v>
      </c>
      <c r="M1038" s="77" t="s">
        <v>82</v>
      </c>
      <c r="N1038" s="77" t="s">
        <v>83</v>
      </c>
      <c r="Q1038" s="77" t="s">
        <v>111</v>
      </c>
      <c r="T1038" s="77" t="s">
        <v>1666</v>
      </c>
      <c r="U1038" s="77" t="s">
        <v>85</v>
      </c>
      <c r="V1038" s="80" t="s">
        <v>375</v>
      </c>
      <c r="X1038" s="77" t="s">
        <v>376</v>
      </c>
      <c r="Y1038" s="78" t="s">
        <v>101</v>
      </c>
      <c r="AA1038" s="77" t="s">
        <v>1568</v>
      </c>
      <c r="AB1038" s="77" t="s">
        <v>1521</v>
      </c>
      <c r="AC1038" s="77" t="s">
        <v>90</v>
      </c>
      <c r="AD1038" s="77" t="s">
        <v>102</v>
      </c>
      <c r="AE1038" s="77" t="s">
        <v>1569</v>
      </c>
    </row>
    <row r="1039" spans="1:31" x14ac:dyDescent="0.3">
      <c r="A1039" s="77" t="s">
        <v>1709</v>
      </c>
      <c r="B1039" s="77" t="s">
        <v>1710</v>
      </c>
      <c r="G1039" s="77" t="s">
        <v>1566</v>
      </c>
      <c r="H1039" s="77" t="s">
        <v>77</v>
      </c>
      <c r="I1039" s="77" t="s">
        <v>1521</v>
      </c>
      <c r="J1039" s="77" t="s">
        <v>79</v>
      </c>
      <c r="K1039" s="77" t="s">
        <v>1522</v>
      </c>
      <c r="L1039" s="77" t="s">
        <v>1711</v>
      </c>
      <c r="M1039" s="77" t="s">
        <v>82</v>
      </c>
      <c r="N1039" s="77" t="s">
        <v>83</v>
      </c>
      <c r="Q1039" s="77" t="s">
        <v>111</v>
      </c>
      <c r="T1039" s="77" t="s">
        <v>1666</v>
      </c>
      <c r="U1039" s="77" t="s">
        <v>85</v>
      </c>
      <c r="V1039" s="80" t="s">
        <v>380</v>
      </c>
      <c r="X1039" s="77" t="s">
        <v>381</v>
      </c>
      <c r="Y1039" s="78" t="s">
        <v>101</v>
      </c>
      <c r="AA1039" s="77" t="s">
        <v>1568</v>
      </c>
      <c r="AB1039" s="77" t="s">
        <v>1521</v>
      </c>
      <c r="AC1039" s="77" t="s">
        <v>90</v>
      </c>
      <c r="AD1039" s="77" t="s">
        <v>102</v>
      </c>
      <c r="AE1039" s="77" t="s">
        <v>1569</v>
      </c>
    </row>
    <row r="1040" spans="1:31" x14ac:dyDescent="0.3">
      <c r="A1040" s="77" t="s">
        <v>1712</v>
      </c>
      <c r="B1040" s="77" t="s">
        <v>1713</v>
      </c>
      <c r="G1040" s="77" t="s">
        <v>1566</v>
      </c>
      <c r="H1040" s="77" t="s">
        <v>77</v>
      </c>
      <c r="I1040" s="77" t="s">
        <v>1521</v>
      </c>
      <c r="J1040" s="77" t="s">
        <v>79</v>
      </c>
      <c r="K1040" s="77" t="s">
        <v>1522</v>
      </c>
      <c r="L1040" s="77" t="s">
        <v>1714</v>
      </c>
      <c r="M1040" s="77" t="s">
        <v>82</v>
      </c>
      <c r="N1040" s="77" t="s">
        <v>83</v>
      </c>
      <c r="Q1040" s="77" t="s">
        <v>111</v>
      </c>
      <c r="T1040" s="77" t="s">
        <v>1666</v>
      </c>
      <c r="U1040" s="77" t="s">
        <v>85</v>
      </c>
      <c r="V1040" s="80" t="s">
        <v>86</v>
      </c>
      <c r="X1040" s="77" t="s">
        <v>87</v>
      </c>
      <c r="Y1040" s="78" t="s">
        <v>88</v>
      </c>
      <c r="AA1040" s="77" t="s">
        <v>1568</v>
      </c>
      <c r="AB1040" s="77" t="s">
        <v>1521</v>
      </c>
      <c r="AC1040" s="77" t="s">
        <v>90</v>
      </c>
      <c r="AD1040" s="77" t="s">
        <v>91</v>
      </c>
      <c r="AE1040" s="77" t="s">
        <v>1569</v>
      </c>
    </row>
    <row r="1041" spans="1:31" x14ac:dyDescent="0.3">
      <c r="A1041" s="77" t="s">
        <v>1715</v>
      </c>
      <c r="B1041" s="77" t="s">
        <v>1716</v>
      </c>
      <c r="G1041" s="77" t="s">
        <v>1566</v>
      </c>
      <c r="H1041" s="77" t="s">
        <v>77</v>
      </c>
      <c r="I1041" s="77" t="s">
        <v>1521</v>
      </c>
      <c r="J1041" s="77" t="s">
        <v>79</v>
      </c>
      <c r="K1041" s="77" t="s">
        <v>1522</v>
      </c>
      <c r="L1041" s="77" t="s">
        <v>1714</v>
      </c>
      <c r="M1041" s="77" t="s">
        <v>82</v>
      </c>
      <c r="N1041" s="77" t="s">
        <v>83</v>
      </c>
      <c r="Q1041" s="77" t="s">
        <v>111</v>
      </c>
      <c r="T1041" s="77" t="s">
        <v>1666</v>
      </c>
      <c r="U1041" s="77" t="s">
        <v>85</v>
      </c>
      <c r="V1041" s="80" t="s">
        <v>86</v>
      </c>
      <c r="X1041" s="77" t="s">
        <v>87</v>
      </c>
      <c r="Y1041" s="78" t="s">
        <v>88</v>
      </c>
      <c r="AA1041" s="77" t="s">
        <v>1568</v>
      </c>
      <c r="AB1041" s="77" t="s">
        <v>1521</v>
      </c>
      <c r="AC1041" s="77" t="s">
        <v>90</v>
      </c>
      <c r="AD1041" s="77" t="s">
        <v>91</v>
      </c>
      <c r="AE1041" s="77" t="s">
        <v>1569</v>
      </c>
    </row>
    <row r="1042" spans="1:31" x14ac:dyDescent="0.3">
      <c r="A1042" s="77" t="s">
        <v>1717</v>
      </c>
      <c r="B1042" s="77" t="s">
        <v>1718</v>
      </c>
      <c r="G1042" s="77" t="s">
        <v>1566</v>
      </c>
      <c r="H1042" s="77" t="s">
        <v>77</v>
      </c>
      <c r="I1042" s="77" t="s">
        <v>1521</v>
      </c>
      <c r="J1042" s="77" t="s">
        <v>79</v>
      </c>
      <c r="K1042" s="77" t="s">
        <v>1522</v>
      </c>
      <c r="L1042" s="77" t="s">
        <v>1719</v>
      </c>
      <c r="M1042" s="77" t="s">
        <v>82</v>
      </c>
      <c r="N1042" s="77" t="s">
        <v>83</v>
      </c>
      <c r="Q1042" s="77" t="s">
        <v>111</v>
      </c>
      <c r="T1042" s="77" t="s">
        <v>1666</v>
      </c>
      <c r="U1042" s="77" t="s">
        <v>85</v>
      </c>
      <c r="V1042" s="80" t="s">
        <v>95</v>
      </c>
      <c r="X1042" s="77" t="s">
        <v>96</v>
      </c>
      <c r="Y1042" s="78" t="s">
        <v>88</v>
      </c>
      <c r="AA1042" s="77" t="s">
        <v>1568</v>
      </c>
      <c r="AB1042" s="77" t="s">
        <v>1521</v>
      </c>
      <c r="AC1042" s="77" t="s">
        <v>90</v>
      </c>
      <c r="AD1042" s="77" t="s">
        <v>91</v>
      </c>
      <c r="AE1042" s="77" t="s">
        <v>1569</v>
      </c>
    </row>
    <row r="1043" spans="1:31" x14ac:dyDescent="0.3">
      <c r="A1043" s="77" t="s">
        <v>1720</v>
      </c>
      <c r="B1043" s="77" t="s">
        <v>1721</v>
      </c>
      <c r="G1043" s="77" t="s">
        <v>1566</v>
      </c>
      <c r="H1043" s="77" t="s">
        <v>77</v>
      </c>
      <c r="I1043" s="77" t="s">
        <v>1521</v>
      </c>
      <c r="J1043" s="77" t="s">
        <v>79</v>
      </c>
      <c r="K1043" s="77" t="s">
        <v>1522</v>
      </c>
      <c r="L1043" s="77" t="s">
        <v>1719</v>
      </c>
      <c r="M1043" s="77" t="s">
        <v>82</v>
      </c>
      <c r="N1043" s="77" t="s">
        <v>83</v>
      </c>
      <c r="Q1043" s="77" t="s">
        <v>111</v>
      </c>
      <c r="T1043" s="77" t="s">
        <v>1666</v>
      </c>
      <c r="U1043" s="77" t="s">
        <v>85</v>
      </c>
      <c r="V1043" s="80" t="s">
        <v>95</v>
      </c>
      <c r="X1043" s="77" t="s">
        <v>96</v>
      </c>
      <c r="Y1043" s="78" t="s">
        <v>88</v>
      </c>
      <c r="AA1043" s="77" t="s">
        <v>1568</v>
      </c>
      <c r="AB1043" s="77" t="s">
        <v>1521</v>
      </c>
      <c r="AC1043" s="77" t="s">
        <v>90</v>
      </c>
      <c r="AD1043" s="77" t="s">
        <v>91</v>
      </c>
      <c r="AE1043" s="77" t="s">
        <v>1569</v>
      </c>
    </row>
    <row r="1044" spans="1:31" x14ac:dyDescent="0.3">
      <c r="A1044" s="77" t="s">
        <v>1722</v>
      </c>
      <c r="B1044" s="77" t="s">
        <v>1723</v>
      </c>
      <c r="G1044" s="77" t="s">
        <v>1566</v>
      </c>
      <c r="H1044" s="77" t="s">
        <v>77</v>
      </c>
      <c r="I1044" s="77" t="s">
        <v>1521</v>
      </c>
      <c r="J1044" s="77" t="s">
        <v>79</v>
      </c>
      <c r="K1044" s="77" t="s">
        <v>1522</v>
      </c>
      <c r="L1044" s="77" t="s">
        <v>1724</v>
      </c>
      <c r="M1044" s="77" t="s">
        <v>82</v>
      </c>
      <c r="N1044" s="77" t="s">
        <v>83</v>
      </c>
      <c r="Q1044" s="77" t="s">
        <v>111</v>
      </c>
      <c r="T1044" s="77" t="s">
        <v>1666</v>
      </c>
      <c r="U1044" s="77" t="s">
        <v>85</v>
      </c>
      <c r="V1044" s="80" t="s">
        <v>99</v>
      </c>
      <c r="X1044" s="77" t="s">
        <v>100</v>
      </c>
      <c r="Y1044" s="78" t="s">
        <v>101</v>
      </c>
      <c r="AA1044" s="77" t="s">
        <v>1568</v>
      </c>
      <c r="AB1044" s="77" t="s">
        <v>1521</v>
      </c>
      <c r="AC1044" s="77" t="s">
        <v>90</v>
      </c>
      <c r="AD1044" s="77" t="s">
        <v>102</v>
      </c>
      <c r="AE1044" s="77" t="s">
        <v>1569</v>
      </c>
    </row>
    <row r="1045" spans="1:31" x14ac:dyDescent="0.3">
      <c r="A1045" s="77" t="s">
        <v>1725</v>
      </c>
      <c r="B1045" s="77" t="s">
        <v>1726</v>
      </c>
      <c r="G1045" s="77" t="s">
        <v>1566</v>
      </c>
      <c r="H1045" s="77" t="s">
        <v>77</v>
      </c>
      <c r="I1045" s="77" t="s">
        <v>1521</v>
      </c>
      <c r="J1045" s="77" t="s">
        <v>79</v>
      </c>
      <c r="K1045" s="77" t="s">
        <v>1522</v>
      </c>
      <c r="L1045" s="77" t="s">
        <v>1724</v>
      </c>
      <c r="M1045" s="77" t="s">
        <v>82</v>
      </c>
      <c r="N1045" s="77" t="s">
        <v>83</v>
      </c>
      <c r="Q1045" s="77" t="s">
        <v>111</v>
      </c>
      <c r="T1045" s="77" t="s">
        <v>1666</v>
      </c>
      <c r="U1045" s="77" t="s">
        <v>85</v>
      </c>
      <c r="V1045" s="80" t="s">
        <v>99</v>
      </c>
      <c r="X1045" s="77" t="s">
        <v>100</v>
      </c>
      <c r="Y1045" s="78" t="s">
        <v>101</v>
      </c>
      <c r="AA1045" s="77" t="s">
        <v>1568</v>
      </c>
      <c r="AB1045" s="77" t="s">
        <v>1521</v>
      </c>
      <c r="AC1045" s="77" t="s">
        <v>90</v>
      </c>
      <c r="AD1045" s="77" t="s">
        <v>102</v>
      </c>
      <c r="AE1045" s="77" t="s">
        <v>1569</v>
      </c>
    </row>
    <row r="1046" spans="1:31" x14ac:dyDescent="0.3">
      <c r="A1046" s="77" t="s">
        <v>1727</v>
      </c>
      <c r="B1046" s="77" t="s">
        <v>1728</v>
      </c>
      <c r="G1046" s="77" t="s">
        <v>1566</v>
      </c>
      <c r="H1046" s="77" t="s">
        <v>77</v>
      </c>
      <c r="I1046" s="77" t="s">
        <v>1521</v>
      </c>
      <c r="J1046" s="77" t="s">
        <v>79</v>
      </c>
      <c r="K1046" s="77" t="s">
        <v>1522</v>
      </c>
      <c r="L1046" s="77" t="s">
        <v>1729</v>
      </c>
      <c r="M1046" s="77" t="s">
        <v>82</v>
      </c>
      <c r="N1046" s="77" t="s">
        <v>83</v>
      </c>
      <c r="Q1046" s="77" t="s">
        <v>111</v>
      </c>
      <c r="T1046" s="77" t="s">
        <v>1666</v>
      </c>
      <c r="U1046" s="77" t="s">
        <v>85</v>
      </c>
      <c r="V1046" s="80" t="s">
        <v>105</v>
      </c>
      <c r="X1046" s="77" t="s">
        <v>106</v>
      </c>
      <c r="Y1046" s="78" t="s">
        <v>101</v>
      </c>
      <c r="AA1046" s="77" t="s">
        <v>1568</v>
      </c>
      <c r="AB1046" s="77" t="s">
        <v>1521</v>
      </c>
      <c r="AC1046" s="77" t="s">
        <v>90</v>
      </c>
      <c r="AD1046" s="77" t="s">
        <v>102</v>
      </c>
      <c r="AE1046" s="77" t="s">
        <v>1569</v>
      </c>
    </row>
    <row r="1047" spans="1:31" x14ac:dyDescent="0.3">
      <c r="A1047" s="77" t="s">
        <v>1730</v>
      </c>
      <c r="B1047" s="77" t="s">
        <v>1731</v>
      </c>
      <c r="G1047" s="77" t="s">
        <v>1566</v>
      </c>
      <c r="H1047" s="77" t="s">
        <v>77</v>
      </c>
      <c r="I1047" s="77" t="s">
        <v>1521</v>
      </c>
      <c r="J1047" s="77" t="s">
        <v>79</v>
      </c>
      <c r="K1047" s="77" t="s">
        <v>1522</v>
      </c>
      <c r="L1047" s="77" t="s">
        <v>1729</v>
      </c>
      <c r="M1047" s="77" t="s">
        <v>82</v>
      </c>
      <c r="N1047" s="77" t="s">
        <v>83</v>
      </c>
      <c r="Q1047" s="77" t="s">
        <v>111</v>
      </c>
      <c r="T1047" s="77" t="s">
        <v>1666</v>
      </c>
      <c r="U1047" s="77" t="s">
        <v>85</v>
      </c>
      <c r="V1047" s="80" t="s">
        <v>105</v>
      </c>
      <c r="X1047" s="77" t="s">
        <v>106</v>
      </c>
      <c r="Y1047" s="78" t="s">
        <v>101</v>
      </c>
      <c r="AA1047" s="77" t="s">
        <v>1568</v>
      </c>
      <c r="AB1047" s="77" t="s">
        <v>1521</v>
      </c>
      <c r="AC1047" s="77" t="s">
        <v>90</v>
      </c>
      <c r="AD1047" s="77" t="s">
        <v>102</v>
      </c>
      <c r="AE1047" s="77" t="s">
        <v>1569</v>
      </c>
    </row>
    <row r="1048" spans="1:31" x14ac:dyDescent="0.3">
      <c r="A1048" s="77" t="s">
        <v>1732</v>
      </c>
      <c r="B1048" s="77" t="s">
        <v>1733</v>
      </c>
      <c r="G1048" s="77" t="s">
        <v>1566</v>
      </c>
      <c r="H1048" s="77" t="s">
        <v>77</v>
      </c>
      <c r="I1048" s="77" t="s">
        <v>1521</v>
      </c>
      <c r="J1048" s="77" t="s">
        <v>79</v>
      </c>
      <c r="K1048" s="77" t="s">
        <v>1522</v>
      </c>
      <c r="L1048" s="77" t="s">
        <v>1734</v>
      </c>
      <c r="M1048" s="77" t="s">
        <v>82</v>
      </c>
      <c r="N1048" s="77" t="s">
        <v>83</v>
      </c>
      <c r="Q1048" s="77" t="s">
        <v>111</v>
      </c>
      <c r="T1048" s="77" t="s">
        <v>1666</v>
      </c>
      <c r="U1048" s="77" t="s">
        <v>85</v>
      </c>
      <c r="V1048" s="80" t="s">
        <v>231</v>
      </c>
      <c r="X1048" s="77" t="s">
        <v>232</v>
      </c>
      <c r="Y1048" s="78" t="s">
        <v>88</v>
      </c>
      <c r="AA1048" s="77" t="s">
        <v>1568</v>
      </c>
      <c r="AB1048" s="77" t="s">
        <v>1521</v>
      </c>
      <c r="AC1048" s="77" t="s">
        <v>90</v>
      </c>
      <c r="AD1048" s="77" t="s">
        <v>91</v>
      </c>
      <c r="AE1048" s="77" t="s">
        <v>1569</v>
      </c>
    </row>
    <row r="1049" spans="1:31" x14ac:dyDescent="0.3">
      <c r="A1049" s="77" t="s">
        <v>1735</v>
      </c>
      <c r="B1049" s="77" t="s">
        <v>1736</v>
      </c>
      <c r="G1049" s="77" t="s">
        <v>1566</v>
      </c>
      <c r="H1049" s="77" t="s">
        <v>77</v>
      </c>
      <c r="I1049" s="77" t="s">
        <v>1521</v>
      </c>
      <c r="J1049" s="77" t="s">
        <v>79</v>
      </c>
      <c r="K1049" s="77" t="s">
        <v>1522</v>
      </c>
      <c r="L1049" s="77" t="s">
        <v>1734</v>
      </c>
      <c r="M1049" s="77" t="s">
        <v>82</v>
      </c>
      <c r="N1049" s="77" t="s">
        <v>83</v>
      </c>
      <c r="Q1049" s="77" t="s">
        <v>111</v>
      </c>
      <c r="T1049" s="77" t="s">
        <v>1666</v>
      </c>
      <c r="U1049" s="77" t="s">
        <v>85</v>
      </c>
      <c r="V1049" s="80" t="s">
        <v>231</v>
      </c>
      <c r="X1049" s="77" t="s">
        <v>232</v>
      </c>
      <c r="Y1049" s="78" t="s">
        <v>88</v>
      </c>
      <c r="AA1049" s="77" t="s">
        <v>1568</v>
      </c>
      <c r="AB1049" s="77" t="s">
        <v>1521</v>
      </c>
      <c r="AC1049" s="77" t="s">
        <v>90</v>
      </c>
      <c r="AD1049" s="77" t="s">
        <v>91</v>
      </c>
      <c r="AE1049" s="77" t="s">
        <v>1569</v>
      </c>
    </row>
    <row r="1050" spans="1:31" x14ac:dyDescent="0.3">
      <c r="A1050" s="77" t="s">
        <v>1737</v>
      </c>
      <c r="B1050" s="77" t="s">
        <v>1738</v>
      </c>
      <c r="G1050" s="77" t="s">
        <v>1566</v>
      </c>
      <c r="H1050" s="77" t="s">
        <v>77</v>
      </c>
      <c r="I1050" s="77" t="s">
        <v>1521</v>
      </c>
      <c r="J1050" s="77" t="s">
        <v>79</v>
      </c>
      <c r="K1050" s="77" t="s">
        <v>1522</v>
      </c>
      <c r="L1050" s="77" t="s">
        <v>1734</v>
      </c>
      <c r="M1050" s="77" t="s">
        <v>82</v>
      </c>
      <c r="N1050" s="77" t="s">
        <v>83</v>
      </c>
      <c r="Q1050" s="77" t="s">
        <v>111</v>
      </c>
      <c r="T1050" s="77" t="s">
        <v>1666</v>
      </c>
      <c r="U1050" s="77" t="s">
        <v>85</v>
      </c>
      <c r="V1050" s="80" t="s">
        <v>231</v>
      </c>
      <c r="X1050" s="77" t="s">
        <v>232</v>
      </c>
      <c r="Y1050" s="78" t="s">
        <v>88</v>
      </c>
      <c r="AA1050" s="77" t="s">
        <v>1568</v>
      </c>
      <c r="AB1050" s="77" t="s">
        <v>1521</v>
      </c>
      <c r="AC1050" s="77" t="s">
        <v>90</v>
      </c>
      <c r="AD1050" s="77" t="s">
        <v>91</v>
      </c>
      <c r="AE1050" s="77" t="s">
        <v>1569</v>
      </c>
    </row>
    <row r="1051" spans="1:31" x14ac:dyDescent="0.3">
      <c r="A1051" s="77" t="s">
        <v>1739</v>
      </c>
      <c r="B1051" s="77" t="s">
        <v>1740</v>
      </c>
      <c r="G1051" s="77" t="s">
        <v>1566</v>
      </c>
      <c r="H1051" s="77" t="s">
        <v>77</v>
      </c>
      <c r="I1051" s="77" t="s">
        <v>1521</v>
      </c>
      <c r="J1051" s="77" t="s">
        <v>79</v>
      </c>
      <c r="K1051" s="77" t="s">
        <v>1522</v>
      </c>
      <c r="L1051" s="77" t="s">
        <v>1734</v>
      </c>
      <c r="M1051" s="77" t="s">
        <v>82</v>
      </c>
      <c r="N1051" s="77" t="s">
        <v>83</v>
      </c>
      <c r="Q1051" s="77" t="s">
        <v>111</v>
      </c>
      <c r="T1051" s="77" t="s">
        <v>1666</v>
      </c>
      <c r="U1051" s="77" t="s">
        <v>85</v>
      </c>
      <c r="V1051" s="80" t="s">
        <v>231</v>
      </c>
      <c r="X1051" s="77" t="s">
        <v>232</v>
      </c>
      <c r="Y1051" s="78" t="s">
        <v>88</v>
      </c>
      <c r="AA1051" s="77" t="s">
        <v>1568</v>
      </c>
      <c r="AB1051" s="77" t="s">
        <v>1521</v>
      </c>
      <c r="AC1051" s="77" t="s">
        <v>90</v>
      </c>
      <c r="AD1051" s="77" t="s">
        <v>91</v>
      </c>
      <c r="AE1051" s="77" t="s">
        <v>1569</v>
      </c>
    </row>
    <row r="1052" spans="1:31" x14ac:dyDescent="0.3">
      <c r="A1052" s="77" t="s">
        <v>1741</v>
      </c>
      <c r="B1052" s="77" t="s">
        <v>1742</v>
      </c>
      <c r="G1052" s="77" t="s">
        <v>1566</v>
      </c>
      <c r="H1052" s="77" t="s">
        <v>77</v>
      </c>
      <c r="I1052" s="77" t="s">
        <v>1521</v>
      </c>
      <c r="J1052" s="77" t="s">
        <v>79</v>
      </c>
      <c r="K1052" s="77" t="s">
        <v>1522</v>
      </c>
      <c r="L1052" s="77" t="s">
        <v>1581</v>
      </c>
      <c r="M1052" s="77" t="s">
        <v>82</v>
      </c>
      <c r="N1052" s="77" t="s">
        <v>83</v>
      </c>
      <c r="Q1052" s="77" t="s">
        <v>111</v>
      </c>
      <c r="T1052" s="77" t="s">
        <v>1666</v>
      </c>
      <c r="U1052" s="77" t="s">
        <v>85</v>
      </c>
      <c r="V1052" s="80" t="s">
        <v>231</v>
      </c>
      <c r="X1052" s="77" t="s">
        <v>232</v>
      </c>
      <c r="Y1052" s="78" t="s">
        <v>88</v>
      </c>
      <c r="AA1052" s="77" t="s">
        <v>1568</v>
      </c>
      <c r="AB1052" s="77" t="s">
        <v>1521</v>
      </c>
      <c r="AC1052" s="77" t="s">
        <v>90</v>
      </c>
      <c r="AD1052" s="77" t="s">
        <v>91</v>
      </c>
      <c r="AE1052" s="77" t="s">
        <v>1569</v>
      </c>
    </row>
    <row r="1053" spans="1:31" x14ac:dyDescent="0.3">
      <c r="A1053" s="77" t="s">
        <v>1743</v>
      </c>
      <c r="B1053" s="77" t="s">
        <v>1744</v>
      </c>
      <c r="G1053" s="77" t="s">
        <v>1566</v>
      </c>
      <c r="H1053" s="77" t="s">
        <v>77</v>
      </c>
      <c r="I1053" s="77" t="s">
        <v>1521</v>
      </c>
      <c r="J1053" s="77" t="s">
        <v>79</v>
      </c>
      <c r="K1053" s="77" t="s">
        <v>1522</v>
      </c>
      <c r="L1053" s="77" t="s">
        <v>1581</v>
      </c>
      <c r="M1053" s="77" t="s">
        <v>82</v>
      </c>
      <c r="N1053" s="77" t="s">
        <v>83</v>
      </c>
      <c r="Q1053" s="77" t="s">
        <v>111</v>
      </c>
      <c r="T1053" s="77" t="s">
        <v>1666</v>
      </c>
      <c r="U1053" s="77" t="s">
        <v>85</v>
      </c>
      <c r="V1053" s="80" t="s">
        <v>231</v>
      </c>
      <c r="X1053" s="77" t="s">
        <v>232</v>
      </c>
      <c r="Y1053" s="78" t="s">
        <v>88</v>
      </c>
      <c r="AA1053" s="77" t="s">
        <v>1568</v>
      </c>
      <c r="AB1053" s="77" t="s">
        <v>1521</v>
      </c>
      <c r="AC1053" s="77" t="s">
        <v>90</v>
      </c>
      <c r="AD1053" s="77" t="s">
        <v>91</v>
      </c>
      <c r="AE1053" s="77" t="s">
        <v>1569</v>
      </c>
    </row>
    <row r="1054" spans="1:31" x14ac:dyDescent="0.3">
      <c r="A1054" s="77" t="s">
        <v>1745</v>
      </c>
      <c r="B1054" s="77" t="s">
        <v>1746</v>
      </c>
      <c r="G1054" s="77" t="s">
        <v>1566</v>
      </c>
      <c r="H1054" s="77" t="s">
        <v>77</v>
      </c>
      <c r="I1054" s="77" t="s">
        <v>1521</v>
      </c>
      <c r="J1054" s="77" t="s">
        <v>79</v>
      </c>
      <c r="K1054" s="77" t="s">
        <v>1522</v>
      </c>
      <c r="L1054" s="77" t="s">
        <v>1747</v>
      </c>
      <c r="M1054" s="77" t="s">
        <v>82</v>
      </c>
      <c r="N1054" s="77" t="s">
        <v>83</v>
      </c>
      <c r="Q1054" s="77" t="s">
        <v>111</v>
      </c>
      <c r="T1054" s="77" t="s">
        <v>1666</v>
      </c>
      <c r="U1054" s="77" t="s">
        <v>85</v>
      </c>
      <c r="V1054" s="80" t="s">
        <v>86</v>
      </c>
      <c r="X1054" s="77" t="s">
        <v>87</v>
      </c>
      <c r="Y1054" s="78" t="s">
        <v>88</v>
      </c>
      <c r="AA1054" s="77" t="s">
        <v>1568</v>
      </c>
      <c r="AB1054" s="77" t="s">
        <v>1521</v>
      </c>
      <c r="AC1054" s="77" t="s">
        <v>90</v>
      </c>
      <c r="AD1054" s="77" t="s">
        <v>91</v>
      </c>
      <c r="AE1054" s="77" t="s">
        <v>1569</v>
      </c>
    </row>
    <row r="1055" spans="1:31" x14ac:dyDescent="0.3">
      <c r="A1055" s="77" t="s">
        <v>1748</v>
      </c>
      <c r="B1055" s="77" t="s">
        <v>1749</v>
      </c>
      <c r="G1055" s="77" t="s">
        <v>1566</v>
      </c>
      <c r="H1055" s="77" t="s">
        <v>77</v>
      </c>
      <c r="I1055" s="77" t="s">
        <v>1521</v>
      </c>
      <c r="J1055" s="77" t="s">
        <v>79</v>
      </c>
      <c r="K1055" s="77" t="s">
        <v>1522</v>
      </c>
      <c r="L1055" s="77" t="s">
        <v>1750</v>
      </c>
      <c r="M1055" s="77" t="s">
        <v>82</v>
      </c>
      <c r="N1055" s="77" t="s">
        <v>83</v>
      </c>
      <c r="Q1055" s="77" t="s">
        <v>111</v>
      </c>
      <c r="T1055" s="77" t="s">
        <v>1666</v>
      </c>
      <c r="U1055" s="77" t="s">
        <v>85</v>
      </c>
      <c r="V1055" s="80" t="s">
        <v>95</v>
      </c>
      <c r="X1055" s="77" t="s">
        <v>96</v>
      </c>
      <c r="Y1055" s="78" t="s">
        <v>88</v>
      </c>
      <c r="AA1055" s="77" t="s">
        <v>1568</v>
      </c>
      <c r="AB1055" s="77" t="s">
        <v>1521</v>
      </c>
      <c r="AC1055" s="77" t="s">
        <v>90</v>
      </c>
      <c r="AD1055" s="77" t="s">
        <v>91</v>
      </c>
      <c r="AE1055" s="77" t="s">
        <v>1569</v>
      </c>
    </row>
    <row r="1056" spans="1:31" x14ac:dyDescent="0.3">
      <c r="A1056" s="77" t="s">
        <v>1751</v>
      </c>
      <c r="B1056" s="77" t="s">
        <v>1752</v>
      </c>
      <c r="G1056" s="77" t="s">
        <v>1566</v>
      </c>
      <c r="H1056" s="77" t="s">
        <v>77</v>
      </c>
      <c r="I1056" s="77" t="s">
        <v>1521</v>
      </c>
      <c r="J1056" s="77" t="s">
        <v>79</v>
      </c>
      <c r="K1056" s="77" t="s">
        <v>1522</v>
      </c>
      <c r="L1056" s="77" t="s">
        <v>1753</v>
      </c>
      <c r="M1056" s="77" t="s">
        <v>82</v>
      </c>
      <c r="N1056" s="77" t="s">
        <v>83</v>
      </c>
      <c r="Q1056" s="77" t="s">
        <v>111</v>
      </c>
      <c r="T1056" s="77" t="s">
        <v>1666</v>
      </c>
      <c r="U1056" s="77" t="s">
        <v>85</v>
      </c>
      <c r="V1056" s="80" t="s">
        <v>99</v>
      </c>
      <c r="X1056" s="77" t="s">
        <v>100</v>
      </c>
      <c r="Y1056" s="78" t="s">
        <v>101</v>
      </c>
      <c r="AA1056" s="77" t="s">
        <v>1568</v>
      </c>
      <c r="AB1056" s="77" t="s">
        <v>1521</v>
      </c>
      <c r="AC1056" s="77" t="s">
        <v>90</v>
      </c>
      <c r="AD1056" s="77" t="s">
        <v>102</v>
      </c>
      <c r="AE1056" s="77" t="s">
        <v>1569</v>
      </c>
    </row>
    <row r="1057" spans="1:31" x14ac:dyDescent="0.3">
      <c r="A1057" s="77" t="s">
        <v>1754</v>
      </c>
      <c r="B1057" s="77" t="s">
        <v>1755</v>
      </c>
      <c r="G1057" s="77" t="s">
        <v>1566</v>
      </c>
      <c r="H1057" s="77" t="s">
        <v>77</v>
      </c>
      <c r="I1057" s="77" t="s">
        <v>1521</v>
      </c>
      <c r="J1057" s="77" t="s">
        <v>79</v>
      </c>
      <c r="K1057" s="77" t="s">
        <v>1522</v>
      </c>
      <c r="L1057" s="77" t="s">
        <v>1756</v>
      </c>
      <c r="M1057" s="77" t="s">
        <v>82</v>
      </c>
      <c r="N1057" s="77" t="s">
        <v>83</v>
      </c>
      <c r="Q1057" s="77" t="s">
        <v>111</v>
      </c>
      <c r="T1057" s="77" t="s">
        <v>1666</v>
      </c>
      <c r="U1057" s="77" t="s">
        <v>85</v>
      </c>
      <c r="V1057" s="80" t="s">
        <v>105</v>
      </c>
      <c r="X1057" s="77" t="s">
        <v>106</v>
      </c>
      <c r="Y1057" s="78" t="s">
        <v>101</v>
      </c>
      <c r="AA1057" s="77" t="s">
        <v>1568</v>
      </c>
      <c r="AB1057" s="77" t="s">
        <v>1521</v>
      </c>
      <c r="AC1057" s="77" t="s">
        <v>90</v>
      </c>
      <c r="AD1057" s="77" t="s">
        <v>102</v>
      </c>
      <c r="AE1057" s="77" t="s">
        <v>1569</v>
      </c>
    </row>
    <row r="1058" spans="1:31" x14ac:dyDescent="0.3">
      <c r="A1058" s="77" t="s">
        <v>1757</v>
      </c>
      <c r="B1058" s="77" t="s">
        <v>1758</v>
      </c>
      <c r="G1058" s="77" t="s">
        <v>1566</v>
      </c>
      <c r="H1058" s="77" t="s">
        <v>77</v>
      </c>
      <c r="I1058" s="77" t="s">
        <v>1521</v>
      </c>
      <c r="J1058" s="77" t="s">
        <v>79</v>
      </c>
      <c r="K1058" s="77" t="s">
        <v>1522</v>
      </c>
      <c r="L1058" s="77" t="s">
        <v>1759</v>
      </c>
      <c r="M1058" s="77" t="s">
        <v>82</v>
      </c>
      <c r="N1058" s="77" t="s">
        <v>83</v>
      </c>
      <c r="Q1058" s="77" t="s">
        <v>111</v>
      </c>
      <c r="T1058" s="77" t="s">
        <v>1666</v>
      </c>
      <c r="U1058" s="77" t="s">
        <v>85</v>
      </c>
      <c r="V1058" s="80" t="s">
        <v>86</v>
      </c>
      <c r="X1058" s="77" t="s">
        <v>87</v>
      </c>
      <c r="Y1058" s="78" t="s">
        <v>88</v>
      </c>
      <c r="AA1058" s="77" t="s">
        <v>1568</v>
      </c>
      <c r="AB1058" s="77" t="s">
        <v>1521</v>
      </c>
      <c r="AC1058" s="77" t="s">
        <v>90</v>
      </c>
      <c r="AD1058" s="77" t="s">
        <v>91</v>
      </c>
      <c r="AE1058" s="77" t="s">
        <v>1569</v>
      </c>
    </row>
    <row r="1059" spans="1:31" x14ac:dyDescent="0.3">
      <c r="A1059" s="77" t="s">
        <v>1760</v>
      </c>
      <c r="B1059" s="77" t="s">
        <v>1761</v>
      </c>
      <c r="G1059" s="77" t="s">
        <v>1566</v>
      </c>
      <c r="H1059" s="77" t="s">
        <v>77</v>
      </c>
      <c r="I1059" s="77" t="s">
        <v>1521</v>
      </c>
      <c r="J1059" s="77" t="s">
        <v>79</v>
      </c>
      <c r="K1059" s="77" t="s">
        <v>1522</v>
      </c>
      <c r="L1059" s="77" t="s">
        <v>1759</v>
      </c>
      <c r="M1059" s="77" t="s">
        <v>82</v>
      </c>
      <c r="N1059" s="77" t="s">
        <v>83</v>
      </c>
      <c r="Q1059" s="77" t="s">
        <v>111</v>
      </c>
      <c r="T1059" s="77" t="s">
        <v>1666</v>
      </c>
      <c r="U1059" s="77" t="s">
        <v>85</v>
      </c>
      <c r="V1059" s="80" t="s">
        <v>86</v>
      </c>
      <c r="X1059" s="77" t="s">
        <v>87</v>
      </c>
      <c r="Y1059" s="78" t="s">
        <v>88</v>
      </c>
      <c r="AA1059" s="77" t="s">
        <v>1568</v>
      </c>
      <c r="AB1059" s="77" t="s">
        <v>1521</v>
      </c>
      <c r="AC1059" s="77" t="s">
        <v>90</v>
      </c>
      <c r="AD1059" s="77" t="s">
        <v>91</v>
      </c>
      <c r="AE1059" s="77" t="s">
        <v>1569</v>
      </c>
    </row>
    <row r="1060" spans="1:31" x14ac:dyDescent="0.3">
      <c r="A1060" s="77" t="s">
        <v>1762</v>
      </c>
      <c r="B1060" s="77" t="s">
        <v>1763</v>
      </c>
      <c r="G1060" s="77" t="s">
        <v>1566</v>
      </c>
      <c r="H1060" s="77" t="s">
        <v>77</v>
      </c>
      <c r="I1060" s="77" t="s">
        <v>1521</v>
      </c>
      <c r="J1060" s="77" t="s">
        <v>79</v>
      </c>
      <c r="K1060" s="77" t="s">
        <v>1522</v>
      </c>
      <c r="L1060" s="77" t="s">
        <v>1764</v>
      </c>
      <c r="M1060" s="77" t="s">
        <v>82</v>
      </c>
      <c r="N1060" s="77" t="s">
        <v>83</v>
      </c>
      <c r="Q1060" s="77" t="s">
        <v>111</v>
      </c>
      <c r="T1060" s="77" t="s">
        <v>1666</v>
      </c>
      <c r="U1060" s="77" t="s">
        <v>85</v>
      </c>
      <c r="V1060" s="80" t="s">
        <v>95</v>
      </c>
      <c r="X1060" s="77" t="s">
        <v>96</v>
      </c>
      <c r="Y1060" s="78" t="s">
        <v>88</v>
      </c>
      <c r="AA1060" s="77" t="s">
        <v>1568</v>
      </c>
      <c r="AB1060" s="77" t="s">
        <v>1521</v>
      </c>
      <c r="AC1060" s="77" t="s">
        <v>90</v>
      </c>
      <c r="AD1060" s="77" t="s">
        <v>91</v>
      </c>
      <c r="AE1060" s="77" t="s">
        <v>1569</v>
      </c>
    </row>
    <row r="1061" spans="1:31" x14ac:dyDescent="0.3">
      <c r="A1061" s="77" t="s">
        <v>1765</v>
      </c>
      <c r="B1061" s="77" t="s">
        <v>1766</v>
      </c>
      <c r="G1061" s="77" t="s">
        <v>1566</v>
      </c>
      <c r="H1061" s="77" t="s">
        <v>77</v>
      </c>
      <c r="I1061" s="77" t="s">
        <v>1521</v>
      </c>
      <c r="J1061" s="77" t="s">
        <v>79</v>
      </c>
      <c r="K1061" s="77" t="s">
        <v>1522</v>
      </c>
      <c r="L1061" s="77" t="s">
        <v>1764</v>
      </c>
      <c r="M1061" s="77" t="s">
        <v>82</v>
      </c>
      <c r="N1061" s="77" t="s">
        <v>83</v>
      </c>
      <c r="Q1061" s="77" t="s">
        <v>111</v>
      </c>
      <c r="T1061" s="77" t="s">
        <v>1666</v>
      </c>
      <c r="U1061" s="77" t="s">
        <v>85</v>
      </c>
      <c r="V1061" s="80" t="s">
        <v>95</v>
      </c>
      <c r="X1061" s="77" t="s">
        <v>96</v>
      </c>
      <c r="Y1061" s="78" t="s">
        <v>88</v>
      </c>
      <c r="AA1061" s="77" t="s">
        <v>1568</v>
      </c>
      <c r="AB1061" s="77" t="s">
        <v>1521</v>
      </c>
      <c r="AC1061" s="77" t="s">
        <v>90</v>
      </c>
      <c r="AD1061" s="77" t="s">
        <v>91</v>
      </c>
      <c r="AE1061" s="77" t="s">
        <v>1569</v>
      </c>
    </row>
    <row r="1062" spans="1:31" x14ac:dyDescent="0.3">
      <c r="A1062" s="77" t="s">
        <v>1767</v>
      </c>
      <c r="B1062" s="77" t="s">
        <v>1768</v>
      </c>
      <c r="G1062" s="77" t="s">
        <v>1566</v>
      </c>
      <c r="H1062" s="77" t="s">
        <v>77</v>
      </c>
      <c r="I1062" s="77" t="s">
        <v>1521</v>
      </c>
      <c r="J1062" s="77" t="s">
        <v>79</v>
      </c>
      <c r="K1062" s="77" t="s">
        <v>1522</v>
      </c>
      <c r="L1062" s="77" t="s">
        <v>1769</v>
      </c>
      <c r="M1062" s="77" t="s">
        <v>82</v>
      </c>
      <c r="N1062" s="77" t="s">
        <v>83</v>
      </c>
      <c r="Q1062" s="77" t="s">
        <v>111</v>
      </c>
      <c r="T1062" s="77" t="s">
        <v>1666</v>
      </c>
      <c r="U1062" s="77" t="s">
        <v>85</v>
      </c>
      <c r="V1062" s="80" t="s">
        <v>99</v>
      </c>
      <c r="X1062" s="77" t="s">
        <v>100</v>
      </c>
      <c r="Y1062" s="78" t="s">
        <v>101</v>
      </c>
      <c r="AA1062" s="77" t="s">
        <v>1568</v>
      </c>
      <c r="AB1062" s="77" t="s">
        <v>1521</v>
      </c>
      <c r="AC1062" s="77" t="s">
        <v>90</v>
      </c>
      <c r="AD1062" s="77" t="s">
        <v>102</v>
      </c>
      <c r="AE1062" s="77" t="s">
        <v>1569</v>
      </c>
    </row>
    <row r="1063" spans="1:31" x14ac:dyDescent="0.3">
      <c r="A1063" s="77" t="s">
        <v>1770</v>
      </c>
      <c r="B1063" s="77" t="s">
        <v>1771</v>
      </c>
      <c r="G1063" s="77" t="s">
        <v>1566</v>
      </c>
      <c r="H1063" s="77" t="s">
        <v>77</v>
      </c>
      <c r="I1063" s="77" t="s">
        <v>1521</v>
      </c>
      <c r="J1063" s="77" t="s">
        <v>79</v>
      </c>
      <c r="K1063" s="77" t="s">
        <v>1522</v>
      </c>
      <c r="L1063" s="77" t="s">
        <v>1769</v>
      </c>
      <c r="M1063" s="77" t="s">
        <v>82</v>
      </c>
      <c r="N1063" s="77" t="s">
        <v>83</v>
      </c>
      <c r="Q1063" s="77" t="s">
        <v>111</v>
      </c>
      <c r="T1063" s="77" t="s">
        <v>1666</v>
      </c>
      <c r="U1063" s="77" t="s">
        <v>85</v>
      </c>
      <c r="V1063" s="80" t="s">
        <v>99</v>
      </c>
      <c r="X1063" s="77" t="s">
        <v>100</v>
      </c>
      <c r="Y1063" s="78" t="s">
        <v>101</v>
      </c>
      <c r="AA1063" s="77" t="s">
        <v>1568</v>
      </c>
      <c r="AB1063" s="77" t="s">
        <v>1521</v>
      </c>
      <c r="AC1063" s="77" t="s">
        <v>90</v>
      </c>
      <c r="AD1063" s="77" t="s">
        <v>102</v>
      </c>
      <c r="AE1063" s="77" t="s">
        <v>1569</v>
      </c>
    </row>
    <row r="1064" spans="1:31" x14ac:dyDescent="0.3">
      <c r="A1064" s="77" t="s">
        <v>1772</v>
      </c>
      <c r="B1064" s="77" t="s">
        <v>1773</v>
      </c>
      <c r="G1064" s="77" t="s">
        <v>1566</v>
      </c>
      <c r="H1064" s="77" t="s">
        <v>77</v>
      </c>
      <c r="I1064" s="77" t="s">
        <v>1521</v>
      </c>
      <c r="J1064" s="77" t="s">
        <v>79</v>
      </c>
      <c r="K1064" s="77" t="s">
        <v>1522</v>
      </c>
      <c r="L1064" s="77" t="s">
        <v>1774</v>
      </c>
      <c r="M1064" s="77" t="s">
        <v>82</v>
      </c>
      <c r="N1064" s="77" t="s">
        <v>83</v>
      </c>
      <c r="Q1064" s="77" t="s">
        <v>111</v>
      </c>
      <c r="T1064" s="77" t="s">
        <v>1666</v>
      </c>
      <c r="U1064" s="77" t="s">
        <v>85</v>
      </c>
      <c r="V1064" s="80" t="s">
        <v>105</v>
      </c>
      <c r="X1064" s="77" t="s">
        <v>106</v>
      </c>
      <c r="Y1064" s="78" t="s">
        <v>101</v>
      </c>
      <c r="AA1064" s="77" t="s">
        <v>1568</v>
      </c>
      <c r="AB1064" s="77" t="s">
        <v>1521</v>
      </c>
      <c r="AC1064" s="77" t="s">
        <v>90</v>
      </c>
      <c r="AD1064" s="77" t="s">
        <v>102</v>
      </c>
      <c r="AE1064" s="77" t="s">
        <v>1569</v>
      </c>
    </row>
    <row r="1065" spans="1:31" x14ac:dyDescent="0.3">
      <c r="A1065" s="77" t="s">
        <v>1775</v>
      </c>
      <c r="B1065" s="77" t="s">
        <v>1776</v>
      </c>
      <c r="G1065" s="77" t="s">
        <v>1566</v>
      </c>
      <c r="H1065" s="77" t="s">
        <v>77</v>
      </c>
      <c r="I1065" s="77" t="s">
        <v>1521</v>
      </c>
      <c r="J1065" s="77" t="s">
        <v>79</v>
      </c>
      <c r="K1065" s="77" t="s">
        <v>1522</v>
      </c>
      <c r="L1065" s="77" t="s">
        <v>1774</v>
      </c>
      <c r="M1065" s="77" t="s">
        <v>82</v>
      </c>
      <c r="N1065" s="77" t="s">
        <v>83</v>
      </c>
      <c r="Q1065" s="77" t="s">
        <v>111</v>
      </c>
      <c r="T1065" s="77" t="s">
        <v>1666</v>
      </c>
      <c r="U1065" s="77" t="s">
        <v>85</v>
      </c>
      <c r="V1065" s="80" t="s">
        <v>105</v>
      </c>
      <c r="X1065" s="77" t="s">
        <v>106</v>
      </c>
      <c r="Y1065" s="78" t="s">
        <v>101</v>
      </c>
      <c r="AA1065" s="77" t="s">
        <v>1568</v>
      </c>
      <c r="AB1065" s="77" t="s">
        <v>1521</v>
      </c>
      <c r="AC1065" s="77" t="s">
        <v>90</v>
      </c>
      <c r="AD1065" s="77" t="s">
        <v>102</v>
      </c>
      <c r="AE1065" s="77" t="s">
        <v>1569</v>
      </c>
    </row>
    <row r="1066" spans="1:31" x14ac:dyDescent="0.3">
      <c r="A1066" s="77" t="s">
        <v>1777</v>
      </c>
      <c r="B1066" s="77" t="s">
        <v>1778</v>
      </c>
      <c r="G1066" s="77" t="s">
        <v>1566</v>
      </c>
      <c r="H1066" s="77" t="s">
        <v>77</v>
      </c>
      <c r="I1066" s="77" t="s">
        <v>1521</v>
      </c>
      <c r="J1066" s="77" t="s">
        <v>79</v>
      </c>
      <c r="K1066" s="77" t="s">
        <v>1522</v>
      </c>
      <c r="L1066" s="77" t="s">
        <v>1779</v>
      </c>
      <c r="M1066" s="77" t="s">
        <v>82</v>
      </c>
      <c r="N1066" s="77" t="s">
        <v>83</v>
      </c>
      <c r="Q1066" s="77" t="s">
        <v>111</v>
      </c>
      <c r="T1066" s="77" t="s">
        <v>1666</v>
      </c>
      <c r="U1066" s="77" t="s">
        <v>85</v>
      </c>
      <c r="V1066" s="80" t="s">
        <v>657</v>
      </c>
      <c r="X1066" s="77" t="s">
        <v>658</v>
      </c>
      <c r="Y1066" s="78" t="s">
        <v>88</v>
      </c>
      <c r="AA1066" s="77" t="s">
        <v>1568</v>
      </c>
      <c r="AB1066" s="77" t="s">
        <v>1521</v>
      </c>
      <c r="AC1066" s="77" t="s">
        <v>90</v>
      </c>
      <c r="AD1066" s="77" t="s">
        <v>91</v>
      </c>
      <c r="AE1066" s="77" t="s">
        <v>1569</v>
      </c>
    </row>
    <row r="1067" spans="1:31" x14ac:dyDescent="0.3">
      <c r="A1067" s="77" t="s">
        <v>1780</v>
      </c>
      <c r="B1067" s="77" t="s">
        <v>1781</v>
      </c>
      <c r="G1067" s="77" t="s">
        <v>1566</v>
      </c>
      <c r="H1067" s="77" t="s">
        <v>77</v>
      </c>
      <c r="I1067" s="77" t="s">
        <v>1521</v>
      </c>
      <c r="J1067" s="77" t="s">
        <v>79</v>
      </c>
      <c r="K1067" s="77" t="s">
        <v>1522</v>
      </c>
      <c r="L1067" s="77" t="s">
        <v>992</v>
      </c>
      <c r="M1067" s="77" t="s">
        <v>82</v>
      </c>
      <c r="N1067" s="77" t="s">
        <v>83</v>
      </c>
      <c r="Q1067" s="77" t="s">
        <v>111</v>
      </c>
      <c r="T1067" s="77" t="s">
        <v>1666</v>
      </c>
      <c r="U1067" s="77" t="s">
        <v>85</v>
      </c>
      <c r="V1067" s="80" t="s">
        <v>189</v>
      </c>
      <c r="X1067" s="77" t="s">
        <v>190</v>
      </c>
      <c r="Y1067" s="78" t="s">
        <v>88</v>
      </c>
      <c r="AA1067" s="77" t="s">
        <v>1568</v>
      </c>
      <c r="AB1067" s="77" t="s">
        <v>1521</v>
      </c>
      <c r="AC1067" s="77" t="s">
        <v>90</v>
      </c>
      <c r="AD1067" s="77" t="s">
        <v>91</v>
      </c>
      <c r="AE1067" s="77" t="s">
        <v>1569</v>
      </c>
    </row>
    <row r="1068" spans="1:31" x14ac:dyDescent="0.3">
      <c r="A1068" s="77" t="s">
        <v>1782</v>
      </c>
      <c r="B1068" s="77" t="s">
        <v>1783</v>
      </c>
      <c r="G1068" s="77" t="s">
        <v>1566</v>
      </c>
      <c r="H1068" s="77" t="s">
        <v>77</v>
      </c>
      <c r="I1068" s="77" t="s">
        <v>1521</v>
      </c>
      <c r="J1068" s="77" t="s">
        <v>79</v>
      </c>
      <c r="K1068" s="77" t="s">
        <v>1522</v>
      </c>
      <c r="L1068" s="77" t="s">
        <v>992</v>
      </c>
      <c r="M1068" s="77" t="s">
        <v>82</v>
      </c>
      <c r="N1068" s="77" t="s">
        <v>83</v>
      </c>
      <c r="Q1068" s="77" t="s">
        <v>111</v>
      </c>
      <c r="T1068" s="77" t="s">
        <v>1666</v>
      </c>
      <c r="U1068" s="77" t="s">
        <v>85</v>
      </c>
      <c r="V1068" s="80" t="s">
        <v>189</v>
      </c>
      <c r="X1068" s="77" t="s">
        <v>190</v>
      </c>
      <c r="Y1068" s="78" t="s">
        <v>88</v>
      </c>
      <c r="AA1068" s="77" t="s">
        <v>1568</v>
      </c>
      <c r="AB1068" s="77" t="s">
        <v>1521</v>
      </c>
      <c r="AC1068" s="77" t="s">
        <v>90</v>
      </c>
      <c r="AD1068" s="77" t="s">
        <v>91</v>
      </c>
      <c r="AE1068" s="77" t="s">
        <v>1569</v>
      </c>
    </row>
    <row r="1069" spans="1:31" x14ac:dyDescent="0.3">
      <c r="A1069" s="77" t="s">
        <v>1784</v>
      </c>
      <c r="B1069" s="77" t="s">
        <v>1785</v>
      </c>
      <c r="G1069" s="77" t="s">
        <v>1566</v>
      </c>
      <c r="H1069" s="77" t="s">
        <v>77</v>
      </c>
      <c r="I1069" s="77" t="s">
        <v>1521</v>
      </c>
      <c r="J1069" s="77" t="s">
        <v>79</v>
      </c>
      <c r="K1069" s="77" t="s">
        <v>1522</v>
      </c>
      <c r="L1069" s="77" t="s">
        <v>992</v>
      </c>
      <c r="M1069" s="77" t="s">
        <v>82</v>
      </c>
      <c r="N1069" s="77" t="s">
        <v>83</v>
      </c>
      <c r="Q1069" s="77" t="s">
        <v>111</v>
      </c>
      <c r="T1069" s="77" t="s">
        <v>1666</v>
      </c>
      <c r="U1069" s="77" t="s">
        <v>85</v>
      </c>
      <c r="V1069" s="80" t="s">
        <v>189</v>
      </c>
      <c r="X1069" s="77" t="s">
        <v>190</v>
      </c>
      <c r="Y1069" s="78" t="s">
        <v>88</v>
      </c>
      <c r="AA1069" s="77" t="s">
        <v>1568</v>
      </c>
      <c r="AB1069" s="77" t="s">
        <v>1521</v>
      </c>
      <c r="AC1069" s="77" t="s">
        <v>90</v>
      </c>
      <c r="AD1069" s="77" t="s">
        <v>91</v>
      </c>
      <c r="AE1069" s="77" t="s">
        <v>1569</v>
      </c>
    </row>
    <row r="1070" spans="1:31" x14ac:dyDescent="0.3">
      <c r="A1070" s="77" t="s">
        <v>1786</v>
      </c>
      <c r="B1070" s="77" t="s">
        <v>1787</v>
      </c>
      <c r="G1070" s="77" t="s">
        <v>1566</v>
      </c>
      <c r="H1070" s="77" t="s">
        <v>77</v>
      </c>
      <c r="I1070" s="77" t="s">
        <v>1521</v>
      </c>
      <c r="J1070" s="77" t="s">
        <v>79</v>
      </c>
      <c r="K1070" s="77" t="s">
        <v>1522</v>
      </c>
      <c r="L1070" s="77" t="s">
        <v>992</v>
      </c>
      <c r="M1070" s="77" t="s">
        <v>82</v>
      </c>
      <c r="N1070" s="77" t="s">
        <v>83</v>
      </c>
      <c r="Q1070" s="77" t="s">
        <v>111</v>
      </c>
      <c r="T1070" s="77" t="s">
        <v>1666</v>
      </c>
      <c r="U1070" s="77" t="s">
        <v>85</v>
      </c>
      <c r="V1070" s="80" t="s">
        <v>189</v>
      </c>
      <c r="X1070" s="77" t="s">
        <v>190</v>
      </c>
      <c r="Y1070" s="78" t="s">
        <v>88</v>
      </c>
      <c r="AA1070" s="77" t="s">
        <v>1568</v>
      </c>
      <c r="AB1070" s="77" t="s">
        <v>1521</v>
      </c>
      <c r="AC1070" s="77" t="s">
        <v>90</v>
      </c>
      <c r="AD1070" s="77" t="s">
        <v>91</v>
      </c>
      <c r="AE1070" s="77" t="s">
        <v>1569</v>
      </c>
    </row>
    <row r="1071" spans="1:31" x14ac:dyDescent="0.3">
      <c r="A1071" s="77" t="s">
        <v>1788</v>
      </c>
      <c r="B1071" s="77" t="s">
        <v>1789</v>
      </c>
      <c r="G1071" s="77" t="s">
        <v>1566</v>
      </c>
      <c r="H1071" s="77" t="s">
        <v>77</v>
      </c>
      <c r="I1071" s="77" t="s">
        <v>1521</v>
      </c>
      <c r="J1071" s="77" t="s">
        <v>79</v>
      </c>
      <c r="K1071" s="77" t="s">
        <v>1522</v>
      </c>
      <c r="L1071" s="77" t="s">
        <v>992</v>
      </c>
      <c r="M1071" s="77" t="s">
        <v>82</v>
      </c>
      <c r="N1071" s="77" t="s">
        <v>83</v>
      </c>
      <c r="Q1071" s="77" t="s">
        <v>111</v>
      </c>
      <c r="T1071" s="77" t="s">
        <v>1666</v>
      </c>
      <c r="U1071" s="77" t="s">
        <v>85</v>
      </c>
      <c r="V1071" s="80" t="s">
        <v>189</v>
      </c>
      <c r="X1071" s="77" t="s">
        <v>190</v>
      </c>
      <c r="Y1071" s="78" t="s">
        <v>88</v>
      </c>
      <c r="AA1071" s="77" t="s">
        <v>1568</v>
      </c>
      <c r="AB1071" s="77" t="s">
        <v>1521</v>
      </c>
      <c r="AC1071" s="77" t="s">
        <v>90</v>
      </c>
      <c r="AD1071" s="77" t="s">
        <v>91</v>
      </c>
      <c r="AE1071" s="77" t="s">
        <v>1569</v>
      </c>
    </row>
    <row r="1072" spans="1:31" x14ac:dyDescent="0.3">
      <c r="A1072" s="77" t="s">
        <v>1790</v>
      </c>
      <c r="B1072" s="77" t="s">
        <v>1791</v>
      </c>
      <c r="G1072" s="77" t="s">
        <v>1566</v>
      </c>
      <c r="H1072" s="77" t="s">
        <v>77</v>
      </c>
      <c r="I1072" s="77" t="s">
        <v>1521</v>
      </c>
      <c r="J1072" s="77" t="s">
        <v>79</v>
      </c>
      <c r="K1072" s="77" t="s">
        <v>1522</v>
      </c>
      <c r="L1072" s="77" t="s">
        <v>1792</v>
      </c>
      <c r="M1072" s="77" t="s">
        <v>82</v>
      </c>
      <c r="N1072" s="77" t="s">
        <v>83</v>
      </c>
      <c r="Q1072" s="77" t="s">
        <v>111</v>
      </c>
      <c r="T1072" s="77" t="s">
        <v>1666</v>
      </c>
      <c r="U1072" s="77" t="s">
        <v>85</v>
      </c>
      <c r="V1072" s="80" t="s">
        <v>665</v>
      </c>
      <c r="X1072" s="77" t="s">
        <v>666</v>
      </c>
      <c r="Y1072" s="78" t="s">
        <v>88</v>
      </c>
      <c r="AA1072" s="77" t="s">
        <v>1568</v>
      </c>
      <c r="AB1072" s="77" t="s">
        <v>1521</v>
      </c>
      <c r="AC1072" s="77" t="s">
        <v>90</v>
      </c>
      <c r="AD1072" s="77" t="s">
        <v>91</v>
      </c>
      <c r="AE1072" s="77" t="s">
        <v>1569</v>
      </c>
    </row>
    <row r="1073" spans="1:31" x14ac:dyDescent="0.3">
      <c r="A1073" s="77" t="s">
        <v>1793</v>
      </c>
      <c r="B1073" s="77" t="s">
        <v>1794</v>
      </c>
      <c r="G1073" s="77" t="s">
        <v>1566</v>
      </c>
      <c r="H1073" s="77" t="s">
        <v>77</v>
      </c>
      <c r="I1073" s="77" t="s">
        <v>1521</v>
      </c>
      <c r="J1073" s="77" t="s">
        <v>79</v>
      </c>
      <c r="K1073" s="77" t="s">
        <v>1522</v>
      </c>
      <c r="L1073" s="77" t="s">
        <v>1015</v>
      </c>
      <c r="M1073" s="77" t="s">
        <v>82</v>
      </c>
      <c r="N1073" s="77" t="s">
        <v>83</v>
      </c>
      <c r="Q1073" s="77" t="s">
        <v>111</v>
      </c>
      <c r="T1073" s="77" t="s">
        <v>1666</v>
      </c>
      <c r="U1073" s="77" t="s">
        <v>85</v>
      </c>
      <c r="V1073" s="80" t="s">
        <v>196</v>
      </c>
      <c r="X1073" s="77" t="s">
        <v>197</v>
      </c>
      <c r="Y1073" s="78" t="s">
        <v>88</v>
      </c>
      <c r="AA1073" s="77" t="s">
        <v>1568</v>
      </c>
      <c r="AB1073" s="77" t="s">
        <v>1521</v>
      </c>
      <c r="AC1073" s="77" t="s">
        <v>90</v>
      </c>
      <c r="AD1073" s="77" t="s">
        <v>91</v>
      </c>
      <c r="AE1073" s="77" t="s">
        <v>1569</v>
      </c>
    </row>
    <row r="1074" spans="1:31" x14ac:dyDescent="0.3">
      <c r="A1074" s="77" t="s">
        <v>1795</v>
      </c>
      <c r="B1074" s="77" t="s">
        <v>1796</v>
      </c>
      <c r="G1074" s="77" t="s">
        <v>1566</v>
      </c>
      <c r="H1074" s="77" t="s">
        <v>77</v>
      </c>
      <c r="I1074" s="77" t="s">
        <v>1521</v>
      </c>
      <c r="J1074" s="77" t="s">
        <v>79</v>
      </c>
      <c r="K1074" s="77" t="s">
        <v>1522</v>
      </c>
      <c r="L1074" s="77" t="s">
        <v>1015</v>
      </c>
      <c r="M1074" s="77" t="s">
        <v>82</v>
      </c>
      <c r="N1074" s="77" t="s">
        <v>83</v>
      </c>
      <c r="Q1074" s="77" t="s">
        <v>111</v>
      </c>
      <c r="T1074" s="77" t="s">
        <v>1666</v>
      </c>
      <c r="U1074" s="77" t="s">
        <v>85</v>
      </c>
      <c r="V1074" s="80" t="s">
        <v>196</v>
      </c>
      <c r="X1074" s="77" t="s">
        <v>197</v>
      </c>
      <c r="Y1074" s="78" t="s">
        <v>88</v>
      </c>
      <c r="AA1074" s="77" t="s">
        <v>1568</v>
      </c>
      <c r="AB1074" s="77" t="s">
        <v>1521</v>
      </c>
      <c r="AC1074" s="77" t="s">
        <v>90</v>
      </c>
      <c r="AD1074" s="77" t="s">
        <v>91</v>
      </c>
      <c r="AE1074" s="77" t="s">
        <v>1569</v>
      </c>
    </row>
    <row r="1075" spans="1:31" x14ac:dyDescent="0.3">
      <c r="A1075" s="77" t="s">
        <v>1797</v>
      </c>
      <c r="B1075" s="77" t="s">
        <v>1798</v>
      </c>
      <c r="G1075" s="77" t="s">
        <v>1566</v>
      </c>
      <c r="H1075" s="77" t="s">
        <v>77</v>
      </c>
      <c r="I1075" s="77" t="s">
        <v>1521</v>
      </c>
      <c r="J1075" s="77" t="s">
        <v>79</v>
      </c>
      <c r="K1075" s="77" t="s">
        <v>1522</v>
      </c>
      <c r="L1075" s="77" t="s">
        <v>1015</v>
      </c>
      <c r="M1075" s="77" t="s">
        <v>82</v>
      </c>
      <c r="N1075" s="77" t="s">
        <v>83</v>
      </c>
      <c r="Q1075" s="77" t="s">
        <v>111</v>
      </c>
      <c r="T1075" s="77" t="s">
        <v>1666</v>
      </c>
      <c r="U1075" s="77" t="s">
        <v>85</v>
      </c>
      <c r="V1075" s="80" t="s">
        <v>196</v>
      </c>
      <c r="X1075" s="77" t="s">
        <v>197</v>
      </c>
      <c r="Y1075" s="78" t="s">
        <v>88</v>
      </c>
      <c r="AA1075" s="77" t="s">
        <v>1568</v>
      </c>
      <c r="AB1075" s="77" t="s">
        <v>1521</v>
      </c>
      <c r="AC1075" s="77" t="s">
        <v>90</v>
      </c>
      <c r="AD1075" s="77" t="s">
        <v>91</v>
      </c>
      <c r="AE1075" s="77" t="s">
        <v>1569</v>
      </c>
    </row>
    <row r="1076" spans="1:31" x14ac:dyDescent="0.3">
      <c r="A1076" s="77" t="s">
        <v>1799</v>
      </c>
      <c r="B1076" s="77" t="s">
        <v>1800</v>
      </c>
      <c r="G1076" s="77" t="s">
        <v>1566</v>
      </c>
      <c r="H1076" s="77" t="s">
        <v>77</v>
      </c>
      <c r="I1076" s="77" t="s">
        <v>1521</v>
      </c>
      <c r="J1076" s="77" t="s">
        <v>79</v>
      </c>
      <c r="K1076" s="77" t="s">
        <v>1522</v>
      </c>
      <c r="L1076" s="77" t="s">
        <v>1015</v>
      </c>
      <c r="M1076" s="77" t="s">
        <v>82</v>
      </c>
      <c r="N1076" s="77" t="s">
        <v>83</v>
      </c>
      <c r="Q1076" s="77" t="s">
        <v>111</v>
      </c>
      <c r="T1076" s="77" t="s">
        <v>1666</v>
      </c>
      <c r="U1076" s="77" t="s">
        <v>85</v>
      </c>
      <c r="V1076" s="80" t="s">
        <v>196</v>
      </c>
      <c r="X1076" s="77" t="s">
        <v>197</v>
      </c>
      <c r="Y1076" s="78" t="s">
        <v>88</v>
      </c>
      <c r="AA1076" s="77" t="s">
        <v>1568</v>
      </c>
      <c r="AB1076" s="77" t="s">
        <v>1521</v>
      </c>
      <c r="AC1076" s="77" t="s">
        <v>90</v>
      </c>
      <c r="AD1076" s="77" t="s">
        <v>91</v>
      </c>
      <c r="AE1076" s="77" t="s">
        <v>1569</v>
      </c>
    </row>
    <row r="1077" spans="1:31" x14ac:dyDescent="0.3">
      <c r="A1077" s="77" t="s">
        <v>1801</v>
      </c>
      <c r="B1077" s="77" t="s">
        <v>1802</v>
      </c>
      <c r="G1077" s="77" t="s">
        <v>1566</v>
      </c>
      <c r="H1077" s="77" t="s">
        <v>77</v>
      </c>
      <c r="I1077" s="77" t="s">
        <v>1521</v>
      </c>
      <c r="J1077" s="77" t="s">
        <v>79</v>
      </c>
      <c r="K1077" s="77" t="s">
        <v>1522</v>
      </c>
      <c r="L1077" s="77" t="s">
        <v>1015</v>
      </c>
      <c r="M1077" s="77" t="s">
        <v>82</v>
      </c>
      <c r="N1077" s="77" t="s">
        <v>83</v>
      </c>
      <c r="Q1077" s="77" t="s">
        <v>111</v>
      </c>
      <c r="T1077" s="77" t="s">
        <v>1666</v>
      </c>
      <c r="U1077" s="77" t="s">
        <v>85</v>
      </c>
      <c r="V1077" s="80" t="s">
        <v>196</v>
      </c>
      <c r="X1077" s="77" t="s">
        <v>197</v>
      </c>
      <c r="Y1077" s="78" t="s">
        <v>88</v>
      </c>
      <c r="AA1077" s="77" t="s">
        <v>1568</v>
      </c>
      <c r="AB1077" s="77" t="s">
        <v>1521</v>
      </c>
      <c r="AC1077" s="77" t="s">
        <v>90</v>
      </c>
      <c r="AD1077" s="77" t="s">
        <v>91</v>
      </c>
      <c r="AE1077" s="77" t="s">
        <v>1569</v>
      </c>
    </row>
    <row r="1078" spans="1:31" x14ac:dyDescent="0.3">
      <c r="A1078" s="77" t="s">
        <v>1803</v>
      </c>
      <c r="B1078" s="77" t="s">
        <v>1804</v>
      </c>
      <c r="G1078" s="77" t="s">
        <v>1566</v>
      </c>
      <c r="H1078" s="77" t="s">
        <v>77</v>
      </c>
      <c r="I1078" s="77" t="s">
        <v>1521</v>
      </c>
      <c r="J1078" s="77" t="s">
        <v>79</v>
      </c>
      <c r="K1078" s="77" t="s">
        <v>1522</v>
      </c>
      <c r="L1078" s="77" t="s">
        <v>1805</v>
      </c>
      <c r="M1078" s="77" t="s">
        <v>82</v>
      </c>
      <c r="N1078" s="77" t="s">
        <v>83</v>
      </c>
      <c r="Q1078" s="77" t="s">
        <v>111</v>
      </c>
      <c r="T1078" s="77" t="s">
        <v>1666</v>
      </c>
      <c r="U1078" s="77" t="s">
        <v>85</v>
      </c>
      <c r="V1078" s="80" t="s">
        <v>673</v>
      </c>
      <c r="X1078" s="77" t="s">
        <v>674</v>
      </c>
      <c r="Y1078" s="78" t="s">
        <v>101</v>
      </c>
      <c r="AA1078" s="77" t="s">
        <v>1568</v>
      </c>
      <c r="AB1078" s="77" t="s">
        <v>1521</v>
      </c>
      <c r="AC1078" s="77" t="s">
        <v>90</v>
      </c>
      <c r="AD1078" s="77" t="s">
        <v>102</v>
      </c>
      <c r="AE1078" s="77" t="s">
        <v>1569</v>
      </c>
    </row>
    <row r="1079" spans="1:31" x14ac:dyDescent="0.3">
      <c r="A1079" s="77" t="s">
        <v>1806</v>
      </c>
      <c r="B1079" s="77" t="s">
        <v>1807</v>
      </c>
      <c r="G1079" s="77" t="s">
        <v>1566</v>
      </c>
      <c r="H1079" s="77" t="s">
        <v>77</v>
      </c>
      <c r="I1079" s="77" t="s">
        <v>1521</v>
      </c>
      <c r="J1079" s="77" t="s">
        <v>79</v>
      </c>
      <c r="K1079" s="77" t="s">
        <v>1522</v>
      </c>
      <c r="L1079" s="77" t="s">
        <v>1038</v>
      </c>
      <c r="M1079" s="77" t="s">
        <v>82</v>
      </c>
      <c r="N1079" s="77" t="s">
        <v>83</v>
      </c>
      <c r="Q1079" s="77" t="s">
        <v>111</v>
      </c>
      <c r="T1079" s="77" t="s">
        <v>1666</v>
      </c>
      <c r="U1079" s="77" t="s">
        <v>85</v>
      </c>
      <c r="V1079" s="80" t="s">
        <v>201</v>
      </c>
      <c r="X1079" s="77" t="s">
        <v>202</v>
      </c>
      <c r="Y1079" s="78" t="s">
        <v>101</v>
      </c>
      <c r="AA1079" s="77" t="s">
        <v>1568</v>
      </c>
      <c r="AB1079" s="77" t="s">
        <v>1521</v>
      </c>
      <c r="AC1079" s="77" t="s">
        <v>90</v>
      </c>
      <c r="AD1079" s="77" t="s">
        <v>102</v>
      </c>
      <c r="AE1079" s="77" t="s">
        <v>1569</v>
      </c>
    </row>
    <row r="1080" spans="1:31" x14ac:dyDescent="0.3">
      <c r="A1080" s="77" t="s">
        <v>1808</v>
      </c>
      <c r="B1080" s="77" t="s">
        <v>1809</v>
      </c>
      <c r="G1080" s="77" t="s">
        <v>1566</v>
      </c>
      <c r="H1080" s="77" t="s">
        <v>77</v>
      </c>
      <c r="I1080" s="77" t="s">
        <v>1521</v>
      </c>
      <c r="J1080" s="77" t="s">
        <v>79</v>
      </c>
      <c r="K1080" s="77" t="s">
        <v>1522</v>
      </c>
      <c r="L1080" s="77" t="s">
        <v>1038</v>
      </c>
      <c r="M1080" s="77" t="s">
        <v>82</v>
      </c>
      <c r="N1080" s="77" t="s">
        <v>83</v>
      </c>
      <c r="Q1080" s="77" t="s">
        <v>111</v>
      </c>
      <c r="T1080" s="77" t="s">
        <v>1666</v>
      </c>
      <c r="U1080" s="77" t="s">
        <v>85</v>
      </c>
      <c r="V1080" s="80" t="s">
        <v>201</v>
      </c>
      <c r="X1080" s="77" t="s">
        <v>202</v>
      </c>
      <c r="Y1080" s="78" t="s">
        <v>101</v>
      </c>
      <c r="AA1080" s="77" t="s">
        <v>1568</v>
      </c>
      <c r="AB1080" s="77" t="s">
        <v>1521</v>
      </c>
      <c r="AC1080" s="77" t="s">
        <v>90</v>
      </c>
      <c r="AD1080" s="77" t="s">
        <v>102</v>
      </c>
      <c r="AE1080" s="77" t="s">
        <v>1569</v>
      </c>
    </row>
    <row r="1081" spans="1:31" x14ac:dyDescent="0.3">
      <c r="A1081" s="77" t="s">
        <v>1810</v>
      </c>
      <c r="B1081" s="77" t="s">
        <v>1811</v>
      </c>
      <c r="G1081" s="77" t="s">
        <v>1566</v>
      </c>
      <c r="H1081" s="77" t="s">
        <v>77</v>
      </c>
      <c r="I1081" s="77" t="s">
        <v>1521</v>
      </c>
      <c r="J1081" s="77" t="s">
        <v>79</v>
      </c>
      <c r="K1081" s="77" t="s">
        <v>1522</v>
      </c>
      <c r="L1081" s="77" t="s">
        <v>1038</v>
      </c>
      <c r="M1081" s="77" t="s">
        <v>82</v>
      </c>
      <c r="N1081" s="77" t="s">
        <v>83</v>
      </c>
      <c r="Q1081" s="77" t="s">
        <v>111</v>
      </c>
      <c r="T1081" s="77" t="s">
        <v>1666</v>
      </c>
      <c r="U1081" s="77" t="s">
        <v>85</v>
      </c>
      <c r="V1081" s="80" t="s">
        <v>201</v>
      </c>
      <c r="X1081" s="77" t="s">
        <v>202</v>
      </c>
      <c r="Y1081" s="78" t="s">
        <v>101</v>
      </c>
      <c r="AA1081" s="77" t="s">
        <v>1568</v>
      </c>
      <c r="AB1081" s="77" t="s">
        <v>1521</v>
      </c>
      <c r="AC1081" s="77" t="s">
        <v>90</v>
      </c>
      <c r="AD1081" s="77" t="s">
        <v>102</v>
      </c>
      <c r="AE1081" s="77" t="s">
        <v>1569</v>
      </c>
    </row>
    <row r="1082" spans="1:31" x14ac:dyDescent="0.3">
      <c r="A1082" s="77" t="s">
        <v>1812</v>
      </c>
      <c r="B1082" s="77" t="s">
        <v>1813</v>
      </c>
      <c r="G1082" s="77" t="s">
        <v>1566</v>
      </c>
      <c r="H1082" s="77" t="s">
        <v>77</v>
      </c>
      <c r="I1082" s="77" t="s">
        <v>1521</v>
      </c>
      <c r="J1082" s="77" t="s">
        <v>79</v>
      </c>
      <c r="K1082" s="77" t="s">
        <v>1522</v>
      </c>
      <c r="L1082" s="77" t="s">
        <v>1038</v>
      </c>
      <c r="M1082" s="77" t="s">
        <v>82</v>
      </c>
      <c r="N1082" s="77" t="s">
        <v>83</v>
      </c>
      <c r="Q1082" s="77" t="s">
        <v>111</v>
      </c>
      <c r="T1082" s="77" t="s">
        <v>1666</v>
      </c>
      <c r="U1082" s="77" t="s">
        <v>85</v>
      </c>
      <c r="V1082" s="80" t="s">
        <v>201</v>
      </c>
      <c r="X1082" s="77" t="s">
        <v>202</v>
      </c>
      <c r="Y1082" s="78" t="s">
        <v>101</v>
      </c>
      <c r="AA1082" s="77" t="s">
        <v>1568</v>
      </c>
      <c r="AB1082" s="77" t="s">
        <v>1521</v>
      </c>
      <c r="AC1082" s="77" t="s">
        <v>90</v>
      </c>
      <c r="AD1082" s="77" t="s">
        <v>102</v>
      </c>
      <c r="AE1082" s="77" t="s">
        <v>1569</v>
      </c>
    </row>
    <row r="1083" spans="1:31" x14ac:dyDescent="0.3">
      <c r="A1083" s="77" t="s">
        <v>1814</v>
      </c>
      <c r="B1083" s="77" t="s">
        <v>1815</v>
      </c>
      <c r="G1083" s="77" t="s">
        <v>1566</v>
      </c>
      <c r="H1083" s="77" t="s">
        <v>77</v>
      </c>
      <c r="I1083" s="77" t="s">
        <v>1521</v>
      </c>
      <c r="J1083" s="77" t="s">
        <v>79</v>
      </c>
      <c r="K1083" s="77" t="s">
        <v>1522</v>
      </c>
      <c r="L1083" s="77" t="s">
        <v>1038</v>
      </c>
      <c r="M1083" s="77" t="s">
        <v>82</v>
      </c>
      <c r="N1083" s="77" t="s">
        <v>83</v>
      </c>
      <c r="Q1083" s="77" t="s">
        <v>111</v>
      </c>
      <c r="T1083" s="77" t="s">
        <v>1666</v>
      </c>
      <c r="U1083" s="77" t="s">
        <v>85</v>
      </c>
      <c r="V1083" s="80" t="s">
        <v>201</v>
      </c>
      <c r="X1083" s="77" t="s">
        <v>202</v>
      </c>
      <c r="Y1083" s="78" t="s">
        <v>101</v>
      </c>
      <c r="AA1083" s="77" t="s">
        <v>1568</v>
      </c>
      <c r="AB1083" s="77" t="s">
        <v>1521</v>
      </c>
      <c r="AC1083" s="77" t="s">
        <v>90</v>
      </c>
      <c r="AD1083" s="77" t="s">
        <v>102</v>
      </c>
      <c r="AE1083" s="77" t="s">
        <v>1569</v>
      </c>
    </row>
    <row r="1084" spans="1:31" x14ac:dyDescent="0.3">
      <c r="A1084" s="77" t="s">
        <v>1816</v>
      </c>
      <c r="B1084" s="77" t="s">
        <v>1817</v>
      </c>
      <c r="G1084" s="77" t="s">
        <v>1566</v>
      </c>
      <c r="H1084" s="77" t="s">
        <v>77</v>
      </c>
      <c r="I1084" s="77" t="s">
        <v>1521</v>
      </c>
      <c r="J1084" s="77" t="s">
        <v>79</v>
      </c>
      <c r="K1084" s="77" t="s">
        <v>1522</v>
      </c>
      <c r="L1084" s="77" t="s">
        <v>1818</v>
      </c>
      <c r="M1084" s="77" t="s">
        <v>82</v>
      </c>
      <c r="N1084" s="77" t="s">
        <v>83</v>
      </c>
      <c r="Q1084" s="77" t="s">
        <v>111</v>
      </c>
      <c r="T1084" s="77" t="s">
        <v>1666</v>
      </c>
      <c r="U1084" s="77" t="s">
        <v>85</v>
      </c>
      <c r="V1084" s="80" t="s">
        <v>681</v>
      </c>
      <c r="X1084" s="77" t="s">
        <v>682</v>
      </c>
      <c r="Y1084" s="78" t="s">
        <v>101</v>
      </c>
      <c r="AA1084" s="77" t="s">
        <v>1568</v>
      </c>
      <c r="AB1084" s="77" t="s">
        <v>1521</v>
      </c>
      <c r="AC1084" s="77" t="s">
        <v>90</v>
      </c>
      <c r="AD1084" s="77" t="s">
        <v>102</v>
      </c>
      <c r="AE1084" s="77" t="s">
        <v>1569</v>
      </c>
    </row>
    <row r="1085" spans="1:31" x14ac:dyDescent="0.3">
      <c r="A1085" s="77" t="s">
        <v>1819</v>
      </c>
      <c r="B1085" s="77" t="s">
        <v>1820</v>
      </c>
      <c r="G1085" s="77" t="s">
        <v>1566</v>
      </c>
      <c r="H1085" s="77" t="s">
        <v>77</v>
      </c>
      <c r="I1085" s="77" t="s">
        <v>1521</v>
      </c>
      <c r="J1085" s="77" t="s">
        <v>79</v>
      </c>
      <c r="K1085" s="77" t="s">
        <v>1522</v>
      </c>
      <c r="L1085" s="77" t="s">
        <v>1061</v>
      </c>
      <c r="M1085" s="77" t="s">
        <v>82</v>
      </c>
      <c r="N1085" s="77" t="s">
        <v>83</v>
      </c>
      <c r="Q1085" s="77" t="s">
        <v>111</v>
      </c>
      <c r="T1085" s="77" t="s">
        <v>1666</v>
      </c>
      <c r="U1085" s="77" t="s">
        <v>85</v>
      </c>
      <c r="V1085" s="80" t="s">
        <v>206</v>
      </c>
      <c r="X1085" s="77" t="s">
        <v>207</v>
      </c>
      <c r="Y1085" s="78" t="s">
        <v>101</v>
      </c>
      <c r="AA1085" s="77" t="s">
        <v>1568</v>
      </c>
      <c r="AB1085" s="77" t="s">
        <v>1521</v>
      </c>
      <c r="AC1085" s="77" t="s">
        <v>90</v>
      </c>
      <c r="AD1085" s="77" t="s">
        <v>102</v>
      </c>
      <c r="AE1085" s="77" t="s">
        <v>1569</v>
      </c>
    </row>
    <row r="1086" spans="1:31" x14ac:dyDescent="0.3">
      <c r="A1086" s="77" t="s">
        <v>1821</v>
      </c>
      <c r="B1086" s="77" t="s">
        <v>1822</v>
      </c>
      <c r="G1086" s="77" t="s">
        <v>1566</v>
      </c>
      <c r="H1086" s="77" t="s">
        <v>77</v>
      </c>
      <c r="I1086" s="77" t="s">
        <v>1521</v>
      </c>
      <c r="J1086" s="77" t="s">
        <v>79</v>
      </c>
      <c r="K1086" s="77" t="s">
        <v>1522</v>
      </c>
      <c r="L1086" s="77" t="s">
        <v>1061</v>
      </c>
      <c r="M1086" s="77" t="s">
        <v>82</v>
      </c>
      <c r="N1086" s="77" t="s">
        <v>83</v>
      </c>
      <c r="Q1086" s="77" t="s">
        <v>111</v>
      </c>
      <c r="T1086" s="77" t="s">
        <v>1666</v>
      </c>
      <c r="U1086" s="77" t="s">
        <v>85</v>
      </c>
      <c r="V1086" s="80" t="s">
        <v>206</v>
      </c>
      <c r="X1086" s="77" t="s">
        <v>207</v>
      </c>
      <c r="Y1086" s="78" t="s">
        <v>101</v>
      </c>
      <c r="AA1086" s="77" t="s">
        <v>1568</v>
      </c>
      <c r="AB1086" s="77" t="s">
        <v>1521</v>
      </c>
      <c r="AC1086" s="77" t="s">
        <v>90</v>
      </c>
      <c r="AD1086" s="77" t="s">
        <v>102</v>
      </c>
      <c r="AE1086" s="77" t="s">
        <v>1569</v>
      </c>
    </row>
    <row r="1087" spans="1:31" x14ac:dyDescent="0.3">
      <c r="A1087" s="77" t="s">
        <v>1823</v>
      </c>
      <c r="B1087" s="77" t="s">
        <v>1824</v>
      </c>
      <c r="G1087" s="77" t="s">
        <v>1566</v>
      </c>
      <c r="H1087" s="77" t="s">
        <v>77</v>
      </c>
      <c r="I1087" s="77" t="s">
        <v>1521</v>
      </c>
      <c r="J1087" s="77" t="s">
        <v>79</v>
      </c>
      <c r="K1087" s="77" t="s">
        <v>1522</v>
      </c>
      <c r="L1087" s="77" t="s">
        <v>1061</v>
      </c>
      <c r="M1087" s="77" t="s">
        <v>82</v>
      </c>
      <c r="N1087" s="77" t="s">
        <v>83</v>
      </c>
      <c r="Q1087" s="77" t="s">
        <v>111</v>
      </c>
      <c r="T1087" s="77" t="s">
        <v>1666</v>
      </c>
      <c r="U1087" s="77" t="s">
        <v>85</v>
      </c>
      <c r="V1087" s="80" t="s">
        <v>206</v>
      </c>
      <c r="X1087" s="77" t="s">
        <v>207</v>
      </c>
      <c r="Y1087" s="78" t="s">
        <v>101</v>
      </c>
      <c r="AA1087" s="77" t="s">
        <v>1568</v>
      </c>
      <c r="AB1087" s="77" t="s">
        <v>1521</v>
      </c>
      <c r="AC1087" s="77" t="s">
        <v>90</v>
      </c>
      <c r="AD1087" s="77" t="s">
        <v>102</v>
      </c>
      <c r="AE1087" s="77" t="s">
        <v>1569</v>
      </c>
    </row>
    <row r="1088" spans="1:31" x14ac:dyDescent="0.3">
      <c r="A1088" s="77" t="s">
        <v>1825</v>
      </c>
      <c r="B1088" s="77" t="s">
        <v>1826</v>
      </c>
      <c r="G1088" s="77" t="s">
        <v>1566</v>
      </c>
      <c r="H1088" s="77" t="s">
        <v>77</v>
      </c>
      <c r="I1088" s="77" t="s">
        <v>1521</v>
      </c>
      <c r="J1088" s="77" t="s">
        <v>79</v>
      </c>
      <c r="K1088" s="77" t="s">
        <v>1522</v>
      </c>
      <c r="L1088" s="77" t="s">
        <v>1061</v>
      </c>
      <c r="M1088" s="77" t="s">
        <v>82</v>
      </c>
      <c r="N1088" s="77" t="s">
        <v>83</v>
      </c>
      <c r="Q1088" s="77" t="s">
        <v>111</v>
      </c>
      <c r="T1088" s="77" t="s">
        <v>1666</v>
      </c>
      <c r="U1088" s="77" t="s">
        <v>85</v>
      </c>
      <c r="V1088" s="80" t="s">
        <v>206</v>
      </c>
      <c r="X1088" s="77" t="s">
        <v>207</v>
      </c>
      <c r="Y1088" s="78" t="s">
        <v>101</v>
      </c>
      <c r="AA1088" s="77" t="s">
        <v>1568</v>
      </c>
      <c r="AB1088" s="77" t="s">
        <v>1521</v>
      </c>
      <c r="AC1088" s="77" t="s">
        <v>90</v>
      </c>
      <c r="AD1088" s="77" t="s">
        <v>102</v>
      </c>
      <c r="AE1088" s="77" t="s">
        <v>1569</v>
      </c>
    </row>
    <row r="1089" spans="1:31" x14ac:dyDescent="0.3">
      <c r="A1089" s="77" t="s">
        <v>1827</v>
      </c>
      <c r="B1089" s="77" t="s">
        <v>1828</v>
      </c>
      <c r="G1089" s="77" t="s">
        <v>1566</v>
      </c>
      <c r="H1089" s="77" t="s">
        <v>77</v>
      </c>
      <c r="I1089" s="77" t="s">
        <v>1521</v>
      </c>
      <c r="J1089" s="77" t="s">
        <v>79</v>
      </c>
      <c r="K1089" s="77" t="s">
        <v>1522</v>
      </c>
      <c r="L1089" s="77" t="s">
        <v>1061</v>
      </c>
      <c r="M1089" s="77" t="s">
        <v>82</v>
      </c>
      <c r="N1089" s="77" t="s">
        <v>83</v>
      </c>
      <c r="Q1089" s="77" t="s">
        <v>111</v>
      </c>
      <c r="T1089" s="77" t="s">
        <v>1666</v>
      </c>
      <c r="U1089" s="77" t="s">
        <v>85</v>
      </c>
      <c r="V1089" s="80" t="s">
        <v>206</v>
      </c>
      <c r="X1089" s="77" t="s">
        <v>207</v>
      </c>
      <c r="Y1089" s="78" t="s">
        <v>101</v>
      </c>
      <c r="AA1089" s="77" t="s">
        <v>1568</v>
      </c>
      <c r="AB1089" s="77" t="s">
        <v>1521</v>
      </c>
      <c r="AC1089" s="77" t="s">
        <v>90</v>
      </c>
      <c r="AD1089" s="77" t="s">
        <v>102</v>
      </c>
      <c r="AE1089" s="77" t="s">
        <v>1569</v>
      </c>
    </row>
    <row r="1090" spans="1:31" x14ac:dyDescent="0.3">
      <c r="A1090" s="77" t="s">
        <v>1829</v>
      </c>
      <c r="B1090" s="77" t="s">
        <v>1830</v>
      </c>
      <c r="G1090" s="77" t="s">
        <v>1566</v>
      </c>
      <c r="H1090" s="77" t="s">
        <v>77</v>
      </c>
      <c r="I1090" s="77" t="s">
        <v>1521</v>
      </c>
      <c r="J1090" s="77" t="s">
        <v>79</v>
      </c>
      <c r="K1090" s="77" t="s">
        <v>1522</v>
      </c>
      <c r="L1090" s="77" t="s">
        <v>1831</v>
      </c>
      <c r="M1090" s="77" t="s">
        <v>82</v>
      </c>
      <c r="N1090" s="77" t="s">
        <v>83</v>
      </c>
      <c r="Q1090" s="77" t="s">
        <v>111</v>
      </c>
      <c r="T1090" s="77" t="s">
        <v>1666</v>
      </c>
      <c r="U1090" s="77" t="s">
        <v>85</v>
      </c>
      <c r="V1090" s="80" t="s">
        <v>86</v>
      </c>
      <c r="X1090" s="77" t="s">
        <v>87</v>
      </c>
      <c r="Y1090" s="78" t="s">
        <v>88</v>
      </c>
      <c r="AA1090" s="77" t="s">
        <v>1568</v>
      </c>
      <c r="AB1090" s="77" t="s">
        <v>1521</v>
      </c>
      <c r="AC1090" s="77" t="s">
        <v>90</v>
      </c>
      <c r="AD1090" s="77" t="s">
        <v>91</v>
      </c>
      <c r="AE1090" s="77" t="s">
        <v>1569</v>
      </c>
    </row>
    <row r="1091" spans="1:31" x14ac:dyDescent="0.3">
      <c r="A1091" s="77" t="s">
        <v>1832</v>
      </c>
      <c r="B1091" s="77" t="s">
        <v>1833</v>
      </c>
      <c r="G1091" s="77" t="s">
        <v>1566</v>
      </c>
      <c r="H1091" s="77" t="s">
        <v>77</v>
      </c>
      <c r="I1091" s="77" t="s">
        <v>1521</v>
      </c>
      <c r="J1091" s="77" t="s">
        <v>79</v>
      </c>
      <c r="K1091" s="77" t="s">
        <v>1522</v>
      </c>
      <c r="L1091" s="77" t="s">
        <v>1834</v>
      </c>
      <c r="M1091" s="77" t="s">
        <v>82</v>
      </c>
      <c r="N1091" s="77" t="s">
        <v>83</v>
      </c>
      <c r="Q1091" s="77" t="s">
        <v>111</v>
      </c>
      <c r="T1091" s="77" t="s">
        <v>1666</v>
      </c>
      <c r="U1091" s="77" t="s">
        <v>85</v>
      </c>
      <c r="V1091" s="80" t="s">
        <v>86</v>
      </c>
      <c r="X1091" s="77" t="s">
        <v>87</v>
      </c>
      <c r="Y1091" s="78" t="s">
        <v>88</v>
      </c>
      <c r="AA1091" s="77" t="s">
        <v>1568</v>
      </c>
      <c r="AB1091" s="77" t="s">
        <v>1521</v>
      </c>
      <c r="AC1091" s="77" t="s">
        <v>90</v>
      </c>
      <c r="AD1091" s="77" t="s">
        <v>91</v>
      </c>
      <c r="AE1091" s="77" t="s">
        <v>1569</v>
      </c>
    </row>
    <row r="1092" spans="1:31" x14ac:dyDescent="0.3">
      <c r="A1092" s="77" t="s">
        <v>1835</v>
      </c>
      <c r="B1092" s="77" t="s">
        <v>1836</v>
      </c>
      <c r="G1092" s="77" t="s">
        <v>1566</v>
      </c>
      <c r="H1092" s="77" t="s">
        <v>77</v>
      </c>
      <c r="I1092" s="77" t="s">
        <v>1521</v>
      </c>
      <c r="J1092" s="77" t="s">
        <v>79</v>
      </c>
      <c r="K1092" s="77" t="s">
        <v>1522</v>
      </c>
      <c r="L1092" s="77" t="s">
        <v>1837</v>
      </c>
      <c r="M1092" s="77" t="s">
        <v>82</v>
      </c>
      <c r="N1092" s="77" t="s">
        <v>83</v>
      </c>
      <c r="Q1092" s="77" t="s">
        <v>111</v>
      </c>
      <c r="T1092" s="77" t="s">
        <v>1666</v>
      </c>
      <c r="U1092" s="77" t="s">
        <v>85</v>
      </c>
      <c r="V1092" s="80" t="s">
        <v>86</v>
      </c>
      <c r="X1092" s="77" t="s">
        <v>87</v>
      </c>
      <c r="Y1092" s="78" t="s">
        <v>88</v>
      </c>
      <c r="AA1092" s="77" t="s">
        <v>1568</v>
      </c>
      <c r="AB1092" s="77" t="s">
        <v>1521</v>
      </c>
      <c r="AC1092" s="77" t="s">
        <v>90</v>
      </c>
      <c r="AD1092" s="77" t="s">
        <v>91</v>
      </c>
      <c r="AE1092" s="77" t="s">
        <v>1569</v>
      </c>
    </row>
    <row r="1093" spans="1:31" x14ac:dyDescent="0.3">
      <c r="A1093" s="77" t="s">
        <v>1838</v>
      </c>
      <c r="B1093" s="77" t="s">
        <v>1839</v>
      </c>
      <c r="G1093" s="77" t="s">
        <v>1566</v>
      </c>
      <c r="H1093" s="77" t="s">
        <v>77</v>
      </c>
      <c r="I1093" s="77" t="s">
        <v>1521</v>
      </c>
      <c r="J1093" s="77" t="s">
        <v>79</v>
      </c>
      <c r="K1093" s="77" t="s">
        <v>1522</v>
      </c>
      <c r="L1093" s="77" t="s">
        <v>1840</v>
      </c>
      <c r="M1093" s="77" t="s">
        <v>82</v>
      </c>
      <c r="N1093" s="77" t="s">
        <v>83</v>
      </c>
      <c r="Q1093" s="77" t="s">
        <v>111</v>
      </c>
      <c r="T1093" s="77" t="s">
        <v>1666</v>
      </c>
      <c r="U1093" s="77" t="s">
        <v>85</v>
      </c>
      <c r="V1093" s="80" t="s">
        <v>86</v>
      </c>
      <c r="X1093" s="77" t="s">
        <v>87</v>
      </c>
      <c r="Y1093" s="78" t="s">
        <v>88</v>
      </c>
      <c r="AA1093" s="77" t="s">
        <v>1568</v>
      </c>
      <c r="AB1093" s="77" t="s">
        <v>1521</v>
      </c>
      <c r="AC1093" s="77" t="s">
        <v>90</v>
      </c>
      <c r="AD1093" s="77" t="s">
        <v>91</v>
      </c>
      <c r="AE1093" s="77" t="s">
        <v>1569</v>
      </c>
    </row>
    <row r="1094" spans="1:31" x14ac:dyDescent="0.3">
      <c r="A1094" s="77" t="s">
        <v>1841</v>
      </c>
      <c r="B1094" s="77" t="s">
        <v>1842</v>
      </c>
      <c r="G1094" s="77" t="s">
        <v>1566</v>
      </c>
      <c r="H1094" s="77" t="s">
        <v>77</v>
      </c>
      <c r="I1094" s="77" t="s">
        <v>1521</v>
      </c>
      <c r="J1094" s="77" t="s">
        <v>79</v>
      </c>
      <c r="K1094" s="77" t="s">
        <v>1522</v>
      </c>
      <c r="L1094" s="77" t="s">
        <v>1843</v>
      </c>
      <c r="M1094" s="77" t="s">
        <v>82</v>
      </c>
      <c r="N1094" s="77" t="s">
        <v>83</v>
      </c>
      <c r="Q1094" s="77" t="s">
        <v>111</v>
      </c>
      <c r="T1094" s="77" t="s">
        <v>1666</v>
      </c>
      <c r="U1094" s="77" t="s">
        <v>85</v>
      </c>
      <c r="V1094" s="80" t="s">
        <v>95</v>
      </c>
      <c r="X1094" s="77" t="s">
        <v>96</v>
      </c>
      <c r="Y1094" s="78" t="s">
        <v>88</v>
      </c>
      <c r="AA1094" s="77" t="s">
        <v>1568</v>
      </c>
      <c r="AB1094" s="77" t="s">
        <v>1521</v>
      </c>
      <c r="AC1094" s="77" t="s">
        <v>90</v>
      </c>
      <c r="AD1094" s="77" t="s">
        <v>91</v>
      </c>
      <c r="AE1094" s="77" t="s">
        <v>1569</v>
      </c>
    </row>
    <row r="1095" spans="1:31" x14ac:dyDescent="0.3">
      <c r="A1095" s="77" t="s">
        <v>1844</v>
      </c>
      <c r="B1095" s="77" t="s">
        <v>1845</v>
      </c>
      <c r="G1095" s="77" t="s">
        <v>1566</v>
      </c>
      <c r="H1095" s="77" t="s">
        <v>77</v>
      </c>
      <c r="I1095" s="77" t="s">
        <v>1521</v>
      </c>
      <c r="J1095" s="77" t="s">
        <v>79</v>
      </c>
      <c r="K1095" s="77" t="s">
        <v>1522</v>
      </c>
      <c r="L1095" s="77" t="s">
        <v>1846</v>
      </c>
      <c r="M1095" s="77" t="s">
        <v>82</v>
      </c>
      <c r="N1095" s="77" t="s">
        <v>83</v>
      </c>
      <c r="Q1095" s="77" t="s">
        <v>111</v>
      </c>
      <c r="T1095" s="77" t="s">
        <v>1666</v>
      </c>
      <c r="U1095" s="77" t="s">
        <v>85</v>
      </c>
      <c r="V1095" s="80" t="s">
        <v>95</v>
      </c>
      <c r="X1095" s="77" t="s">
        <v>96</v>
      </c>
      <c r="Y1095" s="78" t="s">
        <v>88</v>
      </c>
      <c r="AA1095" s="77" t="s">
        <v>1568</v>
      </c>
      <c r="AB1095" s="77" t="s">
        <v>1521</v>
      </c>
      <c r="AC1095" s="77" t="s">
        <v>90</v>
      </c>
      <c r="AD1095" s="77" t="s">
        <v>91</v>
      </c>
      <c r="AE1095" s="77" t="s">
        <v>1569</v>
      </c>
    </row>
    <row r="1096" spans="1:31" x14ac:dyDescent="0.3">
      <c r="A1096" s="77" t="s">
        <v>1847</v>
      </c>
      <c r="B1096" s="77" t="s">
        <v>1848</v>
      </c>
      <c r="G1096" s="77" t="s">
        <v>1566</v>
      </c>
      <c r="H1096" s="77" t="s">
        <v>77</v>
      </c>
      <c r="I1096" s="77" t="s">
        <v>1521</v>
      </c>
      <c r="J1096" s="77" t="s">
        <v>79</v>
      </c>
      <c r="K1096" s="77" t="s">
        <v>1522</v>
      </c>
      <c r="L1096" s="77" t="s">
        <v>1849</v>
      </c>
      <c r="M1096" s="77" t="s">
        <v>82</v>
      </c>
      <c r="N1096" s="77" t="s">
        <v>83</v>
      </c>
      <c r="Q1096" s="77" t="s">
        <v>111</v>
      </c>
      <c r="T1096" s="77" t="s">
        <v>1666</v>
      </c>
      <c r="U1096" s="77" t="s">
        <v>85</v>
      </c>
      <c r="V1096" s="80" t="s">
        <v>95</v>
      </c>
      <c r="X1096" s="77" t="s">
        <v>96</v>
      </c>
      <c r="Y1096" s="78" t="s">
        <v>88</v>
      </c>
      <c r="AA1096" s="77" t="s">
        <v>1568</v>
      </c>
      <c r="AB1096" s="77" t="s">
        <v>1521</v>
      </c>
      <c r="AC1096" s="77" t="s">
        <v>90</v>
      </c>
      <c r="AD1096" s="77" t="s">
        <v>91</v>
      </c>
      <c r="AE1096" s="77" t="s">
        <v>1569</v>
      </c>
    </row>
    <row r="1097" spans="1:31" x14ac:dyDescent="0.3">
      <c r="A1097" s="77" t="s">
        <v>1850</v>
      </c>
      <c r="B1097" s="77" t="s">
        <v>1851</v>
      </c>
      <c r="G1097" s="77" t="s">
        <v>1566</v>
      </c>
      <c r="H1097" s="77" t="s">
        <v>77</v>
      </c>
      <c r="I1097" s="77" t="s">
        <v>1521</v>
      </c>
      <c r="J1097" s="77" t="s">
        <v>79</v>
      </c>
      <c r="K1097" s="77" t="s">
        <v>1522</v>
      </c>
      <c r="L1097" s="77" t="s">
        <v>1852</v>
      </c>
      <c r="M1097" s="77" t="s">
        <v>82</v>
      </c>
      <c r="N1097" s="77" t="s">
        <v>83</v>
      </c>
      <c r="Q1097" s="77" t="s">
        <v>111</v>
      </c>
      <c r="T1097" s="77" t="s">
        <v>1666</v>
      </c>
      <c r="U1097" s="77" t="s">
        <v>85</v>
      </c>
      <c r="V1097" s="80" t="s">
        <v>95</v>
      </c>
      <c r="X1097" s="77" t="s">
        <v>96</v>
      </c>
      <c r="Y1097" s="78" t="s">
        <v>88</v>
      </c>
      <c r="AA1097" s="77" t="s">
        <v>1568</v>
      </c>
      <c r="AB1097" s="77" t="s">
        <v>1521</v>
      </c>
      <c r="AC1097" s="77" t="s">
        <v>90</v>
      </c>
      <c r="AD1097" s="77" t="s">
        <v>91</v>
      </c>
      <c r="AE1097" s="77" t="s">
        <v>1569</v>
      </c>
    </row>
    <row r="1098" spans="1:31" x14ac:dyDescent="0.3">
      <c r="A1098" s="77" t="s">
        <v>1853</v>
      </c>
      <c r="B1098" s="77" t="s">
        <v>1854</v>
      </c>
      <c r="G1098" s="77" t="s">
        <v>1566</v>
      </c>
      <c r="H1098" s="77" t="s">
        <v>77</v>
      </c>
      <c r="I1098" s="77" t="s">
        <v>1521</v>
      </c>
      <c r="J1098" s="77" t="s">
        <v>79</v>
      </c>
      <c r="K1098" s="77" t="s">
        <v>1522</v>
      </c>
      <c r="L1098" s="77" t="s">
        <v>1855</v>
      </c>
      <c r="M1098" s="77" t="s">
        <v>82</v>
      </c>
      <c r="N1098" s="77" t="s">
        <v>83</v>
      </c>
      <c r="Q1098" s="77" t="s">
        <v>111</v>
      </c>
      <c r="T1098" s="77" t="s">
        <v>1666</v>
      </c>
      <c r="U1098" s="77" t="s">
        <v>85</v>
      </c>
      <c r="V1098" s="80" t="s">
        <v>99</v>
      </c>
      <c r="X1098" s="77" t="s">
        <v>100</v>
      </c>
      <c r="Y1098" s="78" t="s">
        <v>101</v>
      </c>
      <c r="AA1098" s="77" t="s">
        <v>1568</v>
      </c>
      <c r="AB1098" s="77" t="s">
        <v>1521</v>
      </c>
      <c r="AC1098" s="77" t="s">
        <v>90</v>
      </c>
      <c r="AD1098" s="77" t="s">
        <v>102</v>
      </c>
      <c r="AE1098" s="77" t="s">
        <v>1569</v>
      </c>
    </row>
    <row r="1099" spans="1:31" x14ac:dyDescent="0.3">
      <c r="A1099" s="77" t="s">
        <v>1856</v>
      </c>
      <c r="B1099" s="77" t="s">
        <v>1857</v>
      </c>
      <c r="G1099" s="77" t="s">
        <v>1566</v>
      </c>
      <c r="H1099" s="77" t="s">
        <v>77</v>
      </c>
      <c r="I1099" s="77" t="s">
        <v>1521</v>
      </c>
      <c r="J1099" s="77" t="s">
        <v>79</v>
      </c>
      <c r="K1099" s="77" t="s">
        <v>1522</v>
      </c>
      <c r="L1099" s="77" t="s">
        <v>1858</v>
      </c>
      <c r="M1099" s="77" t="s">
        <v>82</v>
      </c>
      <c r="N1099" s="77" t="s">
        <v>83</v>
      </c>
      <c r="Q1099" s="77" t="s">
        <v>111</v>
      </c>
      <c r="T1099" s="77" t="s">
        <v>1666</v>
      </c>
      <c r="U1099" s="77" t="s">
        <v>85</v>
      </c>
      <c r="V1099" s="80" t="s">
        <v>99</v>
      </c>
      <c r="X1099" s="77" t="s">
        <v>100</v>
      </c>
      <c r="Y1099" s="78" t="s">
        <v>101</v>
      </c>
      <c r="AA1099" s="77" t="s">
        <v>1568</v>
      </c>
      <c r="AB1099" s="77" t="s">
        <v>1521</v>
      </c>
      <c r="AC1099" s="77" t="s">
        <v>90</v>
      </c>
      <c r="AD1099" s="77" t="s">
        <v>102</v>
      </c>
      <c r="AE1099" s="77" t="s">
        <v>1569</v>
      </c>
    </row>
    <row r="1100" spans="1:31" x14ac:dyDescent="0.3">
      <c r="A1100" s="77" t="s">
        <v>1859</v>
      </c>
      <c r="B1100" s="77" t="s">
        <v>1860</v>
      </c>
      <c r="G1100" s="77" t="s">
        <v>1566</v>
      </c>
      <c r="H1100" s="77" t="s">
        <v>77</v>
      </c>
      <c r="I1100" s="77" t="s">
        <v>1521</v>
      </c>
      <c r="J1100" s="77" t="s">
        <v>79</v>
      </c>
      <c r="K1100" s="77" t="s">
        <v>1522</v>
      </c>
      <c r="L1100" s="77" t="s">
        <v>1861</v>
      </c>
      <c r="M1100" s="77" t="s">
        <v>82</v>
      </c>
      <c r="N1100" s="77" t="s">
        <v>83</v>
      </c>
      <c r="Q1100" s="77" t="s">
        <v>111</v>
      </c>
      <c r="T1100" s="77" t="s">
        <v>1666</v>
      </c>
      <c r="U1100" s="77" t="s">
        <v>85</v>
      </c>
      <c r="V1100" s="80" t="s">
        <v>99</v>
      </c>
      <c r="X1100" s="77" t="s">
        <v>100</v>
      </c>
      <c r="Y1100" s="78" t="s">
        <v>101</v>
      </c>
      <c r="AA1100" s="77" t="s">
        <v>1568</v>
      </c>
      <c r="AB1100" s="77" t="s">
        <v>1521</v>
      </c>
      <c r="AC1100" s="77" t="s">
        <v>90</v>
      </c>
      <c r="AD1100" s="77" t="s">
        <v>102</v>
      </c>
      <c r="AE1100" s="77" t="s">
        <v>1569</v>
      </c>
    </row>
    <row r="1101" spans="1:31" x14ac:dyDescent="0.3">
      <c r="A1101" s="77" t="s">
        <v>1862</v>
      </c>
      <c r="B1101" s="77" t="s">
        <v>1863</v>
      </c>
      <c r="G1101" s="77" t="s">
        <v>1566</v>
      </c>
      <c r="H1101" s="77" t="s">
        <v>77</v>
      </c>
      <c r="I1101" s="77" t="s">
        <v>1521</v>
      </c>
      <c r="J1101" s="77" t="s">
        <v>79</v>
      </c>
      <c r="K1101" s="77" t="s">
        <v>1522</v>
      </c>
      <c r="L1101" s="77" t="s">
        <v>1864</v>
      </c>
      <c r="M1101" s="77" t="s">
        <v>82</v>
      </c>
      <c r="N1101" s="77" t="s">
        <v>83</v>
      </c>
      <c r="Q1101" s="77" t="s">
        <v>111</v>
      </c>
      <c r="T1101" s="77" t="s">
        <v>1666</v>
      </c>
      <c r="U1101" s="77" t="s">
        <v>85</v>
      </c>
      <c r="V1101" s="80" t="s">
        <v>99</v>
      </c>
      <c r="X1101" s="77" t="s">
        <v>100</v>
      </c>
      <c r="Y1101" s="78" t="s">
        <v>101</v>
      </c>
      <c r="AA1101" s="77" t="s">
        <v>1568</v>
      </c>
      <c r="AB1101" s="77" t="s">
        <v>1521</v>
      </c>
      <c r="AC1101" s="77" t="s">
        <v>90</v>
      </c>
      <c r="AD1101" s="77" t="s">
        <v>102</v>
      </c>
      <c r="AE1101" s="77" t="s">
        <v>1569</v>
      </c>
    </row>
    <row r="1102" spans="1:31" x14ac:dyDescent="0.3">
      <c r="A1102" s="77" t="s">
        <v>1865</v>
      </c>
      <c r="B1102" s="77" t="s">
        <v>1866</v>
      </c>
      <c r="G1102" s="77" t="s">
        <v>1566</v>
      </c>
      <c r="H1102" s="77" t="s">
        <v>77</v>
      </c>
      <c r="I1102" s="77" t="s">
        <v>1521</v>
      </c>
      <c r="J1102" s="77" t="s">
        <v>79</v>
      </c>
      <c r="K1102" s="77" t="s">
        <v>1522</v>
      </c>
      <c r="L1102" s="77" t="s">
        <v>1867</v>
      </c>
      <c r="M1102" s="77" t="s">
        <v>82</v>
      </c>
      <c r="N1102" s="77" t="s">
        <v>83</v>
      </c>
      <c r="Q1102" s="77" t="s">
        <v>111</v>
      </c>
      <c r="T1102" s="77" t="s">
        <v>1666</v>
      </c>
      <c r="U1102" s="77" t="s">
        <v>85</v>
      </c>
      <c r="V1102" s="80" t="s">
        <v>105</v>
      </c>
      <c r="X1102" s="77" t="s">
        <v>106</v>
      </c>
      <c r="Y1102" s="78" t="s">
        <v>101</v>
      </c>
      <c r="AA1102" s="77" t="s">
        <v>1568</v>
      </c>
      <c r="AB1102" s="77" t="s">
        <v>1521</v>
      </c>
      <c r="AC1102" s="77" t="s">
        <v>90</v>
      </c>
      <c r="AD1102" s="77" t="s">
        <v>102</v>
      </c>
      <c r="AE1102" s="77" t="s">
        <v>1569</v>
      </c>
    </row>
    <row r="1103" spans="1:31" x14ac:dyDescent="0.3">
      <c r="A1103" s="77" t="s">
        <v>1868</v>
      </c>
      <c r="B1103" s="77" t="s">
        <v>1869</v>
      </c>
      <c r="G1103" s="77" t="s">
        <v>1566</v>
      </c>
      <c r="H1103" s="77" t="s">
        <v>77</v>
      </c>
      <c r="I1103" s="77" t="s">
        <v>1521</v>
      </c>
      <c r="J1103" s="77" t="s">
        <v>79</v>
      </c>
      <c r="K1103" s="77" t="s">
        <v>1522</v>
      </c>
      <c r="L1103" s="77" t="s">
        <v>1870</v>
      </c>
      <c r="M1103" s="77" t="s">
        <v>82</v>
      </c>
      <c r="N1103" s="77" t="s">
        <v>83</v>
      </c>
      <c r="Q1103" s="77" t="s">
        <v>111</v>
      </c>
      <c r="T1103" s="77" t="s">
        <v>1666</v>
      </c>
      <c r="U1103" s="77" t="s">
        <v>85</v>
      </c>
      <c r="V1103" s="80" t="s">
        <v>105</v>
      </c>
      <c r="X1103" s="77" t="s">
        <v>106</v>
      </c>
      <c r="Y1103" s="78" t="s">
        <v>101</v>
      </c>
      <c r="AA1103" s="77" t="s">
        <v>1568</v>
      </c>
      <c r="AB1103" s="77" t="s">
        <v>1521</v>
      </c>
      <c r="AC1103" s="77" t="s">
        <v>90</v>
      </c>
      <c r="AD1103" s="77" t="s">
        <v>102</v>
      </c>
      <c r="AE1103" s="77" t="s">
        <v>1569</v>
      </c>
    </row>
    <row r="1104" spans="1:31" x14ac:dyDescent="0.3">
      <c r="A1104" s="77" t="s">
        <v>1871</v>
      </c>
      <c r="B1104" s="77" t="s">
        <v>1872</v>
      </c>
      <c r="G1104" s="77" t="s">
        <v>1566</v>
      </c>
      <c r="H1104" s="77" t="s">
        <v>77</v>
      </c>
      <c r="I1104" s="77" t="s">
        <v>1521</v>
      </c>
      <c r="J1104" s="77" t="s">
        <v>79</v>
      </c>
      <c r="K1104" s="77" t="s">
        <v>1522</v>
      </c>
      <c r="L1104" s="77" t="s">
        <v>1873</v>
      </c>
      <c r="M1104" s="77" t="s">
        <v>82</v>
      </c>
      <c r="N1104" s="77" t="s">
        <v>83</v>
      </c>
      <c r="Q1104" s="77" t="s">
        <v>111</v>
      </c>
      <c r="T1104" s="77" t="s">
        <v>1666</v>
      </c>
      <c r="U1104" s="77" t="s">
        <v>85</v>
      </c>
      <c r="V1104" s="80" t="s">
        <v>105</v>
      </c>
      <c r="X1104" s="77" t="s">
        <v>106</v>
      </c>
      <c r="Y1104" s="78" t="s">
        <v>101</v>
      </c>
      <c r="AA1104" s="77" t="s">
        <v>1568</v>
      </c>
      <c r="AB1104" s="77" t="s">
        <v>1521</v>
      </c>
      <c r="AC1104" s="77" t="s">
        <v>90</v>
      </c>
      <c r="AD1104" s="77" t="s">
        <v>102</v>
      </c>
      <c r="AE1104" s="77" t="s">
        <v>1569</v>
      </c>
    </row>
    <row r="1105" spans="1:31" x14ac:dyDescent="0.3">
      <c r="A1105" s="77" t="s">
        <v>1874</v>
      </c>
      <c r="B1105" s="77" t="s">
        <v>1875</v>
      </c>
      <c r="G1105" s="77" t="s">
        <v>1566</v>
      </c>
      <c r="H1105" s="77" t="s">
        <v>77</v>
      </c>
      <c r="I1105" s="77" t="s">
        <v>1521</v>
      </c>
      <c r="J1105" s="77" t="s">
        <v>79</v>
      </c>
      <c r="K1105" s="77" t="s">
        <v>1522</v>
      </c>
      <c r="L1105" s="77" t="s">
        <v>1876</v>
      </c>
      <c r="M1105" s="77" t="s">
        <v>82</v>
      </c>
      <c r="N1105" s="77" t="s">
        <v>83</v>
      </c>
      <c r="Q1105" s="77" t="s">
        <v>111</v>
      </c>
      <c r="T1105" s="77" t="s">
        <v>1666</v>
      </c>
      <c r="U1105" s="77" t="s">
        <v>85</v>
      </c>
      <c r="V1105" s="80" t="s">
        <v>105</v>
      </c>
      <c r="X1105" s="77" t="s">
        <v>106</v>
      </c>
      <c r="Y1105" s="78" t="s">
        <v>101</v>
      </c>
      <c r="AA1105" s="77" t="s">
        <v>1568</v>
      </c>
      <c r="AB1105" s="77" t="s">
        <v>1521</v>
      </c>
      <c r="AC1105" s="77" t="s">
        <v>90</v>
      </c>
      <c r="AD1105" s="77" t="s">
        <v>102</v>
      </c>
      <c r="AE1105" s="77" t="s">
        <v>1569</v>
      </c>
    </row>
    <row r="1106" spans="1:31" x14ac:dyDescent="0.3">
      <c r="A1106" s="77" t="s">
        <v>1877</v>
      </c>
      <c r="B1106" s="77" t="s">
        <v>1878</v>
      </c>
      <c r="G1106" s="77" t="s">
        <v>1566</v>
      </c>
      <c r="H1106" s="77" t="s">
        <v>77</v>
      </c>
      <c r="I1106" s="77" t="s">
        <v>1521</v>
      </c>
      <c r="J1106" s="77" t="s">
        <v>79</v>
      </c>
      <c r="K1106" s="77" t="s">
        <v>1522</v>
      </c>
      <c r="L1106" s="77" t="s">
        <v>1879</v>
      </c>
      <c r="M1106" s="77" t="s">
        <v>82</v>
      </c>
      <c r="N1106" s="77" t="s">
        <v>83</v>
      </c>
      <c r="Q1106" s="77" t="s">
        <v>111</v>
      </c>
      <c r="T1106" s="77" t="s">
        <v>1666</v>
      </c>
      <c r="U1106" s="77" t="s">
        <v>85</v>
      </c>
      <c r="V1106" s="80" t="s">
        <v>86</v>
      </c>
      <c r="X1106" s="77" t="s">
        <v>87</v>
      </c>
      <c r="Y1106" s="78" t="s">
        <v>88</v>
      </c>
      <c r="AA1106" s="77" t="s">
        <v>1568</v>
      </c>
      <c r="AB1106" s="77" t="s">
        <v>1521</v>
      </c>
      <c r="AC1106" s="77" t="s">
        <v>90</v>
      </c>
      <c r="AD1106" s="77" t="s">
        <v>91</v>
      </c>
      <c r="AE1106" s="77" t="s">
        <v>1569</v>
      </c>
    </row>
    <row r="1107" spans="1:31" x14ac:dyDescent="0.3">
      <c r="A1107" s="77" t="s">
        <v>1880</v>
      </c>
      <c r="B1107" s="77" t="s">
        <v>1881</v>
      </c>
      <c r="G1107" s="77" t="s">
        <v>1566</v>
      </c>
      <c r="H1107" s="77" t="s">
        <v>77</v>
      </c>
      <c r="I1107" s="77" t="s">
        <v>1521</v>
      </c>
      <c r="J1107" s="77" t="s">
        <v>79</v>
      </c>
      <c r="K1107" s="77" t="s">
        <v>1522</v>
      </c>
      <c r="L1107" s="77" t="s">
        <v>1879</v>
      </c>
      <c r="M1107" s="77" t="s">
        <v>82</v>
      </c>
      <c r="N1107" s="77" t="s">
        <v>83</v>
      </c>
      <c r="Q1107" s="77" t="s">
        <v>111</v>
      </c>
      <c r="T1107" s="77" t="s">
        <v>1666</v>
      </c>
      <c r="U1107" s="77" t="s">
        <v>85</v>
      </c>
      <c r="V1107" s="80" t="s">
        <v>86</v>
      </c>
      <c r="X1107" s="77" t="s">
        <v>87</v>
      </c>
      <c r="Y1107" s="78" t="s">
        <v>88</v>
      </c>
      <c r="AA1107" s="77" t="s">
        <v>1568</v>
      </c>
      <c r="AB1107" s="77" t="s">
        <v>1521</v>
      </c>
      <c r="AC1107" s="77" t="s">
        <v>90</v>
      </c>
      <c r="AD1107" s="77" t="s">
        <v>91</v>
      </c>
      <c r="AE1107" s="77" t="s">
        <v>1569</v>
      </c>
    </row>
    <row r="1108" spans="1:31" x14ac:dyDescent="0.3">
      <c r="A1108" s="77" t="s">
        <v>1882</v>
      </c>
      <c r="B1108" s="77" t="s">
        <v>1883</v>
      </c>
      <c r="G1108" s="77" t="s">
        <v>1566</v>
      </c>
      <c r="H1108" s="77" t="s">
        <v>77</v>
      </c>
      <c r="I1108" s="77" t="s">
        <v>1521</v>
      </c>
      <c r="J1108" s="77" t="s">
        <v>79</v>
      </c>
      <c r="K1108" s="77" t="s">
        <v>1522</v>
      </c>
      <c r="L1108" s="77" t="s">
        <v>1879</v>
      </c>
      <c r="M1108" s="77" t="s">
        <v>82</v>
      </c>
      <c r="N1108" s="77" t="s">
        <v>83</v>
      </c>
      <c r="Q1108" s="77" t="s">
        <v>111</v>
      </c>
      <c r="T1108" s="77" t="s">
        <v>1666</v>
      </c>
      <c r="U1108" s="77" t="s">
        <v>85</v>
      </c>
      <c r="V1108" s="80" t="s">
        <v>86</v>
      </c>
      <c r="X1108" s="77" t="s">
        <v>87</v>
      </c>
      <c r="Y1108" s="78" t="s">
        <v>88</v>
      </c>
      <c r="AA1108" s="77" t="s">
        <v>1568</v>
      </c>
      <c r="AB1108" s="77" t="s">
        <v>1521</v>
      </c>
      <c r="AC1108" s="77" t="s">
        <v>90</v>
      </c>
      <c r="AD1108" s="77" t="s">
        <v>91</v>
      </c>
      <c r="AE1108" s="77" t="s">
        <v>1569</v>
      </c>
    </row>
    <row r="1109" spans="1:31" x14ac:dyDescent="0.3">
      <c r="A1109" s="77" t="s">
        <v>1884</v>
      </c>
      <c r="B1109" s="77" t="s">
        <v>1885</v>
      </c>
      <c r="G1109" s="77" t="s">
        <v>1566</v>
      </c>
      <c r="H1109" s="77" t="s">
        <v>77</v>
      </c>
      <c r="I1109" s="77" t="s">
        <v>1521</v>
      </c>
      <c r="J1109" s="77" t="s">
        <v>79</v>
      </c>
      <c r="K1109" s="77" t="s">
        <v>1522</v>
      </c>
      <c r="L1109" s="77" t="s">
        <v>1886</v>
      </c>
      <c r="M1109" s="77" t="s">
        <v>82</v>
      </c>
      <c r="N1109" s="77" t="s">
        <v>83</v>
      </c>
      <c r="Q1109" s="77" t="s">
        <v>111</v>
      </c>
      <c r="T1109" s="77" t="s">
        <v>1666</v>
      </c>
      <c r="U1109" s="77" t="s">
        <v>85</v>
      </c>
      <c r="V1109" s="80" t="s">
        <v>86</v>
      </c>
      <c r="X1109" s="77" t="s">
        <v>87</v>
      </c>
      <c r="Y1109" s="78" t="s">
        <v>88</v>
      </c>
      <c r="AA1109" s="77" t="s">
        <v>1568</v>
      </c>
      <c r="AB1109" s="77" t="s">
        <v>1521</v>
      </c>
      <c r="AC1109" s="77" t="s">
        <v>90</v>
      </c>
      <c r="AD1109" s="77" t="s">
        <v>91</v>
      </c>
      <c r="AE1109" s="77" t="s">
        <v>1569</v>
      </c>
    </row>
    <row r="1110" spans="1:31" x14ac:dyDescent="0.3">
      <c r="A1110" s="77" t="s">
        <v>1887</v>
      </c>
      <c r="B1110" s="77" t="s">
        <v>1888</v>
      </c>
      <c r="G1110" s="77" t="s">
        <v>1566</v>
      </c>
      <c r="H1110" s="77" t="s">
        <v>77</v>
      </c>
      <c r="I1110" s="77" t="s">
        <v>1521</v>
      </c>
      <c r="J1110" s="77" t="s">
        <v>79</v>
      </c>
      <c r="K1110" s="77" t="s">
        <v>1522</v>
      </c>
      <c r="L1110" s="77" t="s">
        <v>1889</v>
      </c>
      <c r="M1110" s="77" t="s">
        <v>82</v>
      </c>
      <c r="N1110" s="77" t="s">
        <v>83</v>
      </c>
      <c r="Q1110" s="77" t="s">
        <v>111</v>
      </c>
      <c r="T1110" s="77" t="s">
        <v>1666</v>
      </c>
      <c r="U1110" s="77" t="s">
        <v>85</v>
      </c>
      <c r="V1110" s="80" t="s">
        <v>95</v>
      </c>
      <c r="X1110" s="77" t="s">
        <v>96</v>
      </c>
      <c r="Y1110" s="78" t="s">
        <v>88</v>
      </c>
      <c r="AA1110" s="77" t="s">
        <v>1568</v>
      </c>
      <c r="AB1110" s="77" t="s">
        <v>1521</v>
      </c>
      <c r="AC1110" s="77" t="s">
        <v>90</v>
      </c>
      <c r="AD1110" s="77" t="s">
        <v>91</v>
      </c>
      <c r="AE1110" s="77" t="s">
        <v>1569</v>
      </c>
    </row>
    <row r="1111" spans="1:31" x14ac:dyDescent="0.3">
      <c r="A1111" s="77" t="s">
        <v>1890</v>
      </c>
      <c r="B1111" s="77" t="s">
        <v>1891</v>
      </c>
      <c r="G1111" s="77" t="s">
        <v>1566</v>
      </c>
      <c r="H1111" s="77" t="s">
        <v>77</v>
      </c>
      <c r="I1111" s="77" t="s">
        <v>1521</v>
      </c>
      <c r="J1111" s="77" t="s">
        <v>79</v>
      </c>
      <c r="K1111" s="77" t="s">
        <v>1522</v>
      </c>
      <c r="L1111" s="77" t="s">
        <v>1889</v>
      </c>
      <c r="M1111" s="77" t="s">
        <v>82</v>
      </c>
      <c r="N1111" s="77" t="s">
        <v>83</v>
      </c>
      <c r="Q1111" s="77" t="s">
        <v>111</v>
      </c>
      <c r="T1111" s="77" t="s">
        <v>1666</v>
      </c>
      <c r="U1111" s="77" t="s">
        <v>85</v>
      </c>
      <c r="V1111" s="80" t="s">
        <v>95</v>
      </c>
      <c r="X1111" s="77" t="s">
        <v>96</v>
      </c>
      <c r="Y1111" s="78" t="s">
        <v>88</v>
      </c>
      <c r="AA1111" s="77" t="s">
        <v>1568</v>
      </c>
      <c r="AB1111" s="77" t="s">
        <v>1521</v>
      </c>
      <c r="AC1111" s="77" t="s">
        <v>90</v>
      </c>
      <c r="AD1111" s="77" t="s">
        <v>91</v>
      </c>
      <c r="AE1111" s="77" t="s">
        <v>1569</v>
      </c>
    </row>
    <row r="1112" spans="1:31" x14ac:dyDescent="0.3">
      <c r="A1112" s="77" t="s">
        <v>1892</v>
      </c>
      <c r="B1112" s="77" t="s">
        <v>1893</v>
      </c>
      <c r="G1112" s="77" t="s">
        <v>1566</v>
      </c>
      <c r="H1112" s="77" t="s">
        <v>77</v>
      </c>
      <c r="I1112" s="77" t="s">
        <v>1521</v>
      </c>
      <c r="J1112" s="77" t="s">
        <v>79</v>
      </c>
      <c r="K1112" s="77" t="s">
        <v>1522</v>
      </c>
      <c r="L1112" s="77" t="s">
        <v>1889</v>
      </c>
      <c r="M1112" s="77" t="s">
        <v>82</v>
      </c>
      <c r="N1112" s="77" t="s">
        <v>83</v>
      </c>
      <c r="Q1112" s="77" t="s">
        <v>111</v>
      </c>
      <c r="T1112" s="77" t="s">
        <v>1666</v>
      </c>
      <c r="U1112" s="77" t="s">
        <v>85</v>
      </c>
      <c r="V1112" s="80" t="s">
        <v>95</v>
      </c>
      <c r="X1112" s="77" t="s">
        <v>96</v>
      </c>
      <c r="Y1112" s="78" t="s">
        <v>88</v>
      </c>
      <c r="AA1112" s="77" t="s">
        <v>1568</v>
      </c>
      <c r="AB1112" s="77" t="s">
        <v>1521</v>
      </c>
      <c r="AC1112" s="77" t="s">
        <v>90</v>
      </c>
      <c r="AD1112" s="77" t="s">
        <v>91</v>
      </c>
      <c r="AE1112" s="77" t="s">
        <v>1569</v>
      </c>
    </row>
    <row r="1113" spans="1:31" x14ac:dyDescent="0.3">
      <c r="A1113" s="77" t="s">
        <v>1894</v>
      </c>
      <c r="B1113" s="77" t="s">
        <v>1895</v>
      </c>
      <c r="G1113" s="77" t="s">
        <v>1566</v>
      </c>
      <c r="H1113" s="77" t="s">
        <v>77</v>
      </c>
      <c r="I1113" s="77" t="s">
        <v>1521</v>
      </c>
      <c r="J1113" s="77" t="s">
        <v>79</v>
      </c>
      <c r="K1113" s="77" t="s">
        <v>1522</v>
      </c>
      <c r="L1113" s="77" t="s">
        <v>1896</v>
      </c>
      <c r="M1113" s="77" t="s">
        <v>82</v>
      </c>
      <c r="N1113" s="77" t="s">
        <v>83</v>
      </c>
      <c r="Q1113" s="77" t="s">
        <v>111</v>
      </c>
      <c r="T1113" s="77" t="s">
        <v>1666</v>
      </c>
      <c r="U1113" s="77" t="s">
        <v>85</v>
      </c>
      <c r="V1113" s="80" t="s">
        <v>95</v>
      </c>
      <c r="X1113" s="77" t="s">
        <v>96</v>
      </c>
      <c r="Y1113" s="78" t="s">
        <v>88</v>
      </c>
      <c r="AA1113" s="77" t="s">
        <v>1568</v>
      </c>
      <c r="AB1113" s="77" t="s">
        <v>1521</v>
      </c>
      <c r="AC1113" s="77" t="s">
        <v>90</v>
      </c>
      <c r="AD1113" s="77" t="s">
        <v>91</v>
      </c>
      <c r="AE1113" s="77" t="s">
        <v>1569</v>
      </c>
    </row>
    <row r="1114" spans="1:31" x14ac:dyDescent="0.3">
      <c r="A1114" s="77" t="s">
        <v>1897</v>
      </c>
      <c r="B1114" s="77" t="s">
        <v>1898</v>
      </c>
      <c r="G1114" s="77" t="s">
        <v>1566</v>
      </c>
      <c r="H1114" s="77" t="s">
        <v>77</v>
      </c>
      <c r="I1114" s="77" t="s">
        <v>1521</v>
      </c>
      <c r="J1114" s="77" t="s">
        <v>79</v>
      </c>
      <c r="K1114" s="77" t="s">
        <v>1522</v>
      </c>
      <c r="L1114" s="77" t="s">
        <v>1899</v>
      </c>
      <c r="M1114" s="77" t="s">
        <v>82</v>
      </c>
      <c r="N1114" s="77" t="s">
        <v>83</v>
      </c>
      <c r="Q1114" s="77" t="s">
        <v>111</v>
      </c>
      <c r="T1114" s="77" t="s">
        <v>1666</v>
      </c>
      <c r="U1114" s="77" t="s">
        <v>85</v>
      </c>
      <c r="V1114" s="80" t="s">
        <v>99</v>
      </c>
      <c r="X1114" s="77" t="s">
        <v>100</v>
      </c>
      <c r="Y1114" s="78" t="s">
        <v>101</v>
      </c>
      <c r="AA1114" s="77" t="s">
        <v>1568</v>
      </c>
      <c r="AB1114" s="77" t="s">
        <v>1521</v>
      </c>
      <c r="AC1114" s="77" t="s">
        <v>90</v>
      </c>
      <c r="AD1114" s="77" t="s">
        <v>102</v>
      </c>
      <c r="AE1114" s="77" t="s">
        <v>1569</v>
      </c>
    </row>
    <row r="1115" spans="1:31" x14ac:dyDescent="0.3">
      <c r="A1115" s="77" t="s">
        <v>1900</v>
      </c>
      <c r="B1115" s="77" t="s">
        <v>1901</v>
      </c>
      <c r="G1115" s="77" t="s">
        <v>1566</v>
      </c>
      <c r="H1115" s="77" t="s">
        <v>77</v>
      </c>
      <c r="I1115" s="77" t="s">
        <v>1521</v>
      </c>
      <c r="J1115" s="77" t="s">
        <v>79</v>
      </c>
      <c r="K1115" s="77" t="s">
        <v>1522</v>
      </c>
      <c r="L1115" s="77" t="s">
        <v>1899</v>
      </c>
      <c r="M1115" s="77" t="s">
        <v>82</v>
      </c>
      <c r="N1115" s="77" t="s">
        <v>83</v>
      </c>
      <c r="Q1115" s="77" t="s">
        <v>111</v>
      </c>
      <c r="T1115" s="77" t="s">
        <v>1666</v>
      </c>
      <c r="U1115" s="77" t="s">
        <v>85</v>
      </c>
      <c r="V1115" s="80" t="s">
        <v>99</v>
      </c>
      <c r="X1115" s="77" t="s">
        <v>100</v>
      </c>
      <c r="Y1115" s="78" t="s">
        <v>101</v>
      </c>
      <c r="AA1115" s="77" t="s">
        <v>1568</v>
      </c>
      <c r="AB1115" s="77" t="s">
        <v>1521</v>
      </c>
      <c r="AC1115" s="77" t="s">
        <v>90</v>
      </c>
      <c r="AD1115" s="77" t="s">
        <v>102</v>
      </c>
      <c r="AE1115" s="77" t="s">
        <v>1569</v>
      </c>
    </row>
    <row r="1116" spans="1:31" x14ac:dyDescent="0.3">
      <c r="A1116" s="77" t="s">
        <v>1902</v>
      </c>
      <c r="B1116" s="77" t="s">
        <v>1903</v>
      </c>
      <c r="G1116" s="77" t="s">
        <v>1566</v>
      </c>
      <c r="H1116" s="77" t="s">
        <v>77</v>
      </c>
      <c r="I1116" s="77" t="s">
        <v>1521</v>
      </c>
      <c r="J1116" s="77" t="s">
        <v>79</v>
      </c>
      <c r="K1116" s="77" t="s">
        <v>1522</v>
      </c>
      <c r="L1116" s="77" t="s">
        <v>1899</v>
      </c>
      <c r="M1116" s="77" t="s">
        <v>82</v>
      </c>
      <c r="N1116" s="77" t="s">
        <v>83</v>
      </c>
      <c r="Q1116" s="77" t="s">
        <v>111</v>
      </c>
      <c r="T1116" s="77" t="s">
        <v>1666</v>
      </c>
      <c r="U1116" s="77" t="s">
        <v>85</v>
      </c>
      <c r="V1116" s="80" t="s">
        <v>99</v>
      </c>
      <c r="X1116" s="77" t="s">
        <v>100</v>
      </c>
      <c r="Y1116" s="78" t="s">
        <v>101</v>
      </c>
      <c r="AA1116" s="77" t="s">
        <v>1568</v>
      </c>
      <c r="AB1116" s="77" t="s">
        <v>1521</v>
      </c>
      <c r="AC1116" s="77" t="s">
        <v>90</v>
      </c>
      <c r="AD1116" s="77" t="s">
        <v>102</v>
      </c>
      <c r="AE1116" s="77" t="s">
        <v>1569</v>
      </c>
    </row>
    <row r="1117" spans="1:31" x14ac:dyDescent="0.3">
      <c r="A1117" s="77" t="s">
        <v>1904</v>
      </c>
      <c r="B1117" s="77" t="s">
        <v>1905</v>
      </c>
      <c r="G1117" s="77" t="s">
        <v>1566</v>
      </c>
      <c r="H1117" s="77" t="s">
        <v>77</v>
      </c>
      <c r="I1117" s="77" t="s">
        <v>1521</v>
      </c>
      <c r="J1117" s="77" t="s">
        <v>79</v>
      </c>
      <c r="K1117" s="77" t="s">
        <v>1522</v>
      </c>
      <c r="L1117" s="77" t="s">
        <v>1906</v>
      </c>
      <c r="M1117" s="77" t="s">
        <v>82</v>
      </c>
      <c r="N1117" s="77" t="s">
        <v>83</v>
      </c>
      <c r="Q1117" s="77" t="s">
        <v>111</v>
      </c>
      <c r="T1117" s="77" t="s">
        <v>1666</v>
      </c>
      <c r="U1117" s="77" t="s">
        <v>85</v>
      </c>
      <c r="V1117" s="80" t="s">
        <v>99</v>
      </c>
      <c r="X1117" s="77" t="s">
        <v>100</v>
      </c>
      <c r="Y1117" s="78" t="s">
        <v>101</v>
      </c>
      <c r="AA1117" s="77" t="s">
        <v>1568</v>
      </c>
      <c r="AB1117" s="77" t="s">
        <v>1521</v>
      </c>
      <c r="AC1117" s="77" t="s">
        <v>90</v>
      </c>
      <c r="AD1117" s="77" t="s">
        <v>102</v>
      </c>
      <c r="AE1117" s="77" t="s">
        <v>1569</v>
      </c>
    </row>
    <row r="1118" spans="1:31" x14ac:dyDescent="0.3">
      <c r="A1118" s="77" t="s">
        <v>1907</v>
      </c>
      <c r="B1118" s="77" t="s">
        <v>1908</v>
      </c>
      <c r="G1118" s="77" t="s">
        <v>1566</v>
      </c>
      <c r="H1118" s="77" t="s">
        <v>77</v>
      </c>
      <c r="I1118" s="77" t="s">
        <v>1521</v>
      </c>
      <c r="J1118" s="77" t="s">
        <v>79</v>
      </c>
      <c r="K1118" s="77" t="s">
        <v>1522</v>
      </c>
      <c r="L1118" s="77" t="s">
        <v>1909</v>
      </c>
      <c r="M1118" s="77" t="s">
        <v>82</v>
      </c>
      <c r="N1118" s="77" t="s">
        <v>83</v>
      </c>
      <c r="Q1118" s="77" t="s">
        <v>111</v>
      </c>
      <c r="T1118" s="77" t="s">
        <v>1666</v>
      </c>
      <c r="U1118" s="77" t="s">
        <v>85</v>
      </c>
      <c r="V1118" s="80" t="s">
        <v>105</v>
      </c>
      <c r="X1118" s="77" t="s">
        <v>106</v>
      </c>
      <c r="Y1118" s="78" t="s">
        <v>101</v>
      </c>
      <c r="AA1118" s="77" t="s">
        <v>1568</v>
      </c>
      <c r="AB1118" s="77" t="s">
        <v>1521</v>
      </c>
      <c r="AC1118" s="77" t="s">
        <v>90</v>
      </c>
      <c r="AD1118" s="77" t="s">
        <v>102</v>
      </c>
      <c r="AE1118" s="77" t="s">
        <v>1569</v>
      </c>
    </row>
    <row r="1119" spans="1:31" x14ac:dyDescent="0.3">
      <c r="A1119" s="77" t="s">
        <v>1910</v>
      </c>
      <c r="B1119" s="77" t="s">
        <v>1911</v>
      </c>
      <c r="G1119" s="77" t="s">
        <v>1566</v>
      </c>
      <c r="H1119" s="77" t="s">
        <v>77</v>
      </c>
      <c r="I1119" s="77" t="s">
        <v>1521</v>
      </c>
      <c r="J1119" s="77" t="s">
        <v>79</v>
      </c>
      <c r="K1119" s="77" t="s">
        <v>1522</v>
      </c>
      <c r="L1119" s="77" t="s">
        <v>1909</v>
      </c>
      <c r="M1119" s="77" t="s">
        <v>82</v>
      </c>
      <c r="N1119" s="77" t="s">
        <v>83</v>
      </c>
      <c r="Q1119" s="77" t="s">
        <v>111</v>
      </c>
      <c r="T1119" s="77" t="s">
        <v>1666</v>
      </c>
      <c r="U1119" s="77" t="s">
        <v>85</v>
      </c>
      <c r="V1119" s="80" t="s">
        <v>105</v>
      </c>
      <c r="X1119" s="77" t="s">
        <v>106</v>
      </c>
      <c r="Y1119" s="78" t="s">
        <v>101</v>
      </c>
      <c r="AA1119" s="77" t="s">
        <v>1568</v>
      </c>
      <c r="AB1119" s="77" t="s">
        <v>1521</v>
      </c>
      <c r="AC1119" s="77" t="s">
        <v>90</v>
      </c>
      <c r="AD1119" s="77" t="s">
        <v>102</v>
      </c>
      <c r="AE1119" s="77" t="s">
        <v>1569</v>
      </c>
    </row>
    <row r="1120" spans="1:31" x14ac:dyDescent="0.3">
      <c r="A1120" s="77" t="s">
        <v>1912</v>
      </c>
      <c r="B1120" s="77" t="s">
        <v>1913</v>
      </c>
      <c r="G1120" s="77" t="s">
        <v>1566</v>
      </c>
      <c r="H1120" s="77" t="s">
        <v>77</v>
      </c>
      <c r="I1120" s="77" t="s">
        <v>1521</v>
      </c>
      <c r="J1120" s="77" t="s">
        <v>79</v>
      </c>
      <c r="K1120" s="77" t="s">
        <v>1522</v>
      </c>
      <c r="L1120" s="77" t="s">
        <v>1909</v>
      </c>
      <c r="M1120" s="77" t="s">
        <v>82</v>
      </c>
      <c r="N1120" s="77" t="s">
        <v>83</v>
      </c>
      <c r="Q1120" s="77" t="s">
        <v>111</v>
      </c>
      <c r="T1120" s="77" t="s">
        <v>1666</v>
      </c>
      <c r="U1120" s="77" t="s">
        <v>85</v>
      </c>
      <c r="V1120" s="80" t="s">
        <v>105</v>
      </c>
      <c r="X1120" s="77" t="s">
        <v>106</v>
      </c>
      <c r="Y1120" s="78" t="s">
        <v>101</v>
      </c>
      <c r="AA1120" s="77" t="s">
        <v>1568</v>
      </c>
      <c r="AB1120" s="77" t="s">
        <v>1521</v>
      </c>
      <c r="AC1120" s="77" t="s">
        <v>90</v>
      </c>
      <c r="AD1120" s="77" t="s">
        <v>102</v>
      </c>
      <c r="AE1120" s="77" t="s">
        <v>1569</v>
      </c>
    </row>
    <row r="1121" spans="1:31" x14ac:dyDescent="0.3">
      <c r="A1121" s="77" t="s">
        <v>1914</v>
      </c>
      <c r="B1121" s="77" t="s">
        <v>1915</v>
      </c>
      <c r="G1121" s="77" t="s">
        <v>1566</v>
      </c>
      <c r="H1121" s="77" t="s">
        <v>77</v>
      </c>
      <c r="I1121" s="77" t="s">
        <v>1521</v>
      </c>
      <c r="J1121" s="77" t="s">
        <v>79</v>
      </c>
      <c r="K1121" s="77" t="s">
        <v>1522</v>
      </c>
      <c r="L1121" s="77" t="s">
        <v>1916</v>
      </c>
      <c r="M1121" s="77" t="s">
        <v>82</v>
      </c>
      <c r="N1121" s="77" t="s">
        <v>83</v>
      </c>
      <c r="Q1121" s="77" t="s">
        <v>111</v>
      </c>
      <c r="T1121" s="77" t="s">
        <v>1666</v>
      </c>
      <c r="U1121" s="77" t="s">
        <v>85</v>
      </c>
      <c r="V1121" s="80" t="s">
        <v>105</v>
      </c>
      <c r="X1121" s="77" t="s">
        <v>106</v>
      </c>
      <c r="Y1121" s="78" t="s">
        <v>101</v>
      </c>
      <c r="AA1121" s="77" t="s">
        <v>1568</v>
      </c>
      <c r="AB1121" s="77" t="s">
        <v>1521</v>
      </c>
      <c r="AC1121" s="77" t="s">
        <v>90</v>
      </c>
      <c r="AD1121" s="77" t="s">
        <v>102</v>
      </c>
      <c r="AE1121" s="77" t="s">
        <v>1569</v>
      </c>
    </row>
    <row r="1122" spans="1:31" x14ac:dyDescent="0.3">
      <c r="A1122" s="77" t="s">
        <v>1917</v>
      </c>
      <c r="B1122" s="77" t="s">
        <v>1918</v>
      </c>
      <c r="G1122" s="77" t="s">
        <v>1566</v>
      </c>
      <c r="H1122" s="77" t="s">
        <v>77</v>
      </c>
      <c r="I1122" s="77" t="s">
        <v>1521</v>
      </c>
      <c r="J1122" s="77" t="s">
        <v>79</v>
      </c>
      <c r="K1122" s="77" t="s">
        <v>1522</v>
      </c>
      <c r="L1122" s="77" t="s">
        <v>1084</v>
      </c>
      <c r="M1122" s="77" t="s">
        <v>82</v>
      </c>
      <c r="N1122" s="77" t="s">
        <v>83</v>
      </c>
      <c r="Q1122" s="77" t="s">
        <v>111</v>
      </c>
      <c r="T1122" s="77" t="s">
        <v>1666</v>
      </c>
      <c r="U1122" s="77" t="s">
        <v>85</v>
      </c>
      <c r="V1122" s="80" t="s">
        <v>238</v>
      </c>
      <c r="X1122" s="77" t="s">
        <v>239</v>
      </c>
      <c r="Y1122" s="78" t="s">
        <v>88</v>
      </c>
      <c r="AA1122" s="77" t="s">
        <v>1568</v>
      </c>
      <c r="AB1122" s="77" t="s">
        <v>1521</v>
      </c>
      <c r="AC1122" s="77" t="s">
        <v>90</v>
      </c>
      <c r="AD1122" s="77" t="s">
        <v>91</v>
      </c>
      <c r="AE1122" s="77" t="s">
        <v>1569</v>
      </c>
    </row>
    <row r="1123" spans="1:31" x14ac:dyDescent="0.3">
      <c r="A1123" s="77" t="s">
        <v>1919</v>
      </c>
      <c r="B1123" s="77" t="s">
        <v>1920</v>
      </c>
      <c r="G1123" s="77" t="s">
        <v>1566</v>
      </c>
      <c r="H1123" s="77" t="s">
        <v>77</v>
      </c>
      <c r="I1123" s="77" t="s">
        <v>1521</v>
      </c>
      <c r="J1123" s="77" t="s">
        <v>79</v>
      </c>
      <c r="K1123" s="77" t="s">
        <v>1522</v>
      </c>
      <c r="L1123" s="77" t="s">
        <v>1087</v>
      </c>
      <c r="M1123" s="77" t="s">
        <v>82</v>
      </c>
      <c r="N1123" s="77" t="s">
        <v>83</v>
      </c>
      <c r="Q1123" s="77" t="s">
        <v>111</v>
      </c>
      <c r="T1123" s="77" t="s">
        <v>1666</v>
      </c>
      <c r="U1123" s="77" t="s">
        <v>85</v>
      </c>
      <c r="V1123" s="80" t="s">
        <v>245</v>
      </c>
      <c r="X1123" s="77" t="s">
        <v>246</v>
      </c>
      <c r="Y1123" s="78" t="s">
        <v>88</v>
      </c>
      <c r="AA1123" s="77" t="s">
        <v>1568</v>
      </c>
      <c r="AB1123" s="77" t="s">
        <v>1521</v>
      </c>
      <c r="AC1123" s="77" t="s">
        <v>90</v>
      </c>
      <c r="AD1123" s="77" t="s">
        <v>91</v>
      </c>
      <c r="AE1123" s="77" t="s">
        <v>1569</v>
      </c>
    </row>
    <row r="1124" spans="1:31" x14ac:dyDescent="0.3">
      <c r="A1124" s="77" t="s">
        <v>1921</v>
      </c>
      <c r="B1124" s="77" t="s">
        <v>1922</v>
      </c>
      <c r="G1124" s="77" t="s">
        <v>1566</v>
      </c>
      <c r="H1124" s="77" t="s">
        <v>77</v>
      </c>
      <c r="I1124" s="77" t="s">
        <v>1521</v>
      </c>
      <c r="J1124" s="77" t="s">
        <v>79</v>
      </c>
      <c r="K1124" s="77" t="s">
        <v>1522</v>
      </c>
      <c r="L1124" s="77" t="s">
        <v>1090</v>
      </c>
      <c r="M1124" s="77" t="s">
        <v>82</v>
      </c>
      <c r="N1124" s="77" t="s">
        <v>83</v>
      </c>
      <c r="Q1124" s="77" t="s">
        <v>111</v>
      </c>
      <c r="T1124" s="77" t="s">
        <v>1666</v>
      </c>
      <c r="U1124" s="77" t="s">
        <v>85</v>
      </c>
      <c r="V1124" s="80" t="s">
        <v>252</v>
      </c>
      <c r="X1124" s="77" t="s">
        <v>253</v>
      </c>
      <c r="Y1124" s="78" t="s">
        <v>101</v>
      </c>
      <c r="AA1124" s="77" t="s">
        <v>1568</v>
      </c>
      <c r="AB1124" s="77" t="s">
        <v>1521</v>
      </c>
      <c r="AC1124" s="77" t="s">
        <v>90</v>
      </c>
      <c r="AD1124" s="77" t="s">
        <v>102</v>
      </c>
      <c r="AE1124" s="77" t="s">
        <v>1569</v>
      </c>
    </row>
    <row r="1125" spans="1:31" x14ac:dyDescent="0.3">
      <c r="A1125" s="77" t="s">
        <v>1923</v>
      </c>
      <c r="B1125" s="77" t="s">
        <v>1924</v>
      </c>
      <c r="G1125" s="77" t="s">
        <v>1566</v>
      </c>
      <c r="H1125" s="77" t="s">
        <v>77</v>
      </c>
      <c r="I1125" s="77" t="s">
        <v>1521</v>
      </c>
      <c r="J1125" s="77" t="s">
        <v>79</v>
      </c>
      <c r="K1125" s="77" t="s">
        <v>1522</v>
      </c>
      <c r="L1125" s="77" t="s">
        <v>1093</v>
      </c>
      <c r="M1125" s="77" t="s">
        <v>82</v>
      </c>
      <c r="N1125" s="77" t="s">
        <v>83</v>
      </c>
      <c r="Q1125" s="77" t="s">
        <v>111</v>
      </c>
      <c r="T1125" s="77" t="s">
        <v>1666</v>
      </c>
      <c r="U1125" s="77" t="s">
        <v>85</v>
      </c>
      <c r="V1125" s="80" t="s">
        <v>259</v>
      </c>
      <c r="X1125" s="77" t="s">
        <v>260</v>
      </c>
      <c r="Y1125" s="78" t="s">
        <v>101</v>
      </c>
      <c r="AA1125" s="77" t="s">
        <v>1568</v>
      </c>
      <c r="AB1125" s="77" t="s">
        <v>1521</v>
      </c>
      <c r="AC1125" s="77" t="s">
        <v>90</v>
      </c>
      <c r="AD1125" s="77" t="s">
        <v>102</v>
      </c>
      <c r="AE1125" s="77" t="s">
        <v>1569</v>
      </c>
    </row>
    <row r="1126" spans="1:31" x14ac:dyDescent="0.3">
      <c r="A1126" s="77" t="s">
        <v>1925</v>
      </c>
      <c r="B1126" s="77" t="s">
        <v>1926</v>
      </c>
      <c r="G1126" s="77" t="s">
        <v>1566</v>
      </c>
      <c r="H1126" s="77" t="s">
        <v>77</v>
      </c>
      <c r="I1126" s="77" t="s">
        <v>1521</v>
      </c>
      <c r="J1126" s="77" t="s">
        <v>79</v>
      </c>
      <c r="K1126" s="77" t="s">
        <v>1522</v>
      </c>
      <c r="L1126" s="77" t="s">
        <v>1927</v>
      </c>
      <c r="M1126" s="77" t="s">
        <v>82</v>
      </c>
      <c r="N1126" s="77" t="s">
        <v>83</v>
      </c>
      <c r="Q1126" s="77" t="s">
        <v>111</v>
      </c>
      <c r="T1126" s="77" t="s">
        <v>1666</v>
      </c>
      <c r="U1126" s="77" t="s">
        <v>85</v>
      </c>
      <c r="V1126" s="80" t="s">
        <v>86</v>
      </c>
      <c r="X1126" s="77" t="s">
        <v>87</v>
      </c>
      <c r="Y1126" s="78" t="s">
        <v>88</v>
      </c>
      <c r="AA1126" s="77" t="s">
        <v>1568</v>
      </c>
      <c r="AB1126" s="77" t="s">
        <v>1521</v>
      </c>
      <c r="AC1126" s="77" t="s">
        <v>90</v>
      </c>
      <c r="AD1126" s="77" t="s">
        <v>91</v>
      </c>
      <c r="AE1126" s="77" t="s">
        <v>1569</v>
      </c>
    </row>
    <row r="1127" spans="1:31" x14ac:dyDescent="0.3">
      <c r="A1127" s="77" t="s">
        <v>1928</v>
      </c>
      <c r="B1127" s="77" t="s">
        <v>1929</v>
      </c>
      <c r="G1127" s="77" t="s">
        <v>1566</v>
      </c>
      <c r="H1127" s="77" t="s">
        <v>77</v>
      </c>
      <c r="I1127" s="77" t="s">
        <v>1521</v>
      </c>
      <c r="J1127" s="77" t="s">
        <v>79</v>
      </c>
      <c r="K1127" s="77" t="s">
        <v>1522</v>
      </c>
      <c r="L1127" s="77" t="s">
        <v>1927</v>
      </c>
      <c r="M1127" s="77" t="s">
        <v>82</v>
      </c>
      <c r="N1127" s="77" t="s">
        <v>83</v>
      </c>
      <c r="Q1127" s="77" t="s">
        <v>111</v>
      </c>
      <c r="T1127" s="77" t="s">
        <v>1666</v>
      </c>
      <c r="U1127" s="77" t="s">
        <v>85</v>
      </c>
      <c r="V1127" s="80" t="s">
        <v>86</v>
      </c>
      <c r="X1127" s="77" t="s">
        <v>87</v>
      </c>
      <c r="Y1127" s="78" t="s">
        <v>88</v>
      </c>
      <c r="AA1127" s="77" t="s">
        <v>1568</v>
      </c>
      <c r="AB1127" s="77" t="s">
        <v>1521</v>
      </c>
      <c r="AC1127" s="77" t="s">
        <v>90</v>
      </c>
      <c r="AD1127" s="77" t="s">
        <v>91</v>
      </c>
      <c r="AE1127" s="77" t="s">
        <v>1569</v>
      </c>
    </row>
    <row r="1128" spans="1:31" x14ac:dyDescent="0.3">
      <c r="A1128" s="77" t="s">
        <v>1930</v>
      </c>
      <c r="B1128" s="77" t="s">
        <v>1931</v>
      </c>
      <c r="G1128" s="77" t="s">
        <v>1566</v>
      </c>
      <c r="H1128" s="77" t="s">
        <v>77</v>
      </c>
      <c r="I1128" s="77" t="s">
        <v>1521</v>
      </c>
      <c r="J1128" s="77" t="s">
        <v>79</v>
      </c>
      <c r="K1128" s="77" t="s">
        <v>1522</v>
      </c>
      <c r="L1128" s="77" t="s">
        <v>1932</v>
      </c>
      <c r="M1128" s="77" t="s">
        <v>82</v>
      </c>
      <c r="N1128" s="77" t="s">
        <v>83</v>
      </c>
      <c r="Q1128" s="77" t="s">
        <v>111</v>
      </c>
      <c r="T1128" s="77" t="s">
        <v>1666</v>
      </c>
      <c r="U1128" s="77" t="s">
        <v>85</v>
      </c>
      <c r="V1128" s="80" t="s">
        <v>95</v>
      </c>
      <c r="X1128" s="77" t="s">
        <v>96</v>
      </c>
      <c r="Y1128" s="78" t="s">
        <v>88</v>
      </c>
      <c r="AA1128" s="77" t="s">
        <v>1568</v>
      </c>
      <c r="AB1128" s="77" t="s">
        <v>1521</v>
      </c>
      <c r="AC1128" s="77" t="s">
        <v>90</v>
      </c>
      <c r="AD1128" s="77" t="s">
        <v>91</v>
      </c>
      <c r="AE1128" s="77" t="s">
        <v>1569</v>
      </c>
    </row>
    <row r="1129" spans="1:31" x14ac:dyDescent="0.3">
      <c r="A1129" s="77" t="s">
        <v>1933</v>
      </c>
      <c r="B1129" s="77" t="s">
        <v>1934</v>
      </c>
      <c r="G1129" s="77" t="s">
        <v>1566</v>
      </c>
      <c r="H1129" s="77" t="s">
        <v>77</v>
      </c>
      <c r="I1129" s="77" t="s">
        <v>1521</v>
      </c>
      <c r="J1129" s="77" t="s">
        <v>79</v>
      </c>
      <c r="K1129" s="77" t="s">
        <v>1522</v>
      </c>
      <c r="L1129" s="77" t="s">
        <v>1932</v>
      </c>
      <c r="M1129" s="77" t="s">
        <v>82</v>
      </c>
      <c r="N1129" s="77" t="s">
        <v>83</v>
      </c>
      <c r="Q1129" s="77" t="s">
        <v>111</v>
      </c>
      <c r="T1129" s="77" t="s">
        <v>1666</v>
      </c>
      <c r="U1129" s="77" t="s">
        <v>85</v>
      </c>
      <c r="V1129" s="80" t="s">
        <v>95</v>
      </c>
      <c r="X1129" s="77" t="s">
        <v>96</v>
      </c>
      <c r="Y1129" s="78" t="s">
        <v>88</v>
      </c>
      <c r="AA1129" s="77" t="s">
        <v>1568</v>
      </c>
      <c r="AB1129" s="77" t="s">
        <v>1521</v>
      </c>
      <c r="AC1129" s="77" t="s">
        <v>90</v>
      </c>
      <c r="AD1129" s="77" t="s">
        <v>91</v>
      </c>
      <c r="AE1129" s="77" t="s">
        <v>1569</v>
      </c>
    </row>
    <row r="1130" spans="1:31" x14ac:dyDescent="0.3">
      <c r="A1130" s="77" t="s">
        <v>1935</v>
      </c>
      <c r="B1130" s="77" t="s">
        <v>1936</v>
      </c>
      <c r="G1130" s="77" t="s">
        <v>1566</v>
      </c>
      <c r="H1130" s="77" t="s">
        <v>77</v>
      </c>
      <c r="I1130" s="77" t="s">
        <v>1521</v>
      </c>
      <c r="J1130" s="77" t="s">
        <v>79</v>
      </c>
      <c r="K1130" s="77" t="s">
        <v>1522</v>
      </c>
      <c r="L1130" s="77" t="s">
        <v>1937</v>
      </c>
      <c r="M1130" s="77" t="s">
        <v>82</v>
      </c>
      <c r="N1130" s="77" t="s">
        <v>83</v>
      </c>
      <c r="Q1130" s="77" t="s">
        <v>111</v>
      </c>
      <c r="T1130" s="77" t="s">
        <v>1666</v>
      </c>
      <c r="U1130" s="77" t="s">
        <v>85</v>
      </c>
      <c r="V1130" s="80" t="s">
        <v>99</v>
      </c>
      <c r="X1130" s="77" t="s">
        <v>100</v>
      </c>
      <c r="Y1130" s="78" t="s">
        <v>101</v>
      </c>
      <c r="AA1130" s="77" t="s">
        <v>1568</v>
      </c>
      <c r="AB1130" s="77" t="s">
        <v>1521</v>
      </c>
      <c r="AC1130" s="77" t="s">
        <v>90</v>
      </c>
      <c r="AD1130" s="77" t="s">
        <v>102</v>
      </c>
      <c r="AE1130" s="77" t="s">
        <v>1569</v>
      </c>
    </row>
    <row r="1131" spans="1:31" x14ac:dyDescent="0.3">
      <c r="A1131" s="77" t="s">
        <v>1938</v>
      </c>
      <c r="B1131" s="77" t="s">
        <v>1939</v>
      </c>
      <c r="G1131" s="77" t="s">
        <v>1566</v>
      </c>
      <c r="H1131" s="77" t="s">
        <v>77</v>
      </c>
      <c r="I1131" s="77" t="s">
        <v>1521</v>
      </c>
      <c r="J1131" s="77" t="s">
        <v>79</v>
      </c>
      <c r="K1131" s="77" t="s">
        <v>1522</v>
      </c>
      <c r="L1131" s="77" t="s">
        <v>1937</v>
      </c>
      <c r="M1131" s="77" t="s">
        <v>82</v>
      </c>
      <c r="N1131" s="77" t="s">
        <v>83</v>
      </c>
      <c r="Q1131" s="77" t="s">
        <v>111</v>
      </c>
      <c r="T1131" s="77" t="s">
        <v>1666</v>
      </c>
      <c r="U1131" s="77" t="s">
        <v>85</v>
      </c>
      <c r="V1131" s="80" t="s">
        <v>99</v>
      </c>
      <c r="X1131" s="77" t="s">
        <v>100</v>
      </c>
      <c r="Y1131" s="78" t="s">
        <v>101</v>
      </c>
      <c r="AA1131" s="77" t="s">
        <v>1568</v>
      </c>
      <c r="AB1131" s="77" t="s">
        <v>1521</v>
      </c>
      <c r="AC1131" s="77" t="s">
        <v>90</v>
      </c>
      <c r="AD1131" s="77" t="s">
        <v>102</v>
      </c>
      <c r="AE1131" s="77" t="s">
        <v>1569</v>
      </c>
    </row>
    <row r="1132" spans="1:31" x14ac:dyDescent="0.3">
      <c r="A1132" s="77" t="s">
        <v>1940</v>
      </c>
      <c r="B1132" s="77" t="s">
        <v>1941</v>
      </c>
      <c r="G1132" s="77" t="s">
        <v>1566</v>
      </c>
      <c r="H1132" s="77" t="s">
        <v>77</v>
      </c>
      <c r="I1132" s="77" t="s">
        <v>1521</v>
      </c>
      <c r="J1132" s="77" t="s">
        <v>79</v>
      </c>
      <c r="K1132" s="77" t="s">
        <v>1522</v>
      </c>
      <c r="L1132" s="77" t="s">
        <v>1942</v>
      </c>
      <c r="M1132" s="77" t="s">
        <v>82</v>
      </c>
      <c r="N1132" s="77" t="s">
        <v>83</v>
      </c>
      <c r="Q1132" s="77" t="s">
        <v>111</v>
      </c>
      <c r="T1132" s="77" t="s">
        <v>1666</v>
      </c>
      <c r="U1132" s="77" t="s">
        <v>85</v>
      </c>
      <c r="V1132" s="80" t="s">
        <v>105</v>
      </c>
      <c r="X1132" s="77" t="s">
        <v>106</v>
      </c>
      <c r="Y1132" s="78" t="s">
        <v>101</v>
      </c>
      <c r="AA1132" s="77" t="s">
        <v>1568</v>
      </c>
      <c r="AB1132" s="77" t="s">
        <v>1521</v>
      </c>
      <c r="AC1132" s="77" t="s">
        <v>90</v>
      </c>
      <c r="AD1132" s="77" t="s">
        <v>102</v>
      </c>
      <c r="AE1132" s="77" t="s">
        <v>1569</v>
      </c>
    </row>
    <row r="1133" spans="1:31" x14ac:dyDescent="0.3">
      <c r="A1133" s="77" t="s">
        <v>1943</v>
      </c>
      <c r="B1133" s="77" t="s">
        <v>1944</v>
      </c>
      <c r="G1133" s="77" t="s">
        <v>1566</v>
      </c>
      <c r="H1133" s="77" t="s">
        <v>77</v>
      </c>
      <c r="I1133" s="77" t="s">
        <v>1521</v>
      </c>
      <c r="J1133" s="77" t="s">
        <v>79</v>
      </c>
      <c r="K1133" s="77" t="s">
        <v>1522</v>
      </c>
      <c r="L1133" s="77" t="s">
        <v>1942</v>
      </c>
      <c r="M1133" s="77" t="s">
        <v>82</v>
      </c>
      <c r="N1133" s="77" t="s">
        <v>83</v>
      </c>
      <c r="Q1133" s="77" t="s">
        <v>111</v>
      </c>
      <c r="T1133" s="77" t="s">
        <v>1666</v>
      </c>
      <c r="U1133" s="77" t="s">
        <v>85</v>
      </c>
      <c r="V1133" s="80" t="s">
        <v>105</v>
      </c>
      <c r="X1133" s="77" t="s">
        <v>106</v>
      </c>
      <c r="Y1133" s="78" t="s">
        <v>101</v>
      </c>
      <c r="AA1133" s="77" t="s">
        <v>1568</v>
      </c>
      <c r="AB1133" s="77" t="s">
        <v>1521</v>
      </c>
      <c r="AC1133" s="77" t="s">
        <v>90</v>
      </c>
      <c r="AD1133" s="77" t="s">
        <v>102</v>
      </c>
      <c r="AE1133" s="77" t="s">
        <v>1569</v>
      </c>
    </row>
    <row r="1134" spans="1:31" x14ac:dyDescent="0.3">
      <c r="A1134" s="77" t="s">
        <v>1945</v>
      </c>
      <c r="B1134" s="77" t="s">
        <v>1946</v>
      </c>
      <c r="G1134" s="77" t="s">
        <v>1566</v>
      </c>
      <c r="H1134" s="77" t="s">
        <v>77</v>
      </c>
      <c r="I1134" s="77" t="s">
        <v>1521</v>
      </c>
      <c r="J1134" s="77" t="s">
        <v>79</v>
      </c>
      <c r="K1134" s="77" t="s">
        <v>1522</v>
      </c>
      <c r="L1134" s="77" t="s">
        <v>1947</v>
      </c>
      <c r="M1134" s="77" t="s">
        <v>82</v>
      </c>
      <c r="N1134" s="77" t="s">
        <v>83</v>
      </c>
      <c r="Q1134" s="77" t="s">
        <v>111</v>
      </c>
      <c r="T1134" s="77" t="s">
        <v>1666</v>
      </c>
      <c r="U1134" s="77" t="s">
        <v>85</v>
      </c>
      <c r="V1134" s="80" t="s">
        <v>95</v>
      </c>
      <c r="X1134" s="77" t="s">
        <v>96</v>
      </c>
      <c r="Y1134" s="78" t="s">
        <v>88</v>
      </c>
      <c r="AA1134" s="77" t="s">
        <v>1568</v>
      </c>
      <c r="AB1134" s="77" t="s">
        <v>1521</v>
      </c>
      <c r="AC1134" s="77" t="s">
        <v>90</v>
      </c>
      <c r="AD1134" s="77" t="s">
        <v>91</v>
      </c>
      <c r="AE1134" s="77" t="s">
        <v>1569</v>
      </c>
    </row>
    <row r="1135" spans="1:31" x14ac:dyDescent="0.3">
      <c r="A1135" s="77" t="s">
        <v>1948</v>
      </c>
      <c r="B1135" s="77" t="s">
        <v>1949</v>
      </c>
      <c r="G1135" s="77" t="s">
        <v>1566</v>
      </c>
      <c r="H1135" s="77" t="s">
        <v>77</v>
      </c>
      <c r="I1135" s="77" t="s">
        <v>1521</v>
      </c>
      <c r="J1135" s="77" t="s">
        <v>79</v>
      </c>
      <c r="K1135" s="77" t="s">
        <v>1522</v>
      </c>
      <c r="L1135" s="77" t="s">
        <v>1950</v>
      </c>
      <c r="M1135" s="77" t="s">
        <v>82</v>
      </c>
      <c r="N1135" s="77" t="s">
        <v>83</v>
      </c>
      <c r="Q1135" s="77" t="s">
        <v>111</v>
      </c>
      <c r="T1135" s="77" t="s">
        <v>1666</v>
      </c>
      <c r="U1135" s="77" t="s">
        <v>85</v>
      </c>
      <c r="V1135" s="80" t="s">
        <v>99</v>
      </c>
      <c r="X1135" s="77" t="s">
        <v>100</v>
      </c>
      <c r="Y1135" s="78" t="s">
        <v>101</v>
      </c>
      <c r="AA1135" s="77" t="s">
        <v>1568</v>
      </c>
      <c r="AB1135" s="77" t="s">
        <v>1521</v>
      </c>
      <c r="AC1135" s="77" t="s">
        <v>90</v>
      </c>
      <c r="AD1135" s="77" t="s">
        <v>102</v>
      </c>
      <c r="AE1135" s="77" t="s">
        <v>1569</v>
      </c>
    </row>
    <row r="1136" spans="1:31" x14ac:dyDescent="0.3">
      <c r="A1136" s="77" t="s">
        <v>1951</v>
      </c>
      <c r="B1136" s="77" t="s">
        <v>1952</v>
      </c>
      <c r="G1136" s="77" t="s">
        <v>1566</v>
      </c>
      <c r="H1136" s="77" t="s">
        <v>77</v>
      </c>
      <c r="I1136" s="77" t="s">
        <v>1521</v>
      </c>
      <c r="J1136" s="77" t="s">
        <v>79</v>
      </c>
      <c r="K1136" s="77" t="s">
        <v>1522</v>
      </c>
      <c r="L1136" s="77" t="s">
        <v>1953</v>
      </c>
      <c r="M1136" s="77" t="s">
        <v>82</v>
      </c>
      <c r="N1136" s="77" t="s">
        <v>83</v>
      </c>
      <c r="Q1136" s="77" t="s">
        <v>111</v>
      </c>
      <c r="T1136" s="77" t="s">
        <v>1666</v>
      </c>
      <c r="U1136" s="77" t="s">
        <v>85</v>
      </c>
      <c r="V1136" s="80" t="s">
        <v>105</v>
      </c>
      <c r="X1136" s="77" t="s">
        <v>106</v>
      </c>
      <c r="Y1136" s="78" t="s">
        <v>101</v>
      </c>
      <c r="AA1136" s="77" t="s">
        <v>1568</v>
      </c>
      <c r="AB1136" s="77" t="s">
        <v>1521</v>
      </c>
      <c r="AC1136" s="77" t="s">
        <v>90</v>
      </c>
      <c r="AD1136" s="77" t="s">
        <v>102</v>
      </c>
      <c r="AE1136" s="77" t="s">
        <v>1569</v>
      </c>
    </row>
    <row r="1137" spans="1:31" x14ac:dyDescent="0.3">
      <c r="A1137" s="77" t="s">
        <v>1954</v>
      </c>
      <c r="B1137" s="77" t="s">
        <v>1955</v>
      </c>
      <c r="G1137" s="77" t="s">
        <v>1566</v>
      </c>
      <c r="H1137" s="77" t="s">
        <v>77</v>
      </c>
      <c r="I1137" s="77" t="s">
        <v>1521</v>
      </c>
      <c r="J1137" s="77" t="s">
        <v>79</v>
      </c>
      <c r="K1137" s="77" t="s">
        <v>1522</v>
      </c>
      <c r="L1137" s="77" t="s">
        <v>1956</v>
      </c>
      <c r="M1137" s="77" t="s">
        <v>82</v>
      </c>
      <c r="N1137" s="77" t="s">
        <v>83</v>
      </c>
      <c r="Q1137" s="77" t="s">
        <v>111</v>
      </c>
      <c r="T1137" s="77" t="s">
        <v>1666</v>
      </c>
      <c r="U1137" s="77" t="s">
        <v>85</v>
      </c>
      <c r="V1137" s="80" t="s">
        <v>657</v>
      </c>
      <c r="X1137" s="77" t="s">
        <v>658</v>
      </c>
      <c r="Y1137" s="78" t="s">
        <v>88</v>
      </c>
      <c r="AA1137" s="77" t="s">
        <v>1568</v>
      </c>
      <c r="AB1137" s="77" t="s">
        <v>1521</v>
      </c>
      <c r="AC1137" s="77" t="s">
        <v>90</v>
      </c>
      <c r="AD1137" s="77" t="s">
        <v>91</v>
      </c>
      <c r="AE1137" s="77" t="s">
        <v>1569</v>
      </c>
    </row>
    <row r="1138" spans="1:31" x14ac:dyDescent="0.3">
      <c r="A1138" s="77" t="s">
        <v>1957</v>
      </c>
      <c r="B1138" s="77" t="s">
        <v>1958</v>
      </c>
      <c r="G1138" s="77" t="s">
        <v>1566</v>
      </c>
      <c r="H1138" s="77" t="s">
        <v>77</v>
      </c>
      <c r="I1138" s="77" t="s">
        <v>1521</v>
      </c>
      <c r="J1138" s="77" t="s">
        <v>79</v>
      </c>
      <c r="K1138" s="77" t="s">
        <v>1522</v>
      </c>
      <c r="L1138" s="77" t="s">
        <v>1956</v>
      </c>
      <c r="M1138" s="77" t="s">
        <v>82</v>
      </c>
      <c r="N1138" s="77" t="s">
        <v>83</v>
      </c>
      <c r="Q1138" s="77" t="s">
        <v>111</v>
      </c>
      <c r="T1138" s="77" t="s">
        <v>1666</v>
      </c>
      <c r="U1138" s="77" t="s">
        <v>85</v>
      </c>
      <c r="V1138" s="80" t="s">
        <v>657</v>
      </c>
      <c r="X1138" s="77" t="s">
        <v>658</v>
      </c>
      <c r="Y1138" s="78" t="s">
        <v>88</v>
      </c>
      <c r="AA1138" s="77" t="s">
        <v>1568</v>
      </c>
      <c r="AB1138" s="77" t="s">
        <v>1521</v>
      </c>
      <c r="AC1138" s="77" t="s">
        <v>90</v>
      </c>
      <c r="AD1138" s="77" t="s">
        <v>91</v>
      </c>
      <c r="AE1138" s="77" t="s">
        <v>1569</v>
      </c>
    </row>
    <row r="1139" spans="1:31" x14ac:dyDescent="0.3">
      <c r="A1139" s="77" t="s">
        <v>1959</v>
      </c>
      <c r="B1139" s="77" t="s">
        <v>1960</v>
      </c>
      <c r="G1139" s="77" t="s">
        <v>1566</v>
      </c>
      <c r="H1139" s="77" t="s">
        <v>77</v>
      </c>
      <c r="I1139" s="77" t="s">
        <v>1521</v>
      </c>
      <c r="J1139" s="77" t="s">
        <v>79</v>
      </c>
      <c r="K1139" s="77" t="s">
        <v>1522</v>
      </c>
      <c r="L1139" s="77" t="s">
        <v>1956</v>
      </c>
      <c r="M1139" s="77" t="s">
        <v>82</v>
      </c>
      <c r="N1139" s="77" t="s">
        <v>83</v>
      </c>
      <c r="Q1139" s="77" t="s">
        <v>111</v>
      </c>
      <c r="T1139" s="77" t="s">
        <v>1666</v>
      </c>
      <c r="U1139" s="77" t="s">
        <v>85</v>
      </c>
      <c r="V1139" s="80" t="s">
        <v>657</v>
      </c>
      <c r="X1139" s="77" t="s">
        <v>658</v>
      </c>
      <c r="Y1139" s="78" t="s">
        <v>88</v>
      </c>
      <c r="AA1139" s="77" t="s">
        <v>1568</v>
      </c>
      <c r="AB1139" s="77" t="s">
        <v>1521</v>
      </c>
      <c r="AC1139" s="77" t="s">
        <v>90</v>
      </c>
      <c r="AD1139" s="77" t="s">
        <v>91</v>
      </c>
      <c r="AE1139" s="77" t="s">
        <v>1569</v>
      </c>
    </row>
    <row r="1140" spans="1:31" x14ac:dyDescent="0.3">
      <c r="A1140" s="77" t="s">
        <v>1961</v>
      </c>
      <c r="B1140" s="77" t="s">
        <v>1962</v>
      </c>
      <c r="G1140" s="77" t="s">
        <v>1566</v>
      </c>
      <c r="H1140" s="77" t="s">
        <v>77</v>
      </c>
      <c r="I1140" s="77" t="s">
        <v>1521</v>
      </c>
      <c r="J1140" s="77" t="s">
        <v>79</v>
      </c>
      <c r="K1140" s="77" t="s">
        <v>1522</v>
      </c>
      <c r="L1140" s="77" t="s">
        <v>1956</v>
      </c>
      <c r="M1140" s="77" t="s">
        <v>82</v>
      </c>
      <c r="N1140" s="77" t="s">
        <v>83</v>
      </c>
      <c r="Q1140" s="77" t="s">
        <v>111</v>
      </c>
      <c r="T1140" s="77" t="s">
        <v>1666</v>
      </c>
      <c r="U1140" s="77" t="s">
        <v>85</v>
      </c>
      <c r="V1140" s="80" t="s">
        <v>657</v>
      </c>
      <c r="X1140" s="77" t="s">
        <v>658</v>
      </c>
      <c r="Y1140" s="78" t="s">
        <v>88</v>
      </c>
      <c r="AA1140" s="77" t="s">
        <v>1568</v>
      </c>
      <c r="AB1140" s="77" t="s">
        <v>1521</v>
      </c>
      <c r="AC1140" s="77" t="s">
        <v>90</v>
      </c>
      <c r="AD1140" s="77" t="s">
        <v>91</v>
      </c>
      <c r="AE1140" s="77" t="s">
        <v>1569</v>
      </c>
    </row>
    <row r="1141" spans="1:31" x14ac:dyDescent="0.3">
      <c r="A1141" s="77" t="s">
        <v>1963</v>
      </c>
      <c r="B1141" s="77" t="s">
        <v>1964</v>
      </c>
      <c r="G1141" s="77" t="s">
        <v>1566</v>
      </c>
      <c r="H1141" s="77" t="s">
        <v>77</v>
      </c>
      <c r="I1141" s="77" t="s">
        <v>1521</v>
      </c>
      <c r="J1141" s="77" t="s">
        <v>79</v>
      </c>
      <c r="K1141" s="77" t="s">
        <v>1522</v>
      </c>
      <c r="L1141" s="77" t="s">
        <v>1956</v>
      </c>
      <c r="M1141" s="77" t="s">
        <v>82</v>
      </c>
      <c r="N1141" s="77" t="s">
        <v>83</v>
      </c>
      <c r="Q1141" s="77" t="s">
        <v>111</v>
      </c>
      <c r="T1141" s="77" t="s">
        <v>1666</v>
      </c>
      <c r="U1141" s="77" t="s">
        <v>85</v>
      </c>
      <c r="V1141" s="80" t="s">
        <v>657</v>
      </c>
      <c r="X1141" s="77" t="s">
        <v>658</v>
      </c>
      <c r="Y1141" s="78" t="s">
        <v>88</v>
      </c>
      <c r="AA1141" s="77" t="s">
        <v>1568</v>
      </c>
      <c r="AB1141" s="77" t="s">
        <v>1521</v>
      </c>
      <c r="AC1141" s="77" t="s">
        <v>90</v>
      </c>
      <c r="AD1141" s="77" t="s">
        <v>91</v>
      </c>
      <c r="AE1141" s="77" t="s">
        <v>1569</v>
      </c>
    </row>
    <row r="1142" spans="1:31" x14ac:dyDescent="0.3">
      <c r="A1142" s="77" t="s">
        <v>1965</v>
      </c>
      <c r="B1142" s="77" t="s">
        <v>1966</v>
      </c>
      <c r="G1142" s="77" t="s">
        <v>1566</v>
      </c>
      <c r="H1142" s="77" t="s">
        <v>77</v>
      </c>
      <c r="I1142" s="77" t="s">
        <v>1521</v>
      </c>
      <c r="J1142" s="77" t="s">
        <v>79</v>
      </c>
      <c r="K1142" s="77" t="s">
        <v>1522</v>
      </c>
      <c r="L1142" s="77" t="s">
        <v>1174</v>
      </c>
      <c r="M1142" s="77" t="s">
        <v>82</v>
      </c>
      <c r="N1142" s="77" t="s">
        <v>83</v>
      </c>
      <c r="Q1142" s="77" t="s">
        <v>111</v>
      </c>
      <c r="T1142" s="77" t="s">
        <v>1666</v>
      </c>
      <c r="U1142" s="77" t="s">
        <v>85</v>
      </c>
      <c r="V1142" s="80" t="s">
        <v>657</v>
      </c>
      <c r="X1142" s="77" t="s">
        <v>658</v>
      </c>
      <c r="Y1142" s="78" t="s">
        <v>88</v>
      </c>
      <c r="AA1142" s="77" t="s">
        <v>1568</v>
      </c>
      <c r="AB1142" s="77" t="s">
        <v>1521</v>
      </c>
      <c r="AC1142" s="77" t="s">
        <v>90</v>
      </c>
      <c r="AD1142" s="77" t="s">
        <v>91</v>
      </c>
      <c r="AE1142" s="77" t="s">
        <v>1569</v>
      </c>
    </row>
    <row r="1143" spans="1:31" x14ac:dyDescent="0.3">
      <c r="A1143" s="77" t="s">
        <v>1967</v>
      </c>
      <c r="B1143" s="77" t="s">
        <v>1968</v>
      </c>
      <c r="G1143" s="77" t="s">
        <v>1566</v>
      </c>
      <c r="H1143" s="77" t="s">
        <v>77</v>
      </c>
      <c r="I1143" s="77" t="s">
        <v>1521</v>
      </c>
      <c r="J1143" s="77" t="s">
        <v>79</v>
      </c>
      <c r="K1143" s="77" t="s">
        <v>1522</v>
      </c>
      <c r="L1143" s="77" t="s">
        <v>1174</v>
      </c>
      <c r="M1143" s="77" t="s">
        <v>82</v>
      </c>
      <c r="N1143" s="77" t="s">
        <v>83</v>
      </c>
      <c r="Q1143" s="77" t="s">
        <v>111</v>
      </c>
      <c r="T1143" s="77" t="s">
        <v>1666</v>
      </c>
      <c r="U1143" s="77" t="s">
        <v>85</v>
      </c>
      <c r="V1143" s="80" t="s">
        <v>657</v>
      </c>
      <c r="X1143" s="77" t="s">
        <v>658</v>
      </c>
      <c r="Y1143" s="78" t="s">
        <v>88</v>
      </c>
      <c r="AA1143" s="77" t="s">
        <v>1568</v>
      </c>
      <c r="AB1143" s="77" t="s">
        <v>1521</v>
      </c>
      <c r="AC1143" s="77" t="s">
        <v>90</v>
      </c>
      <c r="AD1143" s="77" t="s">
        <v>91</v>
      </c>
      <c r="AE1143" s="77" t="s">
        <v>1569</v>
      </c>
    </row>
    <row r="1144" spans="1:31" x14ac:dyDescent="0.3">
      <c r="A1144" s="77" t="s">
        <v>1969</v>
      </c>
      <c r="B1144" s="77" t="s">
        <v>1970</v>
      </c>
      <c r="G1144" s="77" t="s">
        <v>1566</v>
      </c>
      <c r="H1144" s="77" t="s">
        <v>77</v>
      </c>
      <c r="I1144" s="77" t="s">
        <v>1521</v>
      </c>
      <c r="J1144" s="77" t="s">
        <v>79</v>
      </c>
      <c r="K1144" s="77" t="s">
        <v>1522</v>
      </c>
      <c r="L1144" s="77" t="s">
        <v>1174</v>
      </c>
      <c r="M1144" s="77" t="s">
        <v>82</v>
      </c>
      <c r="N1144" s="77" t="s">
        <v>83</v>
      </c>
      <c r="Q1144" s="77" t="s">
        <v>111</v>
      </c>
      <c r="T1144" s="77" t="s">
        <v>1666</v>
      </c>
      <c r="U1144" s="77" t="s">
        <v>85</v>
      </c>
      <c r="V1144" s="80" t="s">
        <v>657</v>
      </c>
      <c r="X1144" s="77" t="s">
        <v>658</v>
      </c>
      <c r="Y1144" s="78" t="s">
        <v>88</v>
      </c>
      <c r="AA1144" s="77" t="s">
        <v>1568</v>
      </c>
      <c r="AB1144" s="77" t="s">
        <v>1521</v>
      </c>
      <c r="AC1144" s="77" t="s">
        <v>90</v>
      </c>
      <c r="AD1144" s="77" t="s">
        <v>91</v>
      </c>
      <c r="AE1144" s="77" t="s">
        <v>1569</v>
      </c>
    </row>
    <row r="1145" spans="1:31" x14ac:dyDescent="0.3">
      <c r="A1145" s="77" t="s">
        <v>1971</v>
      </c>
      <c r="B1145" s="77" t="s">
        <v>1972</v>
      </c>
      <c r="G1145" s="77" t="s">
        <v>1566</v>
      </c>
      <c r="H1145" s="77" t="s">
        <v>77</v>
      </c>
      <c r="I1145" s="77" t="s">
        <v>1521</v>
      </c>
      <c r="J1145" s="77" t="s">
        <v>79</v>
      </c>
      <c r="K1145" s="77" t="s">
        <v>1522</v>
      </c>
      <c r="L1145" s="77" t="s">
        <v>1174</v>
      </c>
      <c r="M1145" s="77" t="s">
        <v>82</v>
      </c>
      <c r="N1145" s="77" t="s">
        <v>83</v>
      </c>
      <c r="Q1145" s="77" t="s">
        <v>111</v>
      </c>
      <c r="T1145" s="77" t="s">
        <v>1666</v>
      </c>
      <c r="U1145" s="77" t="s">
        <v>85</v>
      </c>
      <c r="V1145" s="80" t="s">
        <v>657</v>
      </c>
      <c r="X1145" s="77" t="s">
        <v>658</v>
      </c>
      <c r="Y1145" s="78" t="s">
        <v>88</v>
      </c>
      <c r="AA1145" s="77" t="s">
        <v>1568</v>
      </c>
      <c r="AB1145" s="77" t="s">
        <v>1521</v>
      </c>
      <c r="AC1145" s="77" t="s">
        <v>90</v>
      </c>
      <c r="AD1145" s="77" t="s">
        <v>91</v>
      </c>
      <c r="AE1145" s="77" t="s">
        <v>1569</v>
      </c>
    </row>
    <row r="1146" spans="1:31" x14ac:dyDescent="0.3">
      <c r="A1146" s="77" t="s">
        <v>1973</v>
      </c>
      <c r="B1146" s="77" t="s">
        <v>1974</v>
      </c>
      <c r="G1146" s="77" t="s">
        <v>1566</v>
      </c>
      <c r="H1146" s="77" t="s">
        <v>77</v>
      </c>
      <c r="I1146" s="77" t="s">
        <v>1521</v>
      </c>
      <c r="J1146" s="77" t="s">
        <v>79</v>
      </c>
      <c r="K1146" s="77" t="s">
        <v>1522</v>
      </c>
      <c r="L1146" s="77" t="s">
        <v>1177</v>
      </c>
      <c r="M1146" s="77" t="s">
        <v>82</v>
      </c>
      <c r="N1146" s="77" t="s">
        <v>83</v>
      </c>
      <c r="Q1146" s="77" t="s">
        <v>111</v>
      </c>
      <c r="T1146" s="77" t="s">
        <v>1666</v>
      </c>
      <c r="U1146" s="77" t="s">
        <v>85</v>
      </c>
      <c r="V1146" s="80" t="s">
        <v>657</v>
      </c>
      <c r="X1146" s="77" t="s">
        <v>658</v>
      </c>
      <c r="Y1146" s="78" t="s">
        <v>88</v>
      </c>
      <c r="AA1146" s="77" t="s">
        <v>1568</v>
      </c>
      <c r="AB1146" s="77" t="s">
        <v>1521</v>
      </c>
      <c r="AC1146" s="77" t="s">
        <v>90</v>
      </c>
      <c r="AD1146" s="77" t="s">
        <v>91</v>
      </c>
      <c r="AE1146" s="77" t="s">
        <v>1569</v>
      </c>
    </row>
    <row r="1147" spans="1:31" x14ac:dyDescent="0.3">
      <c r="A1147" s="77" t="s">
        <v>1975</v>
      </c>
      <c r="B1147" s="77" t="s">
        <v>1976</v>
      </c>
      <c r="G1147" s="77" t="s">
        <v>1566</v>
      </c>
      <c r="H1147" s="77" t="s">
        <v>77</v>
      </c>
      <c r="I1147" s="77" t="s">
        <v>1521</v>
      </c>
      <c r="J1147" s="77" t="s">
        <v>79</v>
      </c>
      <c r="K1147" s="77" t="s">
        <v>1522</v>
      </c>
      <c r="L1147" s="77" t="s">
        <v>1177</v>
      </c>
      <c r="M1147" s="77" t="s">
        <v>82</v>
      </c>
      <c r="N1147" s="77" t="s">
        <v>83</v>
      </c>
      <c r="Q1147" s="77" t="s">
        <v>111</v>
      </c>
      <c r="T1147" s="77" t="s">
        <v>1666</v>
      </c>
      <c r="U1147" s="77" t="s">
        <v>85</v>
      </c>
      <c r="V1147" s="80" t="s">
        <v>657</v>
      </c>
      <c r="X1147" s="77" t="s">
        <v>658</v>
      </c>
      <c r="Y1147" s="78" t="s">
        <v>88</v>
      </c>
      <c r="AA1147" s="77" t="s">
        <v>1568</v>
      </c>
      <c r="AB1147" s="77" t="s">
        <v>1521</v>
      </c>
      <c r="AC1147" s="77" t="s">
        <v>90</v>
      </c>
      <c r="AD1147" s="77" t="s">
        <v>91</v>
      </c>
      <c r="AE1147" s="77" t="s">
        <v>1569</v>
      </c>
    </row>
    <row r="1148" spans="1:31" x14ac:dyDescent="0.3">
      <c r="A1148" s="77" t="s">
        <v>1977</v>
      </c>
      <c r="B1148" s="77" t="s">
        <v>1978</v>
      </c>
      <c r="G1148" s="77" t="s">
        <v>1566</v>
      </c>
      <c r="H1148" s="77" t="s">
        <v>77</v>
      </c>
      <c r="I1148" s="77" t="s">
        <v>1521</v>
      </c>
      <c r="J1148" s="77" t="s">
        <v>79</v>
      </c>
      <c r="K1148" s="77" t="s">
        <v>1522</v>
      </c>
      <c r="L1148" s="77" t="s">
        <v>1174</v>
      </c>
      <c r="M1148" s="77" t="s">
        <v>82</v>
      </c>
      <c r="N1148" s="77" t="s">
        <v>83</v>
      </c>
      <c r="Q1148" s="77" t="s">
        <v>111</v>
      </c>
      <c r="T1148" s="77" t="s">
        <v>1666</v>
      </c>
      <c r="U1148" s="77" t="s">
        <v>85</v>
      </c>
      <c r="V1148" s="80" t="s">
        <v>657</v>
      </c>
      <c r="X1148" s="77" t="s">
        <v>658</v>
      </c>
      <c r="Y1148" s="78" t="s">
        <v>88</v>
      </c>
      <c r="AA1148" s="77" t="s">
        <v>1568</v>
      </c>
      <c r="AB1148" s="77" t="s">
        <v>1521</v>
      </c>
      <c r="AC1148" s="77" t="s">
        <v>90</v>
      </c>
      <c r="AD1148" s="77" t="s">
        <v>91</v>
      </c>
      <c r="AE1148" s="77" t="s">
        <v>1569</v>
      </c>
    </row>
    <row r="1149" spans="1:31" x14ac:dyDescent="0.3">
      <c r="A1149" s="77" t="s">
        <v>1979</v>
      </c>
      <c r="B1149" s="77" t="s">
        <v>1980</v>
      </c>
      <c r="G1149" s="77" t="s">
        <v>1566</v>
      </c>
      <c r="H1149" s="77" t="s">
        <v>77</v>
      </c>
      <c r="I1149" s="77" t="s">
        <v>1521</v>
      </c>
      <c r="J1149" s="77" t="s">
        <v>79</v>
      </c>
      <c r="K1149" s="77" t="s">
        <v>1522</v>
      </c>
      <c r="L1149" s="77" t="s">
        <v>1174</v>
      </c>
      <c r="M1149" s="77" t="s">
        <v>82</v>
      </c>
      <c r="N1149" s="77" t="s">
        <v>83</v>
      </c>
      <c r="Q1149" s="77" t="s">
        <v>111</v>
      </c>
      <c r="T1149" s="77" t="s">
        <v>1666</v>
      </c>
      <c r="U1149" s="77" t="s">
        <v>85</v>
      </c>
      <c r="V1149" s="80" t="s">
        <v>657</v>
      </c>
      <c r="X1149" s="77" t="s">
        <v>658</v>
      </c>
      <c r="Y1149" s="78" t="s">
        <v>88</v>
      </c>
      <c r="AA1149" s="77" t="s">
        <v>1568</v>
      </c>
      <c r="AB1149" s="77" t="s">
        <v>1521</v>
      </c>
      <c r="AC1149" s="77" t="s">
        <v>90</v>
      </c>
      <c r="AD1149" s="77" t="s">
        <v>91</v>
      </c>
      <c r="AE1149" s="77" t="s">
        <v>1569</v>
      </c>
    </row>
    <row r="1150" spans="1:31" x14ac:dyDescent="0.3">
      <c r="A1150" s="77" t="s">
        <v>1981</v>
      </c>
      <c r="B1150" s="77" t="s">
        <v>1982</v>
      </c>
      <c r="G1150" s="77" t="s">
        <v>1566</v>
      </c>
      <c r="H1150" s="77" t="s">
        <v>77</v>
      </c>
      <c r="I1150" s="77" t="s">
        <v>1521</v>
      </c>
      <c r="J1150" s="77" t="s">
        <v>79</v>
      </c>
      <c r="K1150" s="77" t="s">
        <v>1522</v>
      </c>
      <c r="L1150" s="77" t="s">
        <v>1174</v>
      </c>
      <c r="M1150" s="77" t="s">
        <v>82</v>
      </c>
      <c r="N1150" s="77" t="s">
        <v>83</v>
      </c>
      <c r="Q1150" s="77" t="s">
        <v>111</v>
      </c>
      <c r="T1150" s="77" t="s">
        <v>1666</v>
      </c>
      <c r="U1150" s="77" t="s">
        <v>85</v>
      </c>
      <c r="V1150" s="80" t="s">
        <v>657</v>
      </c>
      <c r="X1150" s="77" t="s">
        <v>658</v>
      </c>
      <c r="Y1150" s="78" t="s">
        <v>88</v>
      </c>
      <c r="AA1150" s="77" t="s">
        <v>1568</v>
      </c>
      <c r="AB1150" s="77" t="s">
        <v>1521</v>
      </c>
      <c r="AC1150" s="77" t="s">
        <v>90</v>
      </c>
      <c r="AD1150" s="77" t="s">
        <v>91</v>
      </c>
      <c r="AE1150" s="77" t="s">
        <v>1569</v>
      </c>
    </row>
    <row r="1151" spans="1:31" x14ac:dyDescent="0.3">
      <c r="A1151" s="77" t="s">
        <v>1983</v>
      </c>
      <c r="B1151" s="77" t="s">
        <v>1984</v>
      </c>
      <c r="G1151" s="77" t="s">
        <v>1566</v>
      </c>
      <c r="H1151" s="77" t="s">
        <v>77</v>
      </c>
      <c r="I1151" s="77" t="s">
        <v>1521</v>
      </c>
      <c r="J1151" s="77" t="s">
        <v>79</v>
      </c>
      <c r="K1151" s="77" t="s">
        <v>1522</v>
      </c>
      <c r="L1151" s="77" t="s">
        <v>1985</v>
      </c>
      <c r="M1151" s="77" t="s">
        <v>82</v>
      </c>
      <c r="N1151" s="77" t="s">
        <v>83</v>
      </c>
      <c r="Q1151" s="77" t="s">
        <v>111</v>
      </c>
      <c r="T1151" s="77" t="s">
        <v>1666</v>
      </c>
      <c r="U1151" s="77" t="s">
        <v>85</v>
      </c>
      <c r="V1151" s="80" t="s">
        <v>657</v>
      </c>
      <c r="X1151" s="77" t="s">
        <v>658</v>
      </c>
      <c r="Y1151" s="78" t="s">
        <v>88</v>
      </c>
      <c r="AA1151" s="77" t="s">
        <v>1568</v>
      </c>
      <c r="AB1151" s="77" t="s">
        <v>1521</v>
      </c>
      <c r="AC1151" s="77" t="s">
        <v>90</v>
      </c>
      <c r="AD1151" s="77" t="s">
        <v>91</v>
      </c>
      <c r="AE1151" s="77" t="s">
        <v>1569</v>
      </c>
    </row>
    <row r="1152" spans="1:31" x14ac:dyDescent="0.3">
      <c r="A1152" s="77" t="s">
        <v>1986</v>
      </c>
      <c r="B1152" s="77" t="s">
        <v>1987</v>
      </c>
      <c r="G1152" s="77" t="s">
        <v>1566</v>
      </c>
      <c r="H1152" s="77" t="s">
        <v>77</v>
      </c>
      <c r="I1152" s="77" t="s">
        <v>1521</v>
      </c>
      <c r="J1152" s="77" t="s">
        <v>79</v>
      </c>
      <c r="K1152" s="77" t="s">
        <v>1522</v>
      </c>
      <c r="L1152" s="77" t="s">
        <v>1988</v>
      </c>
      <c r="M1152" s="77" t="s">
        <v>82</v>
      </c>
      <c r="N1152" s="77" t="s">
        <v>83</v>
      </c>
      <c r="Q1152" s="77" t="s">
        <v>111</v>
      </c>
      <c r="T1152" s="77" t="s">
        <v>1666</v>
      </c>
      <c r="U1152" s="77" t="s">
        <v>85</v>
      </c>
      <c r="V1152" s="80" t="s">
        <v>657</v>
      </c>
      <c r="X1152" s="77" t="s">
        <v>658</v>
      </c>
      <c r="Y1152" s="78" t="s">
        <v>88</v>
      </c>
      <c r="AA1152" s="77" t="s">
        <v>1568</v>
      </c>
      <c r="AB1152" s="77" t="s">
        <v>1521</v>
      </c>
      <c r="AC1152" s="77" t="s">
        <v>90</v>
      </c>
      <c r="AD1152" s="77" t="s">
        <v>91</v>
      </c>
      <c r="AE1152" s="77" t="s">
        <v>1569</v>
      </c>
    </row>
    <row r="1153" spans="1:31" x14ac:dyDescent="0.3">
      <c r="A1153" s="77" t="s">
        <v>1989</v>
      </c>
      <c r="B1153" s="77" t="s">
        <v>1990</v>
      </c>
      <c r="G1153" s="77" t="s">
        <v>1566</v>
      </c>
      <c r="H1153" s="77" t="s">
        <v>77</v>
      </c>
      <c r="I1153" s="77" t="s">
        <v>1521</v>
      </c>
      <c r="J1153" s="77" t="s">
        <v>79</v>
      </c>
      <c r="K1153" s="77" t="s">
        <v>1522</v>
      </c>
      <c r="L1153" s="77" t="s">
        <v>1991</v>
      </c>
      <c r="M1153" s="77" t="s">
        <v>82</v>
      </c>
      <c r="N1153" s="77" t="s">
        <v>83</v>
      </c>
      <c r="Q1153" s="77" t="s">
        <v>111</v>
      </c>
      <c r="T1153" s="77" t="s">
        <v>1666</v>
      </c>
      <c r="U1153" s="77" t="s">
        <v>85</v>
      </c>
      <c r="V1153" s="80" t="s">
        <v>665</v>
      </c>
      <c r="X1153" s="77" t="s">
        <v>666</v>
      </c>
      <c r="Y1153" s="78" t="s">
        <v>88</v>
      </c>
      <c r="AA1153" s="77" t="s">
        <v>1568</v>
      </c>
      <c r="AB1153" s="77" t="s">
        <v>1521</v>
      </c>
      <c r="AC1153" s="77" t="s">
        <v>90</v>
      </c>
      <c r="AD1153" s="77" t="s">
        <v>91</v>
      </c>
      <c r="AE1153" s="77" t="s">
        <v>1569</v>
      </c>
    </row>
    <row r="1154" spans="1:31" x14ac:dyDescent="0.3">
      <c r="A1154" s="77" t="s">
        <v>1992</v>
      </c>
      <c r="B1154" s="77" t="s">
        <v>1993</v>
      </c>
      <c r="G1154" s="77" t="s">
        <v>1566</v>
      </c>
      <c r="H1154" s="77" t="s">
        <v>77</v>
      </c>
      <c r="I1154" s="77" t="s">
        <v>1521</v>
      </c>
      <c r="J1154" s="77" t="s">
        <v>79</v>
      </c>
      <c r="K1154" s="77" t="s">
        <v>1522</v>
      </c>
      <c r="L1154" s="77" t="s">
        <v>1991</v>
      </c>
      <c r="M1154" s="77" t="s">
        <v>82</v>
      </c>
      <c r="N1154" s="77" t="s">
        <v>83</v>
      </c>
      <c r="Q1154" s="77" t="s">
        <v>111</v>
      </c>
      <c r="T1154" s="77" t="s">
        <v>1666</v>
      </c>
      <c r="U1154" s="77" t="s">
        <v>85</v>
      </c>
      <c r="V1154" s="80" t="s">
        <v>665</v>
      </c>
      <c r="X1154" s="77" t="s">
        <v>666</v>
      </c>
      <c r="Y1154" s="78" t="s">
        <v>88</v>
      </c>
      <c r="AA1154" s="77" t="s">
        <v>1568</v>
      </c>
      <c r="AB1154" s="77" t="s">
        <v>1521</v>
      </c>
      <c r="AC1154" s="77" t="s">
        <v>90</v>
      </c>
      <c r="AD1154" s="77" t="s">
        <v>91</v>
      </c>
      <c r="AE1154" s="77" t="s">
        <v>1569</v>
      </c>
    </row>
    <row r="1155" spans="1:31" x14ac:dyDescent="0.3">
      <c r="A1155" s="77" t="s">
        <v>1994</v>
      </c>
      <c r="B1155" s="77" t="s">
        <v>1995</v>
      </c>
      <c r="G1155" s="77" t="s">
        <v>1566</v>
      </c>
      <c r="H1155" s="77" t="s">
        <v>77</v>
      </c>
      <c r="I1155" s="77" t="s">
        <v>1521</v>
      </c>
      <c r="J1155" s="77" t="s">
        <v>79</v>
      </c>
      <c r="K1155" s="77" t="s">
        <v>1522</v>
      </c>
      <c r="L1155" s="77" t="s">
        <v>1991</v>
      </c>
      <c r="M1155" s="77" t="s">
        <v>82</v>
      </c>
      <c r="N1155" s="77" t="s">
        <v>83</v>
      </c>
      <c r="Q1155" s="77" t="s">
        <v>111</v>
      </c>
      <c r="T1155" s="77" t="s">
        <v>1666</v>
      </c>
      <c r="U1155" s="77" t="s">
        <v>85</v>
      </c>
      <c r="V1155" s="80" t="s">
        <v>665</v>
      </c>
      <c r="X1155" s="77" t="s">
        <v>666</v>
      </c>
      <c r="Y1155" s="78" t="s">
        <v>88</v>
      </c>
      <c r="AA1155" s="77" t="s">
        <v>1568</v>
      </c>
      <c r="AB1155" s="77" t="s">
        <v>1521</v>
      </c>
      <c r="AC1155" s="77" t="s">
        <v>90</v>
      </c>
      <c r="AD1155" s="77" t="s">
        <v>91</v>
      </c>
      <c r="AE1155" s="77" t="s">
        <v>1569</v>
      </c>
    </row>
    <row r="1156" spans="1:31" x14ac:dyDescent="0.3">
      <c r="A1156" s="77" t="s">
        <v>1996</v>
      </c>
      <c r="B1156" s="77" t="s">
        <v>1997</v>
      </c>
      <c r="G1156" s="77" t="s">
        <v>1566</v>
      </c>
      <c r="H1156" s="77" t="s">
        <v>77</v>
      </c>
      <c r="I1156" s="77" t="s">
        <v>1521</v>
      </c>
      <c r="J1156" s="77" t="s">
        <v>79</v>
      </c>
      <c r="K1156" s="77" t="s">
        <v>1522</v>
      </c>
      <c r="L1156" s="77" t="s">
        <v>1991</v>
      </c>
      <c r="M1156" s="77" t="s">
        <v>82</v>
      </c>
      <c r="N1156" s="77" t="s">
        <v>83</v>
      </c>
      <c r="Q1156" s="77" t="s">
        <v>111</v>
      </c>
      <c r="T1156" s="77" t="s">
        <v>1666</v>
      </c>
      <c r="U1156" s="77" t="s">
        <v>85</v>
      </c>
      <c r="V1156" s="80" t="s">
        <v>665</v>
      </c>
      <c r="X1156" s="77" t="s">
        <v>666</v>
      </c>
      <c r="Y1156" s="78" t="s">
        <v>88</v>
      </c>
      <c r="AA1156" s="77" t="s">
        <v>1568</v>
      </c>
      <c r="AB1156" s="77" t="s">
        <v>1521</v>
      </c>
      <c r="AC1156" s="77" t="s">
        <v>90</v>
      </c>
      <c r="AD1156" s="77" t="s">
        <v>91</v>
      </c>
      <c r="AE1156" s="77" t="s">
        <v>1569</v>
      </c>
    </row>
    <row r="1157" spans="1:31" x14ac:dyDescent="0.3">
      <c r="A1157" s="77" t="s">
        <v>1998</v>
      </c>
      <c r="B1157" s="77" t="s">
        <v>1999</v>
      </c>
      <c r="G1157" s="77" t="s">
        <v>1566</v>
      </c>
      <c r="H1157" s="77" t="s">
        <v>77</v>
      </c>
      <c r="I1157" s="77" t="s">
        <v>1521</v>
      </c>
      <c r="J1157" s="77" t="s">
        <v>79</v>
      </c>
      <c r="K1157" s="77" t="s">
        <v>1522</v>
      </c>
      <c r="L1157" s="77" t="s">
        <v>1991</v>
      </c>
      <c r="M1157" s="77" t="s">
        <v>82</v>
      </c>
      <c r="N1157" s="77" t="s">
        <v>83</v>
      </c>
      <c r="Q1157" s="77" t="s">
        <v>111</v>
      </c>
      <c r="T1157" s="77" t="s">
        <v>1666</v>
      </c>
      <c r="U1157" s="77" t="s">
        <v>85</v>
      </c>
      <c r="V1157" s="80" t="s">
        <v>665</v>
      </c>
      <c r="X1157" s="77" t="s">
        <v>666</v>
      </c>
      <c r="Y1157" s="78" t="s">
        <v>88</v>
      </c>
      <c r="AA1157" s="77" t="s">
        <v>1568</v>
      </c>
      <c r="AB1157" s="77" t="s">
        <v>1521</v>
      </c>
      <c r="AC1157" s="77" t="s">
        <v>90</v>
      </c>
      <c r="AD1157" s="77" t="s">
        <v>91</v>
      </c>
      <c r="AE1157" s="77" t="s">
        <v>1569</v>
      </c>
    </row>
    <row r="1158" spans="1:31" x14ac:dyDescent="0.3">
      <c r="A1158" s="77" t="s">
        <v>2000</v>
      </c>
      <c r="B1158" s="77" t="s">
        <v>2001</v>
      </c>
      <c r="G1158" s="77" t="s">
        <v>1566</v>
      </c>
      <c r="H1158" s="77" t="s">
        <v>77</v>
      </c>
      <c r="I1158" s="77" t="s">
        <v>1521</v>
      </c>
      <c r="J1158" s="77" t="s">
        <v>79</v>
      </c>
      <c r="K1158" s="77" t="s">
        <v>1522</v>
      </c>
      <c r="L1158" s="77" t="s">
        <v>1190</v>
      </c>
      <c r="M1158" s="77" t="s">
        <v>82</v>
      </c>
      <c r="N1158" s="77" t="s">
        <v>83</v>
      </c>
      <c r="Q1158" s="77" t="s">
        <v>111</v>
      </c>
      <c r="T1158" s="77" t="s">
        <v>1666</v>
      </c>
      <c r="U1158" s="77" t="s">
        <v>85</v>
      </c>
      <c r="V1158" s="80" t="s">
        <v>665</v>
      </c>
      <c r="X1158" s="77" t="s">
        <v>666</v>
      </c>
      <c r="Y1158" s="78" t="s">
        <v>88</v>
      </c>
      <c r="AA1158" s="77" t="s">
        <v>1568</v>
      </c>
      <c r="AB1158" s="77" t="s">
        <v>1521</v>
      </c>
      <c r="AC1158" s="77" t="s">
        <v>90</v>
      </c>
      <c r="AD1158" s="77" t="s">
        <v>91</v>
      </c>
      <c r="AE1158" s="77" t="s">
        <v>1569</v>
      </c>
    </row>
    <row r="1159" spans="1:31" x14ac:dyDescent="0.3">
      <c r="A1159" s="77" t="s">
        <v>2002</v>
      </c>
      <c r="B1159" s="77" t="s">
        <v>2003</v>
      </c>
      <c r="G1159" s="77" t="s">
        <v>1566</v>
      </c>
      <c r="H1159" s="77" t="s">
        <v>77</v>
      </c>
      <c r="I1159" s="77" t="s">
        <v>1521</v>
      </c>
      <c r="J1159" s="77" t="s">
        <v>79</v>
      </c>
      <c r="K1159" s="77" t="s">
        <v>1522</v>
      </c>
      <c r="L1159" s="77" t="s">
        <v>1190</v>
      </c>
      <c r="M1159" s="77" t="s">
        <v>82</v>
      </c>
      <c r="N1159" s="77" t="s">
        <v>83</v>
      </c>
      <c r="Q1159" s="77" t="s">
        <v>111</v>
      </c>
      <c r="T1159" s="77" t="s">
        <v>1666</v>
      </c>
      <c r="U1159" s="77" t="s">
        <v>85</v>
      </c>
      <c r="V1159" s="80" t="s">
        <v>665</v>
      </c>
      <c r="X1159" s="77" t="s">
        <v>666</v>
      </c>
      <c r="Y1159" s="78" t="s">
        <v>88</v>
      </c>
      <c r="AA1159" s="77" t="s">
        <v>1568</v>
      </c>
      <c r="AB1159" s="77" t="s">
        <v>1521</v>
      </c>
      <c r="AC1159" s="77" t="s">
        <v>90</v>
      </c>
      <c r="AD1159" s="77" t="s">
        <v>91</v>
      </c>
      <c r="AE1159" s="77" t="s">
        <v>1569</v>
      </c>
    </row>
    <row r="1160" spans="1:31" x14ac:dyDescent="0.3">
      <c r="A1160" s="77" t="s">
        <v>2004</v>
      </c>
      <c r="B1160" s="77" t="s">
        <v>2005</v>
      </c>
      <c r="G1160" s="77" t="s">
        <v>1566</v>
      </c>
      <c r="H1160" s="77" t="s">
        <v>77</v>
      </c>
      <c r="I1160" s="77" t="s">
        <v>1521</v>
      </c>
      <c r="J1160" s="77" t="s">
        <v>79</v>
      </c>
      <c r="K1160" s="77" t="s">
        <v>1522</v>
      </c>
      <c r="L1160" s="77" t="s">
        <v>1190</v>
      </c>
      <c r="M1160" s="77" t="s">
        <v>82</v>
      </c>
      <c r="N1160" s="77" t="s">
        <v>83</v>
      </c>
      <c r="Q1160" s="77" t="s">
        <v>111</v>
      </c>
      <c r="T1160" s="77" t="s">
        <v>1666</v>
      </c>
      <c r="U1160" s="77" t="s">
        <v>85</v>
      </c>
      <c r="V1160" s="80" t="s">
        <v>665</v>
      </c>
      <c r="X1160" s="77" t="s">
        <v>666</v>
      </c>
      <c r="Y1160" s="78" t="s">
        <v>88</v>
      </c>
      <c r="AA1160" s="77" t="s">
        <v>1568</v>
      </c>
      <c r="AB1160" s="77" t="s">
        <v>1521</v>
      </c>
      <c r="AC1160" s="77" t="s">
        <v>90</v>
      </c>
      <c r="AD1160" s="77" t="s">
        <v>91</v>
      </c>
      <c r="AE1160" s="77" t="s">
        <v>1569</v>
      </c>
    </row>
    <row r="1161" spans="1:31" x14ac:dyDescent="0.3">
      <c r="A1161" s="77" t="s">
        <v>2006</v>
      </c>
      <c r="B1161" s="77" t="s">
        <v>2007</v>
      </c>
      <c r="G1161" s="77" t="s">
        <v>1566</v>
      </c>
      <c r="H1161" s="77" t="s">
        <v>77</v>
      </c>
      <c r="I1161" s="77" t="s">
        <v>1521</v>
      </c>
      <c r="J1161" s="77" t="s">
        <v>79</v>
      </c>
      <c r="K1161" s="77" t="s">
        <v>1522</v>
      </c>
      <c r="L1161" s="77" t="s">
        <v>1190</v>
      </c>
      <c r="M1161" s="77" t="s">
        <v>82</v>
      </c>
      <c r="N1161" s="77" t="s">
        <v>83</v>
      </c>
      <c r="Q1161" s="77" t="s">
        <v>111</v>
      </c>
      <c r="T1161" s="77" t="s">
        <v>1666</v>
      </c>
      <c r="U1161" s="77" t="s">
        <v>85</v>
      </c>
      <c r="V1161" s="80" t="s">
        <v>665</v>
      </c>
      <c r="X1161" s="77" t="s">
        <v>666</v>
      </c>
      <c r="Y1161" s="78" t="s">
        <v>88</v>
      </c>
      <c r="AA1161" s="77" t="s">
        <v>1568</v>
      </c>
      <c r="AB1161" s="77" t="s">
        <v>1521</v>
      </c>
      <c r="AC1161" s="77" t="s">
        <v>90</v>
      </c>
      <c r="AD1161" s="77" t="s">
        <v>91</v>
      </c>
      <c r="AE1161" s="77" t="s">
        <v>1569</v>
      </c>
    </row>
    <row r="1162" spans="1:31" x14ac:dyDescent="0.3">
      <c r="A1162" s="77" t="s">
        <v>2008</v>
      </c>
      <c r="B1162" s="77" t="s">
        <v>2009</v>
      </c>
      <c r="G1162" s="77" t="s">
        <v>1566</v>
      </c>
      <c r="H1162" s="77" t="s">
        <v>77</v>
      </c>
      <c r="I1162" s="77" t="s">
        <v>1521</v>
      </c>
      <c r="J1162" s="77" t="s">
        <v>79</v>
      </c>
      <c r="K1162" s="77" t="s">
        <v>1522</v>
      </c>
      <c r="L1162" s="77" t="s">
        <v>1193</v>
      </c>
      <c r="M1162" s="77" t="s">
        <v>82</v>
      </c>
      <c r="N1162" s="77" t="s">
        <v>83</v>
      </c>
      <c r="Q1162" s="77" t="s">
        <v>111</v>
      </c>
      <c r="T1162" s="77" t="s">
        <v>1666</v>
      </c>
      <c r="U1162" s="77" t="s">
        <v>85</v>
      </c>
      <c r="V1162" s="80" t="s">
        <v>665</v>
      </c>
      <c r="X1162" s="77" t="s">
        <v>666</v>
      </c>
      <c r="Y1162" s="78" t="s">
        <v>88</v>
      </c>
      <c r="AA1162" s="77" t="s">
        <v>1568</v>
      </c>
      <c r="AB1162" s="77" t="s">
        <v>1521</v>
      </c>
      <c r="AC1162" s="77" t="s">
        <v>90</v>
      </c>
      <c r="AD1162" s="77" t="s">
        <v>91</v>
      </c>
      <c r="AE1162" s="77" t="s">
        <v>1569</v>
      </c>
    </row>
    <row r="1163" spans="1:31" x14ac:dyDescent="0.3">
      <c r="A1163" s="77" t="s">
        <v>2010</v>
      </c>
      <c r="B1163" s="77" t="s">
        <v>2011</v>
      </c>
      <c r="G1163" s="77" t="s">
        <v>1566</v>
      </c>
      <c r="H1163" s="77" t="s">
        <v>77</v>
      </c>
      <c r="I1163" s="77" t="s">
        <v>1521</v>
      </c>
      <c r="J1163" s="77" t="s">
        <v>79</v>
      </c>
      <c r="K1163" s="77" t="s">
        <v>1522</v>
      </c>
      <c r="L1163" s="77" t="s">
        <v>1193</v>
      </c>
      <c r="M1163" s="77" t="s">
        <v>82</v>
      </c>
      <c r="N1163" s="77" t="s">
        <v>83</v>
      </c>
      <c r="Q1163" s="77" t="s">
        <v>111</v>
      </c>
      <c r="T1163" s="77" t="s">
        <v>1666</v>
      </c>
      <c r="U1163" s="77" t="s">
        <v>85</v>
      </c>
      <c r="V1163" s="80" t="s">
        <v>665</v>
      </c>
      <c r="X1163" s="77" t="s">
        <v>666</v>
      </c>
      <c r="Y1163" s="78" t="s">
        <v>88</v>
      </c>
      <c r="AA1163" s="77" t="s">
        <v>1568</v>
      </c>
      <c r="AB1163" s="77" t="s">
        <v>1521</v>
      </c>
      <c r="AC1163" s="77" t="s">
        <v>90</v>
      </c>
      <c r="AD1163" s="77" t="s">
        <v>91</v>
      </c>
      <c r="AE1163" s="77" t="s">
        <v>1569</v>
      </c>
    </row>
    <row r="1164" spans="1:31" x14ac:dyDescent="0.3">
      <c r="A1164" s="77" t="s">
        <v>2012</v>
      </c>
      <c r="B1164" s="77" t="s">
        <v>2013</v>
      </c>
      <c r="G1164" s="77" t="s">
        <v>1566</v>
      </c>
      <c r="H1164" s="77" t="s">
        <v>77</v>
      </c>
      <c r="I1164" s="77" t="s">
        <v>1521</v>
      </c>
      <c r="J1164" s="77" t="s">
        <v>79</v>
      </c>
      <c r="K1164" s="77" t="s">
        <v>1522</v>
      </c>
      <c r="L1164" s="77" t="s">
        <v>1190</v>
      </c>
      <c r="M1164" s="77" t="s">
        <v>82</v>
      </c>
      <c r="N1164" s="77" t="s">
        <v>83</v>
      </c>
      <c r="Q1164" s="77" t="s">
        <v>111</v>
      </c>
      <c r="T1164" s="77" t="s">
        <v>1666</v>
      </c>
      <c r="U1164" s="77" t="s">
        <v>85</v>
      </c>
      <c r="V1164" s="80" t="s">
        <v>665</v>
      </c>
      <c r="X1164" s="77" t="s">
        <v>666</v>
      </c>
      <c r="Y1164" s="78" t="s">
        <v>88</v>
      </c>
      <c r="AA1164" s="77" t="s">
        <v>1568</v>
      </c>
      <c r="AB1164" s="77" t="s">
        <v>1521</v>
      </c>
      <c r="AC1164" s="77" t="s">
        <v>90</v>
      </c>
      <c r="AD1164" s="77" t="s">
        <v>91</v>
      </c>
      <c r="AE1164" s="77" t="s">
        <v>1569</v>
      </c>
    </row>
    <row r="1165" spans="1:31" x14ac:dyDescent="0.3">
      <c r="A1165" s="77" t="s">
        <v>2014</v>
      </c>
      <c r="B1165" s="77" t="s">
        <v>2015</v>
      </c>
      <c r="G1165" s="77" t="s">
        <v>1566</v>
      </c>
      <c r="H1165" s="77" t="s">
        <v>77</v>
      </c>
      <c r="I1165" s="77" t="s">
        <v>1521</v>
      </c>
      <c r="J1165" s="77" t="s">
        <v>79</v>
      </c>
      <c r="K1165" s="77" t="s">
        <v>1522</v>
      </c>
      <c r="L1165" s="77" t="s">
        <v>1190</v>
      </c>
      <c r="M1165" s="77" t="s">
        <v>82</v>
      </c>
      <c r="N1165" s="77" t="s">
        <v>83</v>
      </c>
      <c r="Q1165" s="77" t="s">
        <v>111</v>
      </c>
      <c r="T1165" s="77" t="s">
        <v>1666</v>
      </c>
      <c r="U1165" s="77" t="s">
        <v>85</v>
      </c>
      <c r="V1165" s="80" t="s">
        <v>665</v>
      </c>
      <c r="X1165" s="77" t="s">
        <v>666</v>
      </c>
      <c r="Y1165" s="78" t="s">
        <v>88</v>
      </c>
      <c r="AA1165" s="77" t="s">
        <v>1568</v>
      </c>
      <c r="AB1165" s="77" t="s">
        <v>1521</v>
      </c>
      <c r="AC1165" s="77" t="s">
        <v>90</v>
      </c>
      <c r="AD1165" s="77" t="s">
        <v>91</v>
      </c>
      <c r="AE1165" s="77" t="s">
        <v>1569</v>
      </c>
    </row>
    <row r="1166" spans="1:31" x14ac:dyDescent="0.3">
      <c r="A1166" s="77" t="s">
        <v>2016</v>
      </c>
      <c r="B1166" s="77" t="s">
        <v>2017</v>
      </c>
      <c r="G1166" s="77" t="s">
        <v>1566</v>
      </c>
      <c r="H1166" s="77" t="s">
        <v>77</v>
      </c>
      <c r="I1166" s="77" t="s">
        <v>1521</v>
      </c>
      <c r="J1166" s="77" t="s">
        <v>79</v>
      </c>
      <c r="K1166" s="77" t="s">
        <v>1522</v>
      </c>
      <c r="L1166" s="77" t="s">
        <v>1190</v>
      </c>
      <c r="M1166" s="77" t="s">
        <v>82</v>
      </c>
      <c r="N1166" s="77" t="s">
        <v>83</v>
      </c>
      <c r="Q1166" s="77" t="s">
        <v>111</v>
      </c>
      <c r="T1166" s="77" t="s">
        <v>1666</v>
      </c>
      <c r="U1166" s="77" t="s">
        <v>85</v>
      </c>
      <c r="V1166" s="80" t="s">
        <v>665</v>
      </c>
      <c r="X1166" s="77" t="s">
        <v>666</v>
      </c>
      <c r="Y1166" s="78" t="s">
        <v>88</v>
      </c>
      <c r="AA1166" s="77" t="s">
        <v>1568</v>
      </c>
      <c r="AB1166" s="77" t="s">
        <v>1521</v>
      </c>
      <c r="AC1166" s="77" t="s">
        <v>90</v>
      </c>
      <c r="AD1166" s="77" t="s">
        <v>91</v>
      </c>
      <c r="AE1166" s="77" t="s">
        <v>1569</v>
      </c>
    </row>
    <row r="1167" spans="1:31" x14ac:dyDescent="0.3">
      <c r="A1167" s="77" t="s">
        <v>2018</v>
      </c>
      <c r="B1167" s="77" t="s">
        <v>2019</v>
      </c>
      <c r="G1167" s="77" t="s">
        <v>1566</v>
      </c>
      <c r="H1167" s="77" t="s">
        <v>77</v>
      </c>
      <c r="I1167" s="77" t="s">
        <v>1521</v>
      </c>
      <c r="J1167" s="77" t="s">
        <v>79</v>
      </c>
      <c r="K1167" s="77" t="s">
        <v>1522</v>
      </c>
      <c r="L1167" s="77" t="s">
        <v>2020</v>
      </c>
      <c r="M1167" s="77" t="s">
        <v>82</v>
      </c>
      <c r="N1167" s="77" t="s">
        <v>83</v>
      </c>
      <c r="Q1167" s="77" t="s">
        <v>111</v>
      </c>
      <c r="T1167" s="77" t="s">
        <v>1666</v>
      </c>
      <c r="U1167" s="77" t="s">
        <v>85</v>
      </c>
      <c r="V1167" s="80" t="s">
        <v>665</v>
      </c>
      <c r="X1167" s="77" t="s">
        <v>666</v>
      </c>
      <c r="Y1167" s="78" t="s">
        <v>88</v>
      </c>
      <c r="AA1167" s="77" t="s">
        <v>1568</v>
      </c>
      <c r="AB1167" s="77" t="s">
        <v>1521</v>
      </c>
      <c r="AC1167" s="77" t="s">
        <v>90</v>
      </c>
      <c r="AD1167" s="77" t="s">
        <v>91</v>
      </c>
      <c r="AE1167" s="77" t="s">
        <v>1569</v>
      </c>
    </row>
    <row r="1168" spans="1:31" x14ac:dyDescent="0.3">
      <c r="A1168" s="77" t="s">
        <v>2021</v>
      </c>
      <c r="B1168" s="77" t="s">
        <v>2022</v>
      </c>
      <c r="G1168" s="77" t="s">
        <v>1566</v>
      </c>
      <c r="H1168" s="77" t="s">
        <v>77</v>
      </c>
      <c r="I1168" s="77" t="s">
        <v>1521</v>
      </c>
      <c r="J1168" s="77" t="s">
        <v>79</v>
      </c>
      <c r="K1168" s="77" t="s">
        <v>1522</v>
      </c>
      <c r="L1168" s="77" t="s">
        <v>2023</v>
      </c>
      <c r="M1168" s="77" t="s">
        <v>82</v>
      </c>
      <c r="N1168" s="77" t="s">
        <v>83</v>
      </c>
      <c r="Q1168" s="77" t="s">
        <v>111</v>
      </c>
      <c r="T1168" s="77" t="s">
        <v>1666</v>
      </c>
      <c r="U1168" s="77" t="s">
        <v>85</v>
      </c>
      <c r="V1168" s="80" t="s">
        <v>665</v>
      </c>
      <c r="X1168" s="77" t="s">
        <v>666</v>
      </c>
      <c r="Y1168" s="78" t="s">
        <v>88</v>
      </c>
      <c r="AA1168" s="77" t="s">
        <v>1568</v>
      </c>
      <c r="AB1168" s="77" t="s">
        <v>1521</v>
      </c>
      <c r="AC1168" s="77" t="s">
        <v>90</v>
      </c>
      <c r="AD1168" s="77" t="s">
        <v>91</v>
      </c>
      <c r="AE1168" s="77" t="s">
        <v>1569</v>
      </c>
    </row>
    <row r="1169" spans="1:31" x14ac:dyDescent="0.3">
      <c r="A1169" s="77" t="s">
        <v>2024</v>
      </c>
      <c r="B1169" s="77" t="s">
        <v>2025</v>
      </c>
      <c r="G1169" s="77" t="s">
        <v>1566</v>
      </c>
      <c r="H1169" s="77" t="s">
        <v>77</v>
      </c>
      <c r="I1169" s="77" t="s">
        <v>1521</v>
      </c>
      <c r="J1169" s="77" t="s">
        <v>79</v>
      </c>
      <c r="K1169" s="77" t="s">
        <v>1522</v>
      </c>
      <c r="L1169" s="77" t="s">
        <v>2026</v>
      </c>
      <c r="M1169" s="77" t="s">
        <v>82</v>
      </c>
      <c r="N1169" s="77" t="s">
        <v>83</v>
      </c>
      <c r="Q1169" s="77" t="s">
        <v>111</v>
      </c>
      <c r="T1169" s="77" t="s">
        <v>1666</v>
      </c>
      <c r="U1169" s="77" t="s">
        <v>85</v>
      </c>
      <c r="V1169" s="80" t="s">
        <v>673</v>
      </c>
      <c r="X1169" s="77" t="s">
        <v>674</v>
      </c>
      <c r="Y1169" s="78" t="s">
        <v>101</v>
      </c>
      <c r="AA1169" s="77" t="s">
        <v>1568</v>
      </c>
      <c r="AB1169" s="77" t="s">
        <v>1521</v>
      </c>
      <c r="AC1169" s="77" t="s">
        <v>90</v>
      </c>
      <c r="AD1169" s="77" t="s">
        <v>102</v>
      </c>
      <c r="AE1169" s="77" t="s">
        <v>1569</v>
      </c>
    </row>
    <row r="1170" spans="1:31" x14ac:dyDescent="0.3">
      <c r="A1170" s="77" t="s">
        <v>2027</v>
      </c>
      <c r="B1170" s="77" t="s">
        <v>2028</v>
      </c>
      <c r="G1170" s="77" t="s">
        <v>1566</v>
      </c>
      <c r="H1170" s="77" t="s">
        <v>77</v>
      </c>
      <c r="I1170" s="77" t="s">
        <v>1521</v>
      </c>
      <c r="J1170" s="77" t="s">
        <v>79</v>
      </c>
      <c r="K1170" s="77" t="s">
        <v>1522</v>
      </c>
      <c r="L1170" s="77" t="s">
        <v>2026</v>
      </c>
      <c r="M1170" s="77" t="s">
        <v>82</v>
      </c>
      <c r="N1170" s="77" t="s">
        <v>83</v>
      </c>
      <c r="Q1170" s="77" t="s">
        <v>111</v>
      </c>
      <c r="T1170" s="77" t="s">
        <v>1666</v>
      </c>
      <c r="U1170" s="77" t="s">
        <v>85</v>
      </c>
      <c r="V1170" s="80" t="s">
        <v>673</v>
      </c>
      <c r="X1170" s="77" t="s">
        <v>674</v>
      </c>
      <c r="Y1170" s="78" t="s">
        <v>101</v>
      </c>
      <c r="AA1170" s="77" t="s">
        <v>1568</v>
      </c>
      <c r="AB1170" s="77" t="s">
        <v>1521</v>
      </c>
      <c r="AC1170" s="77" t="s">
        <v>90</v>
      </c>
      <c r="AD1170" s="77" t="s">
        <v>102</v>
      </c>
      <c r="AE1170" s="77" t="s">
        <v>1569</v>
      </c>
    </row>
    <row r="1171" spans="1:31" x14ac:dyDescent="0.3">
      <c r="A1171" s="77" t="s">
        <v>2029</v>
      </c>
      <c r="B1171" s="77" t="s">
        <v>2030</v>
      </c>
      <c r="G1171" s="77" t="s">
        <v>1566</v>
      </c>
      <c r="H1171" s="77" t="s">
        <v>77</v>
      </c>
      <c r="I1171" s="77" t="s">
        <v>1521</v>
      </c>
      <c r="J1171" s="77" t="s">
        <v>79</v>
      </c>
      <c r="K1171" s="77" t="s">
        <v>1522</v>
      </c>
      <c r="L1171" s="77" t="s">
        <v>2026</v>
      </c>
      <c r="M1171" s="77" t="s">
        <v>82</v>
      </c>
      <c r="N1171" s="77" t="s">
        <v>83</v>
      </c>
      <c r="Q1171" s="77" t="s">
        <v>111</v>
      </c>
      <c r="T1171" s="77" t="s">
        <v>1666</v>
      </c>
      <c r="U1171" s="77" t="s">
        <v>85</v>
      </c>
      <c r="V1171" s="80" t="s">
        <v>673</v>
      </c>
      <c r="X1171" s="77" t="s">
        <v>674</v>
      </c>
      <c r="Y1171" s="78" t="s">
        <v>101</v>
      </c>
      <c r="AA1171" s="77" t="s">
        <v>1568</v>
      </c>
      <c r="AB1171" s="77" t="s">
        <v>1521</v>
      </c>
      <c r="AC1171" s="77" t="s">
        <v>90</v>
      </c>
      <c r="AD1171" s="77" t="s">
        <v>102</v>
      </c>
      <c r="AE1171" s="77" t="s">
        <v>1569</v>
      </c>
    </row>
    <row r="1172" spans="1:31" x14ac:dyDescent="0.3">
      <c r="A1172" s="77" t="s">
        <v>2031</v>
      </c>
      <c r="B1172" s="77" t="s">
        <v>2032</v>
      </c>
      <c r="G1172" s="77" t="s">
        <v>1566</v>
      </c>
      <c r="H1172" s="77" t="s">
        <v>77</v>
      </c>
      <c r="I1172" s="77" t="s">
        <v>1521</v>
      </c>
      <c r="J1172" s="77" t="s">
        <v>79</v>
      </c>
      <c r="K1172" s="77" t="s">
        <v>1522</v>
      </c>
      <c r="L1172" s="77" t="s">
        <v>2026</v>
      </c>
      <c r="M1172" s="77" t="s">
        <v>82</v>
      </c>
      <c r="N1172" s="77" t="s">
        <v>83</v>
      </c>
      <c r="Q1172" s="77" t="s">
        <v>111</v>
      </c>
      <c r="T1172" s="77" t="s">
        <v>1666</v>
      </c>
      <c r="U1172" s="77" t="s">
        <v>85</v>
      </c>
      <c r="V1172" s="80" t="s">
        <v>673</v>
      </c>
      <c r="X1172" s="77" t="s">
        <v>674</v>
      </c>
      <c r="Y1172" s="78" t="s">
        <v>101</v>
      </c>
      <c r="AA1172" s="77" t="s">
        <v>1568</v>
      </c>
      <c r="AB1172" s="77" t="s">
        <v>1521</v>
      </c>
      <c r="AC1172" s="77" t="s">
        <v>90</v>
      </c>
      <c r="AD1172" s="77" t="s">
        <v>102</v>
      </c>
      <c r="AE1172" s="77" t="s">
        <v>1569</v>
      </c>
    </row>
    <row r="1173" spans="1:31" x14ac:dyDescent="0.3">
      <c r="A1173" s="77" t="s">
        <v>2033</v>
      </c>
      <c r="B1173" s="77" t="s">
        <v>2034</v>
      </c>
      <c r="G1173" s="77" t="s">
        <v>1566</v>
      </c>
      <c r="H1173" s="77" t="s">
        <v>77</v>
      </c>
      <c r="I1173" s="77" t="s">
        <v>1521</v>
      </c>
      <c r="J1173" s="77" t="s">
        <v>79</v>
      </c>
      <c r="K1173" s="77" t="s">
        <v>1522</v>
      </c>
      <c r="L1173" s="77" t="s">
        <v>2026</v>
      </c>
      <c r="M1173" s="77" t="s">
        <v>82</v>
      </c>
      <c r="N1173" s="77" t="s">
        <v>83</v>
      </c>
      <c r="Q1173" s="77" t="s">
        <v>111</v>
      </c>
      <c r="T1173" s="77" t="s">
        <v>1666</v>
      </c>
      <c r="U1173" s="77" t="s">
        <v>85</v>
      </c>
      <c r="V1173" s="80" t="s">
        <v>673</v>
      </c>
      <c r="X1173" s="77" t="s">
        <v>674</v>
      </c>
      <c r="Y1173" s="78" t="s">
        <v>101</v>
      </c>
      <c r="AA1173" s="77" t="s">
        <v>1568</v>
      </c>
      <c r="AB1173" s="77" t="s">
        <v>1521</v>
      </c>
      <c r="AC1173" s="77" t="s">
        <v>90</v>
      </c>
      <c r="AD1173" s="77" t="s">
        <v>102</v>
      </c>
      <c r="AE1173" s="77" t="s">
        <v>1569</v>
      </c>
    </row>
    <row r="1174" spans="1:31" x14ac:dyDescent="0.3">
      <c r="A1174" s="77" t="s">
        <v>2035</v>
      </c>
      <c r="B1174" s="77" t="s">
        <v>2036</v>
      </c>
      <c r="G1174" s="77" t="s">
        <v>1566</v>
      </c>
      <c r="H1174" s="77" t="s">
        <v>77</v>
      </c>
      <c r="I1174" s="77" t="s">
        <v>1521</v>
      </c>
      <c r="J1174" s="77" t="s">
        <v>79</v>
      </c>
      <c r="K1174" s="77" t="s">
        <v>1522</v>
      </c>
      <c r="L1174" s="77" t="s">
        <v>1206</v>
      </c>
      <c r="M1174" s="77" t="s">
        <v>82</v>
      </c>
      <c r="N1174" s="77" t="s">
        <v>83</v>
      </c>
      <c r="Q1174" s="77" t="s">
        <v>111</v>
      </c>
      <c r="T1174" s="77" t="s">
        <v>1666</v>
      </c>
      <c r="U1174" s="77" t="s">
        <v>85</v>
      </c>
      <c r="V1174" s="80" t="s">
        <v>673</v>
      </c>
      <c r="X1174" s="77" t="s">
        <v>674</v>
      </c>
      <c r="Y1174" s="78" t="s">
        <v>101</v>
      </c>
      <c r="AA1174" s="77" t="s">
        <v>1568</v>
      </c>
      <c r="AB1174" s="77" t="s">
        <v>1521</v>
      </c>
      <c r="AC1174" s="77" t="s">
        <v>90</v>
      </c>
      <c r="AD1174" s="77" t="s">
        <v>102</v>
      </c>
      <c r="AE1174" s="77" t="s">
        <v>1569</v>
      </c>
    </row>
    <row r="1175" spans="1:31" x14ac:dyDescent="0.3">
      <c r="A1175" s="77" t="s">
        <v>2037</v>
      </c>
      <c r="B1175" s="77" t="s">
        <v>2038</v>
      </c>
      <c r="G1175" s="77" t="s">
        <v>1566</v>
      </c>
      <c r="H1175" s="77" t="s">
        <v>77</v>
      </c>
      <c r="I1175" s="77" t="s">
        <v>1521</v>
      </c>
      <c r="J1175" s="77" t="s">
        <v>79</v>
      </c>
      <c r="K1175" s="77" t="s">
        <v>1522</v>
      </c>
      <c r="L1175" s="77" t="s">
        <v>1206</v>
      </c>
      <c r="M1175" s="77" t="s">
        <v>82</v>
      </c>
      <c r="N1175" s="77" t="s">
        <v>83</v>
      </c>
      <c r="Q1175" s="77" t="s">
        <v>111</v>
      </c>
      <c r="T1175" s="77" t="s">
        <v>1666</v>
      </c>
      <c r="U1175" s="77" t="s">
        <v>85</v>
      </c>
      <c r="V1175" s="80" t="s">
        <v>673</v>
      </c>
      <c r="X1175" s="77" t="s">
        <v>674</v>
      </c>
      <c r="Y1175" s="78" t="s">
        <v>101</v>
      </c>
      <c r="AA1175" s="77" t="s">
        <v>1568</v>
      </c>
      <c r="AB1175" s="77" t="s">
        <v>1521</v>
      </c>
      <c r="AC1175" s="77" t="s">
        <v>90</v>
      </c>
      <c r="AD1175" s="77" t="s">
        <v>102</v>
      </c>
      <c r="AE1175" s="77" t="s">
        <v>1569</v>
      </c>
    </row>
    <row r="1176" spans="1:31" x14ac:dyDescent="0.3">
      <c r="A1176" s="77" t="s">
        <v>2039</v>
      </c>
      <c r="B1176" s="77" t="s">
        <v>2040</v>
      </c>
      <c r="G1176" s="77" t="s">
        <v>1566</v>
      </c>
      <c r="H1176" s="77" t="s">
        <v>77</v>
      </c>
      <c r="I1176" s="77" t="s">
        <v>1521</v>
      </c>
      <c r="J1176" s="77" t="s">
        <v>79</v>
      </c>
      <c r="K1176" s="77" t="s">
        <v>1522</v>
      </c>
      <c r="L1176" s="77" t="s">
        <v>1206</v>
      </c>
      <c r="M1176" s="77" t="s">
        <v>82</v>
      </c>
      <c r="N1176" s="77" t="s">
        <v>83</v>
      </c>
      <c r="Q1176" s="77" t="s">
        <v>111</v>
      </c>
      <c r="T1176" s="77" t="s">
        <v>1666</v>
      </c>
      <c r="U1176" s="77" t="s">
        <v>85</v>
      </c>
      <c r="V1176" s="80" t="s">
        <v>673</v>
      </c>
      <c r="X1176" s="77" t="s">
        <v>674</v>
      </c>
      <c r="Y1176" s="78" t="s">
        <v>101</v>
      </c>
      <c r="AA1176" s="77" t="s">
        <v>1568</v>
      </c>
      <c r="AB1176" s="77" t="s">
        <v>1521</v>
      </c>
      <c r="AC1176" s="77" t="s">
        <v>90</v>
      </c>
      <c r="AD1176" s="77" t="s">
        <v>102</v>
      </c>
      <c r="AE1176" s="77" t="s">
        <v>1569</v>
      </c>
    </row>
    <row r="1177" spans="1:31" x14ac:dyDescent="0.3">
      <c r="A1177" s="77" t="s">
        <v>2041</v>
      </c>
      <c r="B1177" s="77" t="s">
        <v>2042</v>
      </c>
      <c r="G1177" s="77" t="s">
        <v>1566</v>
      </c>
      <c r="H1177" s="77" t="s">
        <v>77</v>
      </c>
      <c r="I1177" s="77" t="s">
        <v>1521</v>
      </c>
      <c r="J1177" s="77" t="s">
        <v>79</v>
      </c>
      <c r="K1177" s="77" t="s">
        <v>1522</v>
      </c>
      <c r="L1177" s="77" t="s">
        <v>1206</v>
      </c>
      <c r="M1177" s="77" t="s">
        <v>82</v>
      </c>
      <c r="N1177" s="77" t="s">
        <v>83</v>
      </c>
      <c r="Q1177" s="77" t="s">
        <v>111</v>
      </c>
      <c r="T1177" s="77" t="s">
        <v>1666</v>
      </c>
      <c r="U1177" s="77" t="s">
        <v>85</v>
      </c>
      <c r="V1177" s="80" t="s">
        <v>673</v>
      </c>
      <c r="X1177" s="77" t="s">
        <v>674</v>
      </c>
      <c r="Y1177" s="78" t="s">
        <v>101</v>
      </c>
      <c r="AA1177" s="77" t="s">
        <v>1568</v>
      </c>
      <c r="AB1177" s="77" t="s">
        <v>1521</v>
      </c>
      <c r="AC1177" s="77" t="s">
        <v>90</v>
      </c>
      <c r="AD1177" s="77" t="s">
        <v>102</v>
      </c>
      <c r="AE1177" s="77" t="s">
        <v>1569</v>
      </c>
    </row>
    <row r="1178" spans="1:31" x14ac:dyDescent="0.3">
      <c r="A1178" s="77" t="s">
        <v>2043</v>
      </c>
      <c r="B1178" s="77" t="s">
        <v>2044</v>
      </c>
      <c r="G1178" s="77" t="s">
        <v>1566</v>
      </c>
      <c r="H1178" s="77" t="s">
        <v>77</v>
      </c>
      <c r="I1178" s="77" t="s">
        <v>1521</v>
      </c>
      <c r="J1178" s="77" t="s">
        <v>79</v>
      </c>
      <c r="K1178" s="77" t="s">
        <v>1522</v>
      </c>
      <c r="L1178" s="77" t="s">
        <v>1209</v>
      </c>
      <c r="M1178" s="77" t="s">
        <v>82</v>
      </c>
      <c r="N1178" s="77" t="s">
        <v>83</v>
      </c>
      <c r="Q1178" s="77" t="s">
        <v>111</v>
      </c>
      <c r="T1178" s="77" t="s">
        <v>1666</v>
      </c>
      <c r="U1178" s="77" t="s">
        <v>85</v>
      </c>
      <c r="V1178" s="80" t="s">
        <v>673</v>
      </c>
      <c r="X1178" s="77" t="s">
        <v>674</v>
      </c>
      <c r="Y1178" s="78" t="s">
        <v>101</v>
      </c>
      <c r="AA1178" s="77" t="s">
        <v>1568</v>
      </c>
      <c r="AB1178" s="77" t="s">
        <v>1521</v>
      </c>
      <c r="AC1178" s="77" t="s">
        <v>90</v>
      </c>
      <c r="AD1178" s="77" t="s">
        <v>102</v>
      </c>
      <c r="AE1178" s="77" t="s">
        <v>1569</v>
      </c>
    </row>
    <row r="1179" spans="1:31" x14ac:dyDescent="0.3">
      <c r="A1179" s="77" t="s">
        <v>2045</v>
      </c>
      <c r="B1179" s="77" t="s">
        <v>2046</v>
      </c>
      <c r="G1179" s="77" t="s">
        <v>1566</v>
      </c>
      <c r="H1179" s="77" t="s">
        <v>77</v>
      </c>
      <c r="I1179" s="77" t="s">
        <v>1521</v>
      </c>
      <c r="J1179" s="77" t="s">
        <v>79</v>
      </c>
      <c r="K1179" s="77" t="s">
        <v>1522</v>
      </c>
      <c r="L1179" s="77" t="s">
        <v>1209</v>
      </c>
      <c r="M1179" s="77" t="s">
        <v>82</v>
      </c>
      <c r="N1179" s="77" t="s">
        <v>83</v>
      </c>
      <c r="Q1179" s="77" t="s">
        <v>111</v>
      </c>
      <c r="T1179" s="77" t="s">
        <v>1666</v>
      </c>
      <c r="U1179" s="77" t="s">
        <v>85</v>
      </c>
      <c r="V1179" s="80" t="s">
        <v>673</v>
      </c>
      <c r="X1179" s="77" t="s">
        <v>674</v>
      </c>
      <c r="Y1179" s="78" t="s">
        <v>101</v>
      </c>
      <c r="AA1179" s="77" t="s">
        <v>1568</v>
      </c>
      <c r="AB1179" s="77" t="s">
        <v>1521</v>
      </c>
      <c r="AC1179" s="77" t="s">
        <v>90</v>
      </c>
      <c r="AD1179" s="77" t="s">
        <v>102</v>
      </c>
      <c r="AE1179" s="77" t="s">
        <v>1569</v>
      </c>
    </row>
    <row r="1180" spans="1:31" x14ac:dyDescent="0.3">
      <c r="A1180" s="77" t="s">
        <v>2047</v>
      </c>
      <c r="B1180" s="77" t="s">
        <v>2048</v>
      </c>
      <c r="G1180" s="77" t="s">
        <v>1566</v>
      </c>
      <c r="H1180" s="77" t="s">
        <v>77</v>
      </c>
      <c r="I1180" s="77" t="s">
        <v>1521</v>
      </c>
      <c r="J1180" s="77" t="s">
        <v>79</v>
      </c>
      <c r="K1180" s="77" t="s">
        <v>1522</v>
      </c>
      <c r="L1180" s="77" t="s">
        <v>1206</v>
      </c>
      <c r="M1180" s="77" t="s">
        <v>82</v>
      </c>
      <c r="N1180" s="77" t="s">
        <v>83</v>
      </c>
      <c r="Q1180" s="77" t="s">
        <v>111</v>
      </c>
      <c r="T1180" s="77" t="s">
        <v>1666</v>
      </c>
      <c r="U1180" s="77" t="s">
        <v>85</v>
      </c>
      <c r="V1180" s="80" t="s">
        <v>673</v>
      </c>
      <c r="X1180" s="77" t="s">
        <v>674</v>
      </c>
      <c r="Y1180" s="78" t="s">
        <v>101</v>
      </c>
      <c r="AA1180" s="77" t="s">
        <v>1568</v>
      </c>
      <c r="AB1180" s="77" t="s">
        <v>1521</v>
      </c>
      <c r="AC1180" s="77" t="s">
        <v>90</v>
      </c>
      <c r="AD1180" s="77" t="s">
        <v>102</v>
      </c>
      <c r="AE1180" s="77" t="s">
        <v>1569</v>
      </c>
    </row>
    <row r="1181" spans="1:31" x14ac:dyDescent="0.3">
      <c r="A1181" s="77" t="s">
        <v>2049</v>
      </c>
      <c r="B1181" s="77" t="s">
        <v>2050</v>
      </c>
      <c r="G1181" s="77" t="s">
        <v>1566</v>
      </c>
      <c r="H1181" s="77" t="s">
        <v>77</v>
      </c>
      <c r="I1181" s="77" t="s">
        <v>1521</v>
      </c>
      <c r="J1181" s="77" t="s">
        <v>79</v>
      </c>
      <c r="K1181" s="77" t="s">
        <v>1522</v>
      </c>
      <c r="L1181" s="77" t="s">
        <v>1206</v>
      </c>
      <c r="M1181" s="77" t="s">
        <v>82</v>
      </c>
      <c r="N1181" s="77" t="s">
        <v>83</v>
      </c>
      <c r="Q1181" s="77" t="s">
        <v>111</v>
      </c>
      <c r="T1181" s="77" t="s">
        <v>1666</v>
      </c>
      <c r="U1181" s="77" t="s">
        <v>85</v>
      </c>
      <c r="V1181" s="80" t="s">
        <v>673</v>
      </c>
      <c r="X1181" s="77" t="s">
        <v>674</v>
      </c>
      <c r="Y1181" s="78" t="s">
        <v>101</v>
      </c>
      <c r="AA1181" s="77" t="s">
        <v>1568</v>
      </c>
      <c r="AB1181" s="77" t="s">
        <v>1521</v>
      </c>
      <c r="AC1181" s="77" t="s">
        <v>90</v>
      </c>
      <c r="AD1181" s="77" t="s">
        <v>102</v>
      </c>
      <c r="AE1181" s="77" t="s">
        <v>1569</v>
      </c>
    </row>
    <row r="1182" spans="1:31" x14ac:dyDescent="0.3">
      <c r="A1182" s="77" t="s">
        <v>2051</v>
      </c>
      <c r="B1182" s="77" t="s">
        <v>2052</v>
      </c>
      <c r="G1182" s="77" t="s">
        <v>1566</v>
      </c>
      <c r="H1182" s="77" t="s">
        <v>77</v>
      </c>
      <c r="I1182" s="77" t="s">
        <v>1521</v>
      </c>
      <c r="J1182" s="77" t="s">
        <v>79</v>
      </c>
      <c r="K1182" s="77" t="s">
        <v>1522</v>
      </c>
      <c r="L1182" s="77" t="s">
        <v>1206</v>
      </c>
      <c r="M1182" s="77" t="s">
        <v>82</v>
      </c>
      <c r="N1182" s="77" t="s">
        <v>83</v>
      </c>
      <c r="Q1182" s="77" t="s">
        <v>111</v>
      </c>
      <c r="T1182" s="77" t="s">
        <v>1666</v>
      </c>
      <c r="U1182" s="77" t="s">
        <v>85</v>
      </c>
      <c r="V1182" s="80" t="s">
        <v>673</v>
      </c>
      <c r="X1182" s="77" t="s">
        <v>674</v>
      </c>
      <c r="Y1182" s="78" t="s">
        <v>101</v>
      </c>
      <c r="AA1182" s="77" t="s">
        <v>1568</v>
      </c>
      <c r="AB1182" s="77" t="s">
        <v>1521</v>
      </c>
      <c r="AC1182" s="77" t="s">
        <v>90</v>
      </c>
      <c r="AD1182" s="77" t="s">
        <v>102</v>
      </c>
      <c r="AE1182" s="77" t="s">
        <v>1569</v>
      </c>
    </row>
    <row r="1183" spans="1:31" x14ac:dyDescent="0.3">
      <c r="A1183" s="77" t="s">
        <v>2053</v>
      </c>
      <c r="B1183" s="77" t="s">
        <v>2054</v>
      </c>
      <c r="G1183" s="77" t="s">
        <v>1566</v>
      </c>
      <c r="H1183" s="77" t="s">
        <v>77</v>
      </c>
      <c r="I1183" s="77" t="s">
        <v>1521</v>
      </c>
      <c r="J1183" s="77" t="s">
        <v>79</v>
      </c>
      <c r="K1183" s="77" t="s">
        <v>1522</v>
      </c>
      <c r="L1183" s="77" t="s">
        <v>2055</v>
      </c>
      <c r="M1183" s="77" t="s">
        <v>82</v>
      </c>
      <c r="N1183" s="77" t="s">
        <v>83</v>
      </c>
      <c r="Q1183" s="77" t="s">
        <v>111</v>
      </c>
      <c r="T1183" s="77" t="s">
        <v>1666</v>
      </c>
      <c r="U1183" s="77" t="s">
        <v>85</v>
      </c>
      <c r="V1183" s="80" t="s">
        <v>673</v>
      </c>
      <c r="X1183" s="77" t="s">
        <v>674</v>
      </c>
      <c r="Y1183" s="78" t="s">
        <v>101</v>
      </c>
      <c r="AA1183" s="77" t="s">
        <v>1568</v>
      </c>
      <c r="AB1183" s="77" t="s">
        <v>1521</v>
      </c>
      <c r="AC1183" s="77" t="s">
        <v>90</v>
      </c>
      <c r="AD1183" s="77" t="s">
        <v>102</v>
      </c>
      <c r="AE1183" s="77" t="s">
        <v>1569</v>
      </c>
    </row>
    <row r="1184" spans="1:31" x14ac:dyDescent="0.3">
      <c r="A1184" s="77" t="s">
        <v>2056</v>
      </c>
      <c r="B1184" s="77" t="s">
        <v>2057</v>
      </c>
      <c r="G1184" s="77" t="s">
        <v>1566</v>
      </c>
      <c r="H1184" s="77" t="s">
        <v>77</v>
      </c>
      <c r="I1184" s="77" t="s">
        <v>1521</v>
      </c>
      <c r="J1184" s="77" t="s">
        <v>79</v>
      </c>
      <c r="K1184" s="77" t="s">
        <v>1522</v>
      </c>
      <c r="L1184" s="77" t="s">
        <v>2058</v>
      </c>
      <c r="M1184" s="77" t="s">
        <v>82</v>
      </c>
      <c r="N1184" s="77" t="s">
        <v>83</v>
      </c>
      <c r="Q1184" s="77" t="s">
        <v>111</v>
      </c>
      <c r="T1184" s="77" t="s">
        <v>1666</v>
      </c>
      <c r="U1184" s="77" t="s">
        <v>85</v>
      </c>
      <c r="V1184" s="80" t="s">
        <v>673</v>
      </c>
      <c r="X1184" s="77" t="s">
        <v>674</v>
      </c>
      <c r="Y1184" s="78" t="s">
        <v>101</v>
      </c>
      <c r="AA1184" s="77" t="s">
        <v>1568</v>
      </c>
      <c r="AB1184" s="77" t="s">
        <v>1521</v>
      </c>
      <c r="AC1184" s="77" t="s">
        <v>90</v>
      </c>
      <c r="AD1184" s="77" t="s">
        <v>102</v>
      </c>
      <c r="AE1184" s="77" t="s">
        <v>1569</v>
      </c>
    </row>
    <row r="1185" spans="1:31" x14ac:dyDescent="0.3">
      <c r="A1185" s="77" t="s">
        <v>2059</v>
      </c>
      <c r="B1185" s="77" t="s">
        <v>2060</v>
      </c>
      <c r="G1185" s="77" t="s">
        <v>1566</v>
      </c>
      <c r="H1185" s="77" t="s">
        <v>77</v>
      </c>
      <c r="I1185" s="77" t="s">
        <v>1521</v>
      </c>
      <c r="J1185" s="77" t="s">
        <v>79</v>
      </c>
      <c r="K1185" s="77" t="s">
        <v>1522</v>
      </c>
      <c r="L1185" s="77" t="s">
        <v>2061</v>
      </c>
      <c r="M1185" s="77" t="s">
        <v>82</v>
      </c>
      <c r="N1185" s="77" t="s">
        <v>83</v>
      </c>
      <c r="Q1185" s="77" t="s">
        <v>111</v>
      </c>
      <c r="T1185" s="77" t="s">
        <v>1666</v>
      </c>
      <c r="U1185" s="77" t="s">
        <v>85</v>
      </c>
      <c r="V1185" s="80" t="s">
        <v>681</v>
      </c>
      <c r="X1185" s="77" t="s">
        <v>682</v>
      </c>
      <c r="Y1185" s="78" t="s">
        <v>101</v>
      </c>
      <c r="AA1185" s="77" t="s">
        <v>1568</v>
      </c>
      <c r="AB1185" s="77" t="s">
        <v>1521</v>
      </c>
      <c r="AC1185" s="77" t="s">
        <v>90</v>
      </c>
      <c r="AD1185" s="77" t="s">
        <v>102</v>
      </c>
      <c r="AE1185" s="77" t="s">
        <v>1569</v>
      </c>
    </row>
    <row r="1186" spans="1:31" x14ac:dyDescent="0.3">
      <c r="A1186" s="77" t="s">
        <v>2062</v>
      </c>
      <c r="B1186" s="77" t="s">
        <v>2063</v>
      </c>
      <c r="G1186" s="77" t="s">
        <v>1566</v>
      </c>
      <c r="H1186" s="77" t="s">
        <v>77</v>
      </c>
      <c r="I1186" s="77" t="s">
        <v>1521</v>
      </c>
      <c r="J1186" s="77" t="s">
        <v>79</v>
      </c>
      <c r="K1186" s="77" t="s">
        <v>1522</v>
      </c>
      <c r="L1186" s="77" t="s">
        <v>2061</v>
      </c>
      <c r="M1186" s="77" t="s">
        <v>82</v>
      </c>
      <c r="N1186" s="77" t="s">
        <v>83</v>
      </c>
      <c r="Q1186" s="77" t="s">
        <v>111</v>
      </c>
      <c r="T1186" s="77" t="s">
        <v>1666</v>
      </c>
      <c r="U1186" s="77" t="s">
        <v>85</v>
      </c>
      <c r="V1186" s="80" t="s">
        <v>681</v>
      </c>
      <c r="X1186" s="77" t="s">
        <v>682</v>
      </c>
      <c r="Y1186" s="78" t="s">
        <v>101</v>
      </c>
      <c r="AA1186" s="77" t="s">
        <v>1568</v>
      </c>
      <c r="AB1186" s="77" t="s">
        <v>1521</v>
      </c>
      <c r="AC1186" s="77" t="s">
        <v>90</v>
      </c>
      <c r="AD1186" s="77" t="s">
        <v>102</v>
      </c>
      <c r="AE1186" s="77" t="s">
        <v>1569</v>
      </c>
    </row>
    <row r="1187" spans="1:31" x14ac:dyDescent="0.3">
      <c r="A1187" s="77" t="s">
        <v>2064</v>
      </c>
      <c r="B1187" s="77" t="s">
        <v>2065</v>
      </c>
      <c r="G1187" s="77" t="s">
        <v>1566</v>
      </c>
      <c r="H1187" s="77" t="s">
        <v>77</v>
      </c>
      <c r="I1187" s="77" t="s">
        <v>1521</v>
      </c>
      <c r="J1187" s="77" t="s">
        <v>79</v>
      </c>
      <c r="K1187" s="77" t="s">
        <v>1522</v>
      </c>
      <c r="L1187" s="77" t="s">
        <v>2061</v>
      </c>
      <c r="M1187" s="77" t="s">
        <v>82</v>
      </c>
      <c r="N1187" s="77" t="s">
        <v>83</v>
      </c>
      <c r="Q1187" s="77" t="s">
        <v>111</v>
      </c>
      <c r="T1187" s="77" t="s">
        <v>1666</v>
      </c>
      <c r="U1187" s="77" t="s">
        <v>85</v>
      </c>
      <c r="V1187" s="80" t="s">
        <v>681</v>
      </c>
      <c r="X1187" s="77" t="s">
        <v>682</v>
      </c>
      <c r="Y1187" s="78" t="s">
        <v>101</v>
      </c>
      <c r="AA1187" s="77" t="s">
        <v>1568</v>
      </c>
      <c r="AB1187" s="77" t="s">
        <v>1521</v>
      </c>
      <c r="AC1187" s="77" t="s">
        <v>90</v>
      </c>
      <c r="AD1187" s="77" t="s">
        <v>102</v>
      </c>
      <c r="AE1187" s="77" t="s">
        <v>1569</v>
      </c>
    </row>
    <row r="1188" spans="1:31" x14ac:dyDescent="0.3">
      <c r="A1188" s="77" t="s">
        <v>2066</v>
      </c>
      <c r="B1188" s="77" t="s">
        <v>2067</v>
      </c>
      <c r="G1188" s="77" t="s">
        <v>1566</v>
      </c>
      <c r="H1188" s="77" t="s">
        <v>77</v>
      </c>
      <c r="I1188" s="77" t="s">
        <v>1521</v>
      </c>
      <c r="J1188" s="77" t="s">
        <v>79</v>
      </c>
      <c r="K1188" s="77" t="s">
        <v>1522</v>
      </c>
      <c r="L1188" s="77" t="s">
        <v>2061</v>
      </c>
      <c r="M1188" s="77" t="s">
        <v>82</v>
      </c>
      <c r="N1188" s="77" t="s">
        <v>83</v>
      </c>
      <c r="Q1188" s="77" t="s">
        <v>111</v>
      </c>
      <c r="T1188" s="77" t="s">
        <v>1666</v>
      </c>
      <c r="U1188" s="77" t="s">
        <v>85</v>
      </c>
      <c r="V1188" s="80" t="s">
        <v>681</v>
      </c>
      <c r="X1188" s="77" t="s">
        <v>682</v>
      </c>
      <c r="Y1188" s="78" t="s">
        <v>101</v>
      </c>
      <c r="AA1188" s="77" t="s">
        <v>1568</v>
      </c>
      <c r="AB1188" s="77" t="s">
        <v>1521</v>
      </c>
      <c r="AC1188" s="77" t="s">
        <v>90</v>
      </c>
      <c r="AD1188" s="77" t="s">
        <v>102</v>
      </c>
      <c r="AE1188" s="77" t="s">
        <v>1569</v>
      </c>
    </row>
    <row r="1189" spans="1:31" x14ac:dyDescent="0.3">
      <c r="A1189" s="77" t="s">
        <v>2068</v>
      </c>
      <c r="B1189" s="77" t="s">
        <v>2069</v>
      </c>
      <c r="G1189" s="77" t="s">
        <v>1566</v>
      </c>
      <c r="H1189" s="77" t="s">
        <v>77</v>
      </c>
      <c r="I1189" s="77" t="s">
        <v>1521</v>
      </c>
      <c r="J1189" s="77" t="s">
        <v>79</v>
      </c>
      <c r="K1189" s="77" t="s">
        <v>1522</v>
      </c>
      <c r="L1189" s="77" t="s">
        <v>2061</v>
      </c>
      <c r="M1189" s="77" t="s">
        <v>82</v>
      </c>
      <c r="N1189" s="77" t="s">
        <v>83</v>
      </c>
      <c r="Q1189" s="77" t="s">
        <v>111</v>
      </c>
      <c r="T1189" s="77" t="s">
        <v>1666</v>
      </c>
      <c r="U1189" s="77" t="s">
        <v>85</v>
      </c>
      <c r="V1189" s="80" t="s">
        <v>681</v>
      </c>
      <c r="X1189" s="77" t="s">
        <v>682</v>
      </c>
      <c r="Y1189" s="78" t="s">
        <v>101</v>
      </c>
      <c r="AA1189" s="77" t="s">
        <v>1568</v>
      </c>
      <c r="AB1189" s="77" t="s">
        <v>1521</v>
      </c>
      <c r="AC1189" s="77" t="s">
        <v>90</v>
      </c>
      <c r="AD1189" s="77" t="s">
        <v>102</v>
      </c>
      <c r="AE1189" s="77" t="s">
        <v>1569</v>
      </c>
    </row>
    <row r="1190" spans="1:31" x14ac:dyDescent="0.3">
      <c r="A1190" s="77" t="s">
        <v>2070</v>
      </c>
      <c r="B1190" s="77" t="s">
        <v>2071</v>
      </c>
      <c r="G1190" s="77" t="s">
        <v>1566</v>
      </c>
      <c r="H1190" s="77" t="s">
        <v>77</v>
      </c>
      <c r="I1190" s="77" t="s">
        <v>1521</v>
      </c>
      <c r="J1190" s="77" t="s">
        <v>79</v>
      </c>
      <c r="K1190" s="77" t="s">
        <v>1522</v>
      </c>
      <c r="L1190" s="77" t="s">
        <v>1222</v>
      </c>
      <c r="M1190" s="77" t="s">
        <v>82</v>
      </c>
      <c r="N1190" s="77" t="s">
        <v>83</v>
      </c>
      <c r="Q1190" s="77" t="s">
        <v>111</v>
      </c>
      <c r="T1190" s="77" t="s">
        <v>1666</v>
      </c>
      <c r="U1190" s="77" t="s">
        <v>85</v>
      </c>
      <c r="V1190" s="80" t="s">
        <v>681</v>
      </c>
      <c r="X1190" s="77" t="s">
        <v>682</v>
      </c>
      <c r="Y1190" s="78" t="s">
        <v>101</v>
      </c>
      <c r="AA1190" s="77" t="s">
        <v>1568</v>
      </c>
      <c r="AB1190" s="77" t="s">
        <v>1521</v>
      </c>
      <c r="AC1190" s="77" t="s">
        <v>90</v>
      </c>
      <c r="AD1190" s="77" t="s">
        <v>102</v>
      </c>
      <c r="AE1190" s="77" t="s">
        <v>1569</v>
      </c>
    </row>
    <row r="1191" spans="1:31" x14ac:dyDescent="0.3">
      <c r="A1191" s="77" t="s">
        <v>2072</v>
      </c>
      <c r="B1191" s="77" t="s">
        <v>2073</v>
      </c>
      <c r="G1191" s="77" t="s">
        <v>1566</v>
      </c>
      <c r="H1191" s="77" t="s">
        <v>77</v>
      </c>
      <c r="I1191" s="77" t="s">
        <v>1521</v>
      </c>
      <c r="J1191" s="77" t="s">
        <v>79</v>
      </c>
      <c r="K1191" s="77" t="s">
        <v>1522</v>
      </c>
      <c r="L1191" s="77" t="s">
        <v>1222</v>
      </c>
      <c r="M1191" s="77" t="s">
        <v>82</v>
      </c>
      <c r="N1191" s="77" t="s">
        <v>83</v>
      </c>
      <c r="Q1191" s="77" t="s">
        <v>111</v>
      </c>
      <c r="T1191" s="77" t="s">
        <v>1666</v>
      </c>
      <c r="U1191" s="77" t="s">
        <v>85</v>
      </c>
      <c r="V1191" s="80" t="s">
        <v>681</v>
      </c>
      <c r="X1191" s="77" t="s">
        <v>682</v>
      </c>
      <c r="Y1191" s="78" t="s">
        <v>101</v>
      </c>
      <c r="AA1191" s="77" t="s">
        <v>1568</v>
      </c>
      <c r="AB1191" s="77" t="s">
        <v>1521</v>
      </c>
      <c r="AC1191" s="77" t="s">
        <v>90</v>
      </c>
      <c r="AD1191" s="77" t="s">
        <v>102</v>
      </c>
      <c r="AE1191" s="77" t="s">
        <v>1569</v>
      </c>
    </row>
    <row r="1192" spans="1:31" x14ac:dyDescent="0.3">
      <c r="A1192" s="77" t="s">
        <v>2074</v>
      </c>
      <c r="B1192" s="77" t="s">
        <v>2075</v>
      </c>
      <c r="G1192" s="77" t="s">
        <v>1566</v>
      </c>
      <c r="H1192" s="77" t="s">
        <v>77</v>
      </c>
      <c r="I1192" s="77" t="s">
        <v>1521</v>
      </c>
      <c r="J1192" s="77" t="s">
        <v>79</v>
      </c>
      <c r="K1192" s="77" t="s">
        <v>1522</v>
      </c>
      <c r="L1192" s="77" t="s">
        <v>1222</v>
      </c>
      <c r="M1192" s="77" t="s">
        <v>82</v>
      </c>
      <c r="N1192" s="77" t="s">
        <v>83</v>
      </c>
      <c r="Q1192" s="77" t="s">
        <v>111</v>
      </c>
      <c r="T1192" s="77" t="s">
        <v>1666</v>
      </c>
      <c r="U1192" s="77" t="s">
        <v>85</v>
      </c>
      <c r="V1192" s="80" t="s">
        <v>681</v>
      </c>
      <c r="X1192" s="77" t="s">
        <v>682</v>
      </c>
      <c r="Y1192" s="78" t="s">
        <v>101</v>
      </c>
      <c r="AA1192" s="77" t="s">
        <v>1568</v>
      </c>
      <c r="AB1192" s="77" t="s">
        <v>1521</v>
      </c>
      <c r="AC1192" s="77" t="s">
        <v>90</v>
      </c>
      <c r="AD1192" s="77" t="s">
        <v>102</v>
      </c>
      <c r="AE1192" s="77" t="s">
        <v>1569</v>
      </c>
    </row>
    <row r="1193" spans="1:31" x14ac:dyDescent="0.3">
      <c r="A1193" s="77" t="s">
        <v>2076</v>
      </c>
      <c r="B1193" s="77" t="s">
        <v>2077</v>
      </c>
      <c r="G1193" s="77" t="s">
        <v>1566</v>
      </c>
      <c r="H1193" s="77" t="s">
        <v>77</v>
      </c>
      <c r="I1193" s="77" t="s">
        <v>1521</v>
      </c>
      <c r="J1193" s="77" t="s">
        <v>79</v>
      </c>
      <c r="K1193" s="77" t="s">
        <v>1522</v>
      </c>
      <c r="L1193" s="77" t="s">
        <v>1222</v>
      </c>
      <c r="M1193" s="77" t="s">
        <v>82</v>
      </c>
      <c r="N1193" s="77" t="s">
        <v>83</v>
      </c>
      <c r="Q1193" s="77" t="s">
        <v>111</v>
      </c>
      <c r="T1193" s="77" t="s">
        <v>1666</v>
      </c>
      <c r="U1193" s="77" t="s">
        <v>85</v>
      </c>
      <c r="V1193" s="80" t="s">
        <v>681</v>
      </c>
      <c r="X1193" s="77" t="s">
        <v>682</v>
      </c>
      <c r="Y1193" s="78" t="s">
        <v>101</v>
      </c>
      <c r="AA1193" s="77" t="s">
        <v>1568</v>
      </c>
      <c r="AB1193" s="77" t="s">
        <v>1521</v>
      </c>
      <c r="AC1193" s="77" t="s">
        <v>90</v>
      </c>
      <c r="AD1193" s="77" t="s">
        <v>102</v>
      </c>
      <c r="AE1193" s="77" t="s">
        <v>1569</v>
      </c>
    </row>
    <row r="1194" spans="1:31" x14ac:dyDescent="0.3">
      <c r="A1194" s="77" t="s">
        <v>2078</v>
      </c>
      <c r="B1194" s="77" t="s">
        <v>2079</v>
      </c>
      <c r="G1194" s="77" t="s">
        <v>1566</v>
      </c>
      <c r="H1194" s="77" t="s">
        <v>77</v>
      </c>
      <c r="I1194" s="77" t="s">
        <v>1521</v>
      </c>
      <c r="J1194" s="77" t="s">
        <v>79</v>
      </c>
      <c r="K1194" s="77" t="s">
        <v>1522</v>
      </c>
      <c r="L1194" s="77" t="s">
        <v>1225</v>
      </c>
      <c r="M1194" s="77" t="s">
        <v>82</v>
      </c>
      <c r="N1194" s="77" t="s">
        <v>83</v>
      </c>
      <c r="Q1194" s="77" t="s">
        <v>111</v>
      </c>
      <c r="T1194" s="77" t="s">
        <v>1666</v>
      </c>
      <c r="U1194" s="77" t="s">
        <v>85</v>
      </c>
      <c r="V1194" s="80" t="s">
        <v>681</v>
      </c>
      <c r="X1194" s="77" t="s">
        <v>682</v>
      </c>
      <c r="Y1194" s="78" t="s">
        <v>101</v>
      </c>
      <c r="AA1194" s="77" t="s">
        <v>1568</v>
      </c>
      <c r="AB1194" s="77" t="s">
        <v>1521</v>
      </c>
      <c r="AC1194" s="77" t="s">
        <v>90</v>
      </c>
      <c r="AD1194" s="77" t="s">
        <v>102</v>
      </c>
      <c r="AE1194" s="77" t="s">
        <v>1569</v>
      </c>
    </row>
    <row r="1195" spans="1:31" x14ac:dyDescent="0.3">
      <c r="A1195" s="77" t="s">
        <v>2080</v>
      </c>
      <c r="B1195" s="77" t="s">
        <v>2081</v>
      </c>
      <c r="G1195" s="77" t="s">
        <v>1566</v>
      </c>
      <c r="H1195" s="77" t="s">
        <v>77</v>
      </c>
      <c r="I1195" s="77" t="s">
        <v>1521</v>
      </c>
      <c r="J1195" s="77" t="s">
        <v>79</v>
      </c>
      <c r="K1195" s="77" t="s">
        <v>1522</v>
      </c>
      <c r="L1195" s="77" t="s">
        <v>1225</v>
      </c>
      <c r="M1195" s="77" t="s">
        <v>82</v>
      </c>
      <c r="N1195" s="77" t="s">
        <v>83</v>
      </c>
      <c r="Q1195" s="77" t="s">
        <v>111</v>
      </c>
      <c r="T1195" s="77" t="s">
        <v>1666</v>
      </c>
      <c r="U1195" s="77" t="s">
        <v>85</v>
      </c>
      <c r="V1195" s="80" t="s">
        <v>681</v>
      </c>
      <c r="X1195" s="77" t="s">
        <v>682</v>
      </c>
      <c r="Y1195" s="78" t="s">
        <v>101</v>
      </c>
      <c r="AA1195" s="77" t="s">
        <v>1568</v>
      </c>
      <c r="AB1195" s="77" t="s">
        <v>1521</v>
      </c>
      <c r="AC1195" s="77" t="s">
        <v>90</v>
      </c>
      <c r="AD1195" s="77" t="s">
        <v>102</v>
      </c>
      <c r="AE1195" s="77" t="s">
        <v>1569</v>
      </c>
    </row>
    <row r="1196" spans="1:31" x14ac:dyDescent="0.3">
      <c r="A1196" s="77" t="s">
        <v>2082</v>
      </c>
      <c r="B1196" s="77" t="s">
        <v>2083</v>
      </c>
      <c r="G1196" s="77" t="s">
        <v>1566</v>
      </c>
      <c r="H1196" s="77" t="s">
        <v>77</v>
      </c>
      <c r="I1196" s="77" t="s">
        <v>1521</v>
      </c>
      <c r="J1196" s="77" t="s">
        <v>79</v>
      </c>
      <c r="K1196" s="77" t="s">
        <v>1522</v>
      </c>
      <c r="L1196" s="77" t="s">
        <v>1222</v>
      </c>
      <c r="M1196" s="77" t="s">
        <v>82</v>
      </c>
      <c r="N1196" s="77" t="s">
        <v>83</v>
      </c>
      <c r="Q1196" s="77" t="s">
        <v>111</v>
      </c>
      <c r="T1196" s="77" t="s">
        <v>1666</v>
      </c>
      <c r="U1196" s="77" t="s">
        <v>85</v>
      </c>
      <c r="V1196" s="80" t="s">
        <v>681</v>
      </c>
      <c r="X1196" s="77" t="s">
        <v>682</v>
      </c>
      <c r="Y1196" s="78" t="s">
        <v>101</v>
      </c>
      <c r="AA1196" s="77" t="s">
        <v>1568</v>
      </c>
      <c r="AB1196" s="77" t="s">
        <v>1521</v>
      </c>
      <c r="AC1196" s="77" t="s">
        <v>90</v>
      </c>
      <c r="AD1196" s="77" t="s">
        <v>102</v>
      </c>
      <c r="AE1196" s="77" t="s">
        <v>1569</v>
      </c>
    </row>
    <row r="1197" spans="1:31" x14ac:dyDescent="0.3">
      <c r="A1197" s="77" t="s">
        <v>2084</v>
      </c>
      <c r="B1197" s="77" t="s">
        <v>2085</v>
      </c>
      <c r="G1197" s="77" t="s">
        <v>1566</v>
      </c>
      <c r="H1197" s="77" t="s">
        <v>77</v>
      </c>
      <c r="I1197" s="77" t="s">
        <v>1521</v>
      </c>
      <c r="J1197" s="77" t="s">
        <v>79</v>
      </c>
      <c r="K1197" s="77" t="s">
        <v>1522</v>
      </c>
      <c r="L1197" s="77" t="s">
        <v>1222</v>
      </c>
      <c r="M1197" s="77" t="s">
        <v>82</v>
      </c>
      <c r="N1197" s="77" t="s">
        <v>83</v>
      </c>
      <c r="Q1197" s="77" t="s">
        <v>111</v>
      </c>
      <c r="T1197" s="77" t="s">
        <v>1666</v>
      </c>
      <c r="U1197" s="77" t="s">
        <v>85</v>
      </c>
      <c r="V1197" s="80" t="s">
        <v>681</v>
      </c>
      <c r="X1197" s="77" t="s">
        <v>682</v>
      </c>
      <c r="Y1197" s="78" t="s">
        <v>101</v>
      </c>
      <c r="AA1197" s="77" t="s">
        <v>1568</v>
      </c>
      <c r="AB1197" s="77" t="s">
        <v>1521</v>
      </c>
      <c r="AC1197" s="77" t="s">
        <v>90</v>
      </c>
      <c r="AD1197" s="77" t="s">
        <v>102</v>
      </c>
      <c r="AE1197" s="77" t="s">
        <v>1569</v>
      </c>
    </row>
    <row r="1198" spans="1:31" x14ac:dyDescent="0.3">
      <c r="A1198" s="77" t="s">
        <v>2086</v>
      </c>
      <c r="B1198" s="77" t="s">
        <v>2087</v>
      </c>
      <c r="G1198" s="77" t="s">
        <v>1566</v>
      </c>
      <c r="H1198" s="77" t="s">
        <v>77</v>
      </c>
      <c r="I1198" s="77" t="s">
        <v>1521</v>
      </c>
      <c r="J1198" s="77" t="s">
        <v>79</v>
      </c>
      <c r="K1198" s="77" t="s">
        <v>1522</v>
      </c>
      <c r="L1198" s="77" t="s">
        <v>1222</v>
      </c>
      <c r="M1198" s="77" t="s">
        <v>82</v>
      </c>
      <c r="N1198" s="77" t="s">
        <v>83</v>
      </c>
      <c r="Q1198" s="77" t="s">
        <v>111</v>
      </c>
      <c r="T1198" s="77" t="s">
        <v>1666</v>
      </c>
      <c r="U1198" s="77" t="s">
        <v>85</v>
      </c>
      <c r="V1198" s="80" t="s">
        <v>681</v>
      </c>
      <c r="X1198" s="77" t="s">
        <v>682</v>
      </c>
      <c r="Y1198" s="78" t="s">
        <v>101</v>
      </c>
      <c r="AA1198" s="77" t="s">
        <v>1568</v>
      </c>
      <c r="AB1198" s="77" t="s">
        <v>1521</v>
      </c>
      <c r="AC1198" s="77" t="s">
        <v>90</v>
      </c>
      <c r="AD1198" s="77" t="s">
        <v>102</v>
      </c>
      <c r="AE1198" s="77" t="s">
        <v>1569</v>
      </c>
    </row>
    <row r="1199" spans="1:31" x14ac:dyDescent="0.3">
      <c r="A1199" s="77" t="s">
        <v>2088</v>
      </c>
      <c r="B1199" s="77" t="s">
        <v>2089</v>
      </c>
      <c r="G1199" s="77" t="s">
        <v>1566</v>
      </c>
      <c r="H1199" s="77" t="s">
        <v>77</v>
      </c>
      <c r="I1199" s="77" t="s">
        <v>1521</v>
      </c>
      <c r="J1199" s="77" t="s">
        <v>79</v>
      </c>
      <c r="K1199" s="77" t="s">
        <v>1522</v>
      </c>
      <c r="L1199" s="77" t="s">
        <v>2090</v>
      </c>
      <c r="M1199" s="77" t="s">
        <v>82</v>
      </c>
      <c r="N1199" s="77" t="s">
        <v>83</v>
      </c>
      <c r="Q1199" s="77" t="s">
        <v>111</v>
      </c>
      <c r="T1199" s="77" t="s">
        <v>1666</v>
      </c>
      <c r="U1199" s="77" t="s">
        <v>85</v>
      </c>
      <c r="V1199" s="80" t="s">
        <v>681</v>
      </c>
      <c r="X1199" s="77" t="s">
        <v>682</v>
      </c>
      <c r="Y1199" s="78" t="s">
        <v>101</v>
      </c>
      <c r="AA1199" s="77" t="s">
        <v>1568</v>
      </c>
      <c r="AB1199" s="77" t="s">
        <v>1521</v>
      </c>
      <c r="AC1199" s="77" t="s">
        <v>90</v>
      </c>
      <c r="AD1199" s="77" t="s">
        <v>102</v>
      </c>
      <c r="AE1199" s="77" t="s">
        <v>1569</v>
      </c>
    </row>
    <row r="1200" spans="1:31" x14ac:dyDescent="0.3">
      <c r="A1200" s="77" t="s">
        <v>2091</v>
      </c>
      <c r="B1200" s="77" t="s">
        <v>2092</v>
      </c>
      <c r="G1200" s="77" t="s">
        <v>1566</v>
      </c>
      <c r="H1200" s="77" t="s">
        <v>77</v>
      </c>
      <c r="I1200" s="77" t="s">
        <v>1521</v>
      </c>
      <c r="J1200" s="77" t="s">
        <v>79</v>
      </c>
      <c r="K1200" s="77" t="s">
        <v>1522</v>
      </c>
      <c r="L1200" s="77" t="s">
        <v>2093</v>
      </c>
      <c r="M1200" s="77" t="s">
        <v>82</v>
      </c>
      <c r="N1200" s="77" t="s">
        <v>83</v>
      </c>
      <c r="Q1200" s="77" t="s">
        <v>111</v>
      </c>
      <c r="T1200" s="77" t="s">
        <v>1666</v>
      </c>
      <c r="U1200" s="77" t="s">
        <v>85</v>
      </c>
      <c r="V1200" s="80" t="s">
        <v>681</v>
      </c>
      <c r="X1200" s="77" t="s">
        <v>682</v>
      </c>
      <c r="Y1200" s="78" t="s">
        <v>101</v>
      </c>
      <c r="AA1200" s="77" t="s">
        <v>1568</v>
      </c>
      <c r="AB1200" s="77" t="s">
        <v>1521</v>
      </c>
      <c r="AC1200" s="77" t="s">
        <v>90</v>
      </c>
      <c r="AD1200" s="77" t="s">
        <v>102</v>
      </c>
      <c r="AE1200" s="77" t="s">
        <v>1569</v>
      </c>
    </row>
    <row r="1201" spans="1:31" x14ac:dyDescent="0.3">
      <c r="A1201" s="77" t="s">
        <v>2094</v>
      </c>
      <c r="B1201" s="77" t="s">
        <v>2095</v>
      </c>
      <c r="G1201" s="77" t="s">
        <v>1566</v>
      </c>
      <c r="H1201" s="77" t="s">
        <v>77</v>
      </c>
      <c r="I1201" s="77" t="s">
        <v>1521</v>
      </c>
      <c r="J1201" s="77" t="s">
        <v>79</v>
      </c>
      <c r="K1201" s="77" t="s">
        <v>1522</v>
      </c>
      <c r="L1201" s="77" t="s">
        <v>2096</v>
      </c>
      <c r="M1201" s="77" t="s">
        <v>82</v>
      </c>
      <c r="N1201" s="77" t="s">
        <v>83</v>
      </c>
      <c r="Q1201" s="77" t="s">
        <v>111</v>
      </c>
      <c r="T1201" s="77" t="s">
        <v>1666</v>
      </c>
      <c r="U1201" s="77" t="s">
        <v>85</v>
      </c>
      <c r="V1201" s="80" t="s">
        <v>231</v>
      </c>
      <c r="X1201" s="77" t="s">
        <v>232</v>
      </c>
      <c r="Y1201" s="78" t="s">
        <v>88</v>
      </c>
      <c r="AA1201" s="77" t="s">
        <v>1568</v>
      </c>
      <c r="AB1201" s="77" t="s">
        <v>1521</v>
      </c>
      <c r="AC1201" s="77" t="s">
        <v>90</v>
      </c>
      <c r="AD1201" s="77" t="s">
        <v>91</v>
      </c>
      <c r="AE1201" s="77" t="s">
        <v>1569</v>
      </c>
    </row>
    <row r="1202" spans="1:31" x14ac:dyDescent="0.3">
      <c r="A1202" s="77" t="s">
        <v>2097</v>
      </c>
      <c r="B1202" s="77" t="s">
        <v>2098</v>
      </c>
      <c r="G1202" s="77" t="s">
        <v>1566</v>
      </c>
      <c r="H1202" s="77" t="s">
        <v>77</v>
      </c>
      <c r="I1202" s="77" t="s">
        <v>1521</v>
      </c>
      <c r="J1202" s="77" t="s">
        <v>79</v>
      </c>
      <c r="K1202" s="77" t="s">
        <v>1522</v>
      </c>
      <c r="L1202" s="77" t="s">
        <v>2099</v>
      </c>
      <c r="M1202" s="77" t="s">
        <v>82</v>
      </c>
      <c r="N1202" s="77" t="s">
        <v>83</v>
      </c>
      <c r="Q1202" s="77" t="s">
        <v>111</v>
      </c>
      <c r="T1202" s="77" t="s">
        <v>1666</v>
      </c>
      <c r="U1202" s="77" t="s">
        <v>85</v>
      </c>
      <c r="V1202" s="80" t="s">
        <v>231</v>
      </c>
      <c r="X1202" s="77" t="s">
        <v>232</v>
      </c>
      <c r="Y1202" s="78" t="s">
        <v>88</v>
      </c>
      <c r="AA1202" s="77" t="s">
        <v>1568</v>
      </c>
      <c r="AB1202" s="77" t="s">
        <v>1521</v>
      </c>
      <c r="AC1202" s="77" t="s">
        <v>90</v>
      </c>
      <c r="AD1202" s="77" t="s">
        <v>91</v>
      </c>
      <c r="AE1202" s="77" t="s">
        <v>1569</v>
      </c>
    </row>
    <row r="1203" spans="1:31" x14ac:dyDescent="0.3">
      <c r="A1203" s="77" t="s">
        <v>2100</v>
      </c>
      <c r="B1203" s="77" t="s">
        <v>2101</v>
      </c>
      <c r="G1203" s="77" t="s">
        <v>1566</v>
      </c>
      <c r="H1203" s="77" t="s">
        <v>77</v>
      </c>
      <c r="I1203" s="77" t="s">
        <v>1521</v>
      </c>
      <c r="J1203" s="77" t="s">
        <v>79</v>
      </c>
      <c r="K1203" s="77" t="s">
        <v>1522</v>
      </c>
      <c r="L1203" s="77" t="s">
        <v>2102</v>
      </c>
      <c r="M1203" s="77" t="s">
        <v>82</v>
      </c>
      <c r="N1203" s="77" t="s">
        <v>83</v>
      </c>
      <c r="Q1203" s="77" t="s">
        <v>111</v>
      </c>
      <c r="T1203" s="77" t="s">
        <v>1666</v>
      </c>
      <c r="U1203" s="77" t="s">
        <v>85</v>
      </c>
      <c r="V1203" s="80" t="s">
        <v>231</v>
      </c>
      <c r="X1203" s="77" t="s">
        <v>232</v>
      </c>
      <c r="Y1203" s="78" t="s">
        <v>88</v>
      </c>
      <c r="AA1203" s="77" t="s">
        <v>1568</v>
      </c>
      <c r="AB1203" s="77" t="s">
        <v>1521</v>
      </c>
      <c r="AC1203" s="77" t="s">
        <v>90</v>
      </c>
      <c r="AD1203" s="77" t="s">
        <v>91</v>
      </c>
      <c r="AE1203" s="77" t="s">
        <v>1569</v>
      </c>
    </row>
    <row r="1204" spans="1:31" x14ac:dyDescent="0.3">
      <c r="A1204" s="77" t="s">
        <v>2103</v>
      </c>
      <c r="B1204" s="77" t="s">
        <v>2104</v>
      </c>
      <c r="G1204" s="77" t="s">
        <v>1566</v>
      </c>
      <c r="H1204" s="77" t="s">
        <v>77</v>
      </c>
      <c r="I1204" s="77" t="s">
        <v>1521</v>
      </c>
      <c r="J1204" s="77" t="s">
        <v>79</v>
      </c>
      <c r="K1204" s="77" t="s">
        <v>1522</v>
      </c>
      <c r="L1204" s="77" t="s">
        <v>2105</v>
      </c>
      <c r="M1204" s="77" t="s">
        <v>82</v>
      </c>
      <c r="N1204" s="77" t="s">
        <v>83</v>
      </c>
      <c r="Q1204" s="77" t="s">
        <v>111</v>
      </c>
      <c r="T1204" s="77" t="s">
        <v>1666</v>
      </c>
      <c r="U1204" s="77" t="s">
        <v>85</v>
      </c>
      <c r="V1204" s="80" t="s">
        <v>231</v>
      </c>
      <c r="X1204" s="77" t="s">
        <v>232</v>
      </c>
      <c r="Y1204" s="78" t="s">
        <v>88</v>
      </c>
      <c r="AA1204" s="77" t="s">
        <v>1568</v>
      </c>
      <c r="AB1204" s="77" t="s">
        <v>1521</v>
      </c>
      <c r="AC1204" s="77" t="s">
        <v>90</v>
      </c>
      <c r="AD1204" s="77" t="s">
        <v>91</v>
      </c>
      <c r="AE1204" s="77" t="s">
        <v>1569</v>
      </c>
    </row>
    <row r="1205" spans="1:31" x14ac:dyDescent="0.3">
      <c r="A1205" s="77" t="s">
        <v>2106</v>
      </c>
      <c r="B1205" s="77" t="s">
        <v>2107</v>
      </c>
      <c r="G1205" s="77" t="s">
        <v>1566</v>
      </c>
      <c r="H1205" s="77" t="s">
        <v>77</v>
      </c>
      <c r="I1205" s="77" t="s">
        <v>1521</v>
      </c>
      <c r="J1205" s="77" t="s">
        <v>79</v>
      </c>
      <c r="K1205" s="77" t="s">
        <v>1522</v>
      </c>
      <c r="L1205" s="77" t="s">
        <v>2108</v>
      </c>
      <c r="M1205" s="77" t="s">
        <v>82</v>
      </c>
      <c r="N1205" s="77" t="s">
        <v>83</v>
      </c>
      <c r="Q1205" s="77" t="s">
        <v>111</v>
      </c>
      <c r="T1205" s="77" t="s">
        <v>1666</v>
      </c>
      <c r="U1205" s="77" t="s">
        <v>85</v>
      </c>
      <c r="V1205" s="80" t="s">
        <v>231</v>
      </c>
      <c r="X1205" s="77" t="s">
        <v>232</v>
      </c>
      <c r="Y1205" s="78" t="s">
        <v>88</v>
      </c>
      <c r="AA1205" s="77" t="s">
        <v>1568</v>
      </c>
      <c r="AB1205" s="77" t="s">
        <v>1521</v>
      </c>
      <c r="AC1205" s="77" t="s">
        <v>90</v>
      </c>
      <c r="AD1205" s="77" t="s">
        <v>91</v>
      </c>
      <c r="AE1205" s="77" t="s">
        <v>1569</v>
      </c>
    </row>
    <row r="1206" spans="1:31" x14ac:dyDescent="0.3">
      <c r="A1206" s="77" t="s">
        <v>2109</v>
      </c>
      <c r="B1206" s="77" t="s">
        <v>2110</v>
      </c>
      <c r="G1206" s="77" t="s">
        <v>1566</v>
      </c>
      <c r="H1206" s="77" t="s">
        <v>77</v>
      </c>
      <c r="I1206" s="77" t="s">
        <v>1521</v>
      </c>
      <c r="J1206" s="77" t="s">
        <v>79</v>
      </c>
      <c r="K1206" s="77" t="s">
        <v>1522</v>
      </c>
      <c r="L1206" s="77" t="s">
        <v>2111</v>
      </c>
      <c r="M1206" s="77" t="s">
        <v>82</v>
      </c>
      <c r="N1206" s="77" t="s">
        <v>83</v>
      </c>
      <c r="Q1206" s="77" t="s">
        <v>111</v>
      </c>
      <c r="T1206" s="77" t="s">
        <v>1666</v>
      </c>
      <c r="U1206" s="77" t="s">
        <v>85</v>
      </c>
      <c r="V1206" s="80" t="s">
        <v>231</v>
      </c>
      <c r="X1206" s="77" t="s">
        <v>232</v>
      </c>
      <c r="Y1206" s="78" t="s">
        <v>88</v>
      </c>
      <c r="AA1206" s="77" t="s">
        <v>1568</v>
      </c>
      <c r="AB1206" s="77" t="s">
        <v>1521</v>
      </c>
      <c r="AC1206" s="77" t="s">
        <v>90</v>
      </c>
      <c r="AD1206" s="77" t="s">
        <v>91</v>
      </c>
      <c r="AE1206" s="77" t="s">
        <v>1569</v>
      </c>
    </row>
    <row r="1207" spans="1:31" x14ac:dyDescent="0.3">
      <c r="A1207" s="77" t="s">
        <v>2112</v>
      </c>
      <c r="B1207" s="77" t="s">
        <v>2113</v>
      </c>
      <c r="G1207" s="77" t="s">
        <v>1566</v>
      </c>
      <c r="H1207" s="77" t="s">
        <v>77</v>
      </c>
      <c r="I1207" s="77" t="s">
        <v>1521</v>
      </c>
      <c r="J1207" s="77" t="s">
        <v>79</v>
      </c>
      <c r="K1207" s="77" t="s">
        <v>1522</v>
      </c>
      <c r="L1207" s="77" t="s">
        <v>2114</v>
      </c>
      <c r="M1207" s="77" t="s">
        <v>82</v>
      </c>
      <c r="N1207" s="77" t="s">
        <v>83</v>
      </c>
      <c r="Q1207" s="77" t="s">
        <v>111</v>
      </c>
      <c r="T1207" s="77" t="s">
        <v>1666</v>
      </c>
      <c r="U1207" s="77" t="s">
        <v>85</v>
      </c>
      <c r="V1207" s="80" t="s">
        <v>231</v>
      </c>
      <c r="X1207" s="77" t="s">
        <v>232</v>
      </c>
      <c r="Y1207" s="78" t="s">
        <v>88</v>
      </c>
      <c r="AA1207" s="77" t="s">
        <v>1568</v>
      </c>
      <c r="AB1207" s="77" t="s">
        <v>1521</v>
      </c>
      <c r="AC1207" s="77" t="s">
        <v>90</v>
      </c>
      <c r="AD1207" s="77" t="s">
        <v>91</v>
      </c>
      <c r="AE1207" s="77" t="s">
        <v>1569</v>
      </c>
    </row>
    <row r="1208" spans="1:31" x14ac:dyDescent="0.3">
      <c r="A1208" s="77" t="s">
        <v>2115</v>
      </c>
      <c r="B1208" s="77" t="s">
        <v>2116</v>
      </c>
      <c r="G1208" s="77" t="s">
        <v>1566</v>
      </c>
      <c r="H1208" s="77" t="s">
        <v>77</v>
      </c>
      <c r="I1208" s="77" t="s">
        <v>1521</v>
      </c>
      <c r="J1208" s="77" t="s">
        <v>79</v>
      </c>
      <c r="K1208" s="77" t="s">
        <v>1522</v>
      </c>
      <c r="L1208" s="77" t="s">
        <v>2117</v>
      </c>
      <c r="M1208" s="77" t="s">
        <v>82</v>
      </c>
      <c r="N1208" s="77" t="s">
        <v>83</v>
      </c>
      <c r="Q1208" s="77" t="s">
        <v>111</v>
      </c>
      <c r="T1208" s="77" t="s">
        <v>1666</v>
      </c>
      <c r="U1208" s="77" t="s">
        <v>85</v>
      </c>
      <c r="V1208" s="80" t="s">
        <v>365</v>
      </c>
      <c r="X1208" s="77" t="s">
        <v>366</v>
      </c>
      <c r="Y1208" s="78" t="s">
        <v>88</v>
      </c>
      <c r="AA1208" s="77" t="s">
        <v>1568</v>
      </c>
      <c r="AB1208" s="77" t="s">
        <v>1521</v>
      </c>
      <c r="AC1208" s="77" t="s">
        <v>90</v>
      </c>
      <c r="AD1208" s="77" t="s">
        <v>91</v>
      </c>
      <c r="AE1208" s="77" t="s">
        <v>1569</v>
      </c>
    </row>
    <row r="1209" spans="1:31" x14ac:dyDescent="0.3">
      <c r="A1209" s="77" t="s">
        <v>2118</v>
      </c>
      <c r="B1209" s="77" t="s">
        <v>2119</v>
      </c>
      <c r="G1209" s="77" t="s">
        <v>1566</v>
      </c>
      <c r="H1209" s="77" t="s">
        <v>77</v>
      </c>
      <c r="I1209" s="77" t="s">
        <v>1521</v>
      </c>
      <c r="J1209" s="77" t="s">
        <v>79</v>
      </c>
      <c r="K1209" s="77" t="s">
        <v>1522</v>
      </c>
      <c r="L1209" s="77" t="s">
        <v>2117</v>
      </c>
      <c r="M1209" s="77" t="s">
        <v>82</v>
      </c>
      <c r="N1209" s="77" t="s">
        <v>83</v>
      </c>
      <c r="Q1209" s="77" t="s">
        <v>111</v>
      </c>
      <c r="T1209" s="77" t="s">
        <v>1666</v>
      </c>
      <c r="U1209" s="77" t="s">
        <v>85</v>
      </c>
      <c r="V1209" s="80" t="s">
        <v>365</v>
      </c>
      <c r="X1209" s="77" t="s">
        <v>366</v>
      </c>
      <c r="Y1209" s="78" t="s">
        <v>88</v>
      </c>
      <c r="AA1209" s="77" t="s">
        <v>1568</v>
      </c>
      <c r="AB1209" s="77" t="s">
        <v>1521</v>
      </c>
      <c r="AC1209" s="77" t="s">
        <v>90</v>
      </c>
      <c r="AD1209" s="77" t="s">
        <v>91</v>
      </c>
      <c r="AE1209" s="77" t="s">
        <v>1569</v>
      </c>
    </row>
    <row r="1210" spans="1:31" x14ac:dyDescent="0.3">
      <c r="A1210" s="77" t="s">
        <v>2120</v>
      </c>
      <c r="B1210" s="77" t="s">
        <v>2121</v>
      </c>
      <c r="G1210" s="77" t="s">
        <v>1566</v>
      </c>
      <c r="H1210" s="77" t="s">
        <v>77</v>
      </c>
      <c r="I1210" s="77" t="s">
        <v>1521</v>
      </c>
      <c r="J1210" s="77" t="s">
        <v>79</v>
      </c>
      <c r="K1210" s="77" t="s">
        <v>1522</v>
      </c>
      <c r="L1210" s="77" t="s">
        <v>2117</v>
      </c>
      <c r="M1210" s="77" t="s">
        <v>82</v>
      </c>
      <c r="N1210" s="77" t="s">
        <v>83</v>
      </c>
      <c r="Q1210" s="77" t="s">
        <v>111</v>
      </c>
      <c r="T1210" s="77" t="s">
        <v>1666</v>
      </c>
      <c r="U1210" s="77" t="s">
        <v>85</v>
      </c>
      <c r="V1210" s="80" t="s">
        <v>365</v>
      </c>
      <c r="X1210" s="77" t="s">
        <v>366</v>
      </c>
      <c r="Y1210" s="78" t="s">
        <v>88</v>
      </c>
      <c r="AA1210" s="77" t="s">
        <v>1568</v>
      </c>
      <c r="AB1210" s="77" t="s">
        <v>1521</v>
      </c>
      <c r="AC1210" s="77" t="s">
        <v>90</v>
      </c>
      <c r="AD1210" s="77" t="s">
        <v>91</v>
      </c>
      <c r="AE1210" s="77" t="s">
        <v>1569</v>
      </c>
    </row>
    <row r="1211" spans="1:31" x14ac:dyDescent="0.3">
      <c r="A1211" s="77" t="s">
        <v>2122</v>
      </c>
      <c r="B1211" s="77" t="s">
        <v>2123</v>
      </c>
      <c r="G1211" s="77" t="s">
        <v>1566</v>
      </c>
      <c r="H1211" s="77" t="s">
        <v>77</v>
      </c>
      <c r="I1211" s="77" t="s">
        <v>1521</v>
      </c>
      <c r="J1211" s="77" t="s">
        <v>79</v>
      </c>
      <c r="K1211" s="77" t="s">
        <v>1522</v>
      </c>
      <c r="L1211" s="77" t="s">
        <v>2117</v>
      </c>
      <c r="M1211" s="77" t="s">
        <v>82</v>
      </c>
      <c r="N1211" s="77" t="s">
        <v>83</v>
      </c>
      <c r="Q1211" s="77" t="s">
        <v>111</v>
      </c>
      <c r="T1211" s="77" t="s">
        <v>1666</v>
      </c>
      <c r="U1211" s="77" t="s">
        <v>85</v>
      </c>
      <c r="V1211" s="80" t="s">
        <v>365</v>
      </c>
      <c r="X1211" s="77" t="s">
        <v>366</v>
      </c>
      <c r="Y1211" s="78" t="s">
        <v>88</v>
      </c>
      <c r="AA1211" s="77" t="s">
        <v>1568</v>
      </c>
      <c r="AB1211" s="77" t="s">
        <v>1521</v>
      </c>
      <c r="AC1211" s="77" t="s">
        <v>90</v>
      </c>
      <c r="AD1211" s="77" t="s">
        <v>91</v>
      </c>
      <c r="AE1211" s="77" t="s">
        <v>1569</v>
      </c>
    </row>
    <row r="1212" spans="1:31" x14ac:dyDescent="0.3">
      <c r="A1212" s="77" t="s">
        <v>2124</v>
      </c>
      <c r="B1212" s="77" t="s">
        <v>2125</v>
      </c>
      <c r="G1212" s="77" t="s">
        <v>1566</v>
      </c>
      <c r="H1212" s="77" t="s">
        <v>77</v>
      </c>
      <c r="I1212" s="77" t="s">
        <v>1521</v>
      </c>
      <c r="J1212" s="77" t="s">
        <v>79</v>
      </c>
      <c r="K1212" s="77" t="s">
        <v>1522</v>
      </c>
      <c r="L1212" s="77" t="s">
        <v>2126</v>
      </c>
      <c r="M1212" s="77" t="s">
        <v>82</v>
      </c>
      <c r="N1212" s="77" t="s">
        <v>83</v>
      </c>
      <c r="Q1212" s="77" t="s">
        <v>111</v>
      </c>
      <c r="T1212" s="77" t="s">
        <v>1666</v>
      </c>
      <c r="U1212" s="77" t="s">
        <v>85</v>
      </c>
      <c r="V1212" s="80" t="s">
        <v>370</v>
      </c>
      <c r="X1212" s="77" t="s">
        <v>371</v>
      </c>
      <c r="Y1212" s="78" t="s">
        <v>88</v>
      </c>
      <c r="AA1212" s="77" t="s">
        <v>1568</v>
      </c>
      <c r="AB1212" s="77" t="s">
        <v>1521</v>
      </c>
      <c r="AC1212" s="77" t="s">
        <v>90</v>
      </c>
      <c r="AD1212" s="77" t="s">
        <v>91</v>
      </c>
      <c r="AE1212" s="77" t="s">
        <v>1569</v>
      </c>
    </row>
    <row r="1213" spans="1:31" x14ac:dyDescent="0.3">
      <c r="A1213" s="77" t="s">
        <v>2127</v>
      </c>
      <c r="B1213" s="77" t="s">
        <v>2128</v>
      </c>
      <c r="G1213" s="77" t="s">
        <v>1566</v>
      </c>
      <c r="H1213" s="77" t="s">
        <v>77</v>
      </c>
      <c r="I1213" s="77" t="s">
        <v>1521</v>
      </c>
      <c r="J1213" s="77" t="s">
        <v>79</v>
      </c>
      <c r="K1213" s="77" t="s">
        <v>1522</v>
      </c>
      <c r="L1213" s="77" t="s">
        <v>2126</v>
      </c>
      <c r="M1213" s="77" t="s">
        <v>82</v>
      </c>
      <c r="N1213" s="77" t="s">
        <v>83</v>
      </c>
      <c r="Q1213" s="77" t="s">
        <v>111</v>
      </c>
      <c r="T1213" s="77" t="s">
        <v>1666</v>
      </c>
      <c r="U1213" s="77" t="s">
        <v>85</v>
      </c>
      <c r="V1213" s="80" t="s">
        <v>370</v>
      </c>
      <c r="X1213" s="77" t="s">
        <v>371</v>
      </c>
      <c r="Y1213" s="78" t="s">
        <v>88</v>
      </c>
      <c r="AA1213" s="77" t="s">
        <v>1568</v>
      </c>
      <c r="AB1213" s="77" t="s">
        <v>1521</v>
      </c>
      <c r="AC1213" s="77" t="s">
        <v>90</v>
      </c>
      <c r="AD1213" s="77" t="s">
        <v>91</v>
      </c>
      <c r="AE1213" s="77" t="s">
        <v>1569</v>
      </c>
    </row>
    <row r="1214" spans="1:31" x14ac:dyDescent="0.3">
      <c r="A1214" s="77" t="s">
        <v>2129</v>
      </c>
      <c r="B1214" s="77" t="s">
        <v>2130</v>
      </c>
      <c r="G1214" s="77" t="s">
        <v>1566</v>
      </c>
      <c r="H1214" s="77" t="s">
        <v>77</v>
      </c>
      <c r="I1214" s="77" t="s">
        <v>1521</v>
      </c>
      <c r="J1214" s="77" t="s">
        <v>79</v>
      </c>
      <c r="K1214" s="77" t="s">
        <v>1522</v>
      </c>
      <c r="L1214" s="77" t="s">
        <v>2126</v>
      </c>
      <c r="M1214" s="77" t="s">
        <v>82</v>
      </c>
      <c r="N1214" s="77" t="s">
        <v>83</v>
      </c>
      <c r="Q1214" s="77" t="s">
        <v>111</v>
      </c>
      <c r="T1214" s="77" t="s">
        <v>1666</v>
      </c>
      <c r="U1214" s="77" t="s">
        <v>85</v>
      </c>
      <c r="V1214" s="80" t="s">
        <v>370</v>
      </c>
      <c r="X1214" s="77" t="s">
        <v>371</v>
      </c>
      <c r="Y1214" s="78" t="s">
        <v>88</v>
      </c>
      <c r="AA1214" s="77" t="s">
        <v>1568</v>
      </c>
      <c r="AB1214" s="77" t="s">
        <v>1521</v>
      </c>
      <c r="AC1214" s="77" t="s">
        <v>90</v>
      </c>
      <c r="AD1214" s="77" t="s">
        <v>91</v>
      </c>
      <c r="AE1214" s="77" t="s">
        <v>1569</v>
      </c>
    </row>
    <row r="1215" spans="1:31" x14ac:dyDescent="0.3">
      <c r="A1215" s="77" t="s">
        <v>2131</v>
      </c>
      <c r="B1215" s="77" t="s">
        <v>2132</v>
      </c>
      <c r="G1215" s="77" t="s">
        <v>1566</v>
      </c>
      <c r="H1215" s="77" t="s">
        <v>77</v>
      </c>
      <c r="I1215" s="77" t="s">
        <v>1521</v>
      </c>
      <c r="J1215" s="77" t="s">
        <v>79</v>
      </c>
      <c r="K1215" s="77" t="s">
        <v>1522</v>
      </c>
      <c r="L1215" s="77" t="s">
        <v>2126</v>
      </c>
      <c r="M1215" s="77" t="s">
        <v>82</v>
      </c>
      <c r="N1215" s="77" t="s">
        <v>83</v>
      </c>
      <c r="Q1215" s="77" t="s">
        <v>111</v>
      </c>
      <c r="T1215" s="77" t="s">
        <v>1666</v>
      </c>
      <c r="U1215" s="77" t="s">
        <v>85</v>
      </c>
      <c r="V1215" s="80" t="s">
        <v>370</v>
      </c>
      <c r="X1215" s="77" t="s">
        <v>371</v>
      </c>
      <c r="Y1215" s="78" t="s">
        <v>88</v>
      </c>
      <c r="AA1215" s="77" t="s">
        <v>1568</v>
      </c>
      <c r="AB1215" s="77" t="s">
        <v>1521</v>
      </c>
      <c r="AC1215" s="77" t="s">
        <v>90</v>
      </c>
      <c r="AD1215" s="77" t="s">
        <v>91</v>
      </c>
      <c r="AE1215" s="77" t="s">
        <v>1569</v>
      </c>
    </row>
    <row r="1216" spans="1:31" x14ac:dyDescent="0.3">
      <c r="A1216" s="77" t="s">
        <v>2133</v>
      </c>
      <c r="B1216" s="77" t="s">
        <v>2134</v>
      </c>
      <c r="G1216" s="77" t="s">
        <v>1566</v>
      </c>
      <c r="H1216" s="77" t="s">
        <v>77</v>
      </c>
      <c r="I1216" s="77" t="s">
        <v>1521</v>
      </c>
      <c r="J1216" s="77" t="s">
        <v>79</v>
      </c>
      <c r="K1216" s="77" t="s">
        <v>1522</v>
      </c>
      <c r="L1216" s="77" t="s">
        <v>2135</v>
      </c>
      <c r="M1216" s="77" t="s">
        <v>82</v>
      </c>
      <c r="N1216" s="77" t="s">
        <v>83</v>
      </c>
      <c r="Q1216" s="77" t="s">
        <v>111</v>
      </c>
      <c r="T1216" s="77" t="s">
        <v>1666</v>
      </c>
      <c r="U1216" s="77" t="s">
        <v>85</v>
      </c>
      <c r="V1216" s="80" t="s">
        <v>375</v>
      </c>
      <c r="X1216" s="77" t="s">
        <v>376</v>
      </c>
      <c r="Y1216" s="78" t="s">
        <v>101</v>
      </c>
      <c r="AA1216" s="77" t="s">
        <v>1568</v>
      </c>
      <c r="AB1216" s="77" t="s">
        <v>1521</v>
      </c>
      <c r="AC1216" s="77" t="s">
        <v>90</v>
      </c>
      <c r="AD1216" s="77" t="s">
        <v>102</v>
      </c>
      <c r="AE1216" s="77" t="s">
        <v>1569</v>
      </c>
    </row>
    <row r="1217" spans="1:31" x14ac:dyDescent="0.3">
      <c r="A1217" s="77" t="s">
        <v>2136</v>
      </c>
      <c r="B1217" s="77" t="s">
        <v>2137</v>
      </c>
      <c r="G1217" s="77" t="s">
        <v>1566</v>
      </c>
      <c r="H1217" s="77" t="s">
        <v>77</v>
      </c>
      <c r="I1217" s="77" t="s">
        <v>1521</v>
      </c>
      <c r="J1217" s="77" t="s">
        <v>79</v>
      </c>
      <c r="K1217" s="77" t="s">
        <v>1522</v>
      </c>
      <c r="L1217" s="77" t="s">
        <v>2135</v>
      </c>
      <c r="M1217" s="77" t="s">
        <v>82</v>
      </c>
      <c r="N1217" s="77" t="s">
        <v>83</v>
      </c>
      <c r="Q1217" s="77" t="s">
        <v>111</v>
      </c>
      <c r="T1217" s="77" t="s">
        <v>1666</v>
      </c>
      <c r="U1217" s="77" t="s">
        <v>85</v>
      </c>
      <c r="V1217" s="80" t="s">
        <v>375</v>
      </c>
      <c r="X1217" s="77" t="s">
        <v>376</v>
      </c>
      <c r="Y1217" s="78" t="s">
        <v>101</v>
      </c>
      <c r="AA1217" s="77" t="s">
        <v>1568</v>
      </c>
      <c r="AB1217" s="77" t="s">
        <v>1521</v>
      </c>
      <c r="AC1217" s="77" t="s">
        <v>90</v>
      </c>
      <c r="AD1217" s="77" t="s">
        <v>102</v>
      </c>
      <c r="AE1217" s="77" t="s">
        <v>1569</v>
      </c>
    </row>
    <row r="1218" spans="1:31" x14ac:dyDescent="0.3">
      <c r="A1218" s="77" t="s">
        <v>2138</v>
      </c>
      <c r="B1218" s="77" t="s">
        <v>2139</v>
      </c>
      <c r="G1218" s="77" t="s">
        <v>1566</v>
      </c>
      <c r="H1218" s="77" t="s">
        <v>77</v>
      </c>
      <c r="I1218" s="77" t="s">
        <v>1521</v>
      </c>
      <c r="J1218" s="77" t="s">
        <v>79</v>
      </c>
      <c r="K1218" s="77" t="s">
        <v>1522</v>
      </c>
      <c r="L1218" s="77" t="s">
        <v>2135</v>
      </c>
      <c r="M1218" s="77" t="s">
        <v>82</v>
      </c>
      <c r="N1218" s="77" t="s">
        <v>83</v>
      </c>
      <c r="Q1218" s="77" t="s">
        <v>111</v>
      </c>
      <c r="T1218" s="77" t="s">
        <v>1666</v>
      </c>
      <c r="U1218" s="77" t="s">
        <v>85</v>
      </c>
      <c r="V1218" s="80" t="s">
        <v>375</v>
      </c>
      <c r="X1218" s="77" t="s">
        <v>376</v>
      </c>
      <c r="Y1218" s="78" t="s">
        <v>101</v>
      </c>
      <c r="AA1218" s="77" t="s">
        <v>1568</v>
      </c>
      <c r="AB1218" s="77" t="s">
        <v>1521</v>
      </c>
      <c r="AC1218" s="77" t="s">
        <v>90</v>
      </c>
      <c r="AD1218" s="77" t="s">
        <v>102</v>
      </c>
      <c r="AE1218" s="77" t="s">
        <v>1569</v>
      </c>
    </row>
    <row r="1219" spans="1:31" x14ac:dyDescent="0.3">
      <c r="A1219" s="77" t="s">
        <v>2140</v>
      </c>
      <c r="B1219" s="77" t="s">
        <v>2141</v>
      </c>
      <c r="G1219" s="77" t="s">
        <v>1566</v>
      </c>
      <c r="H1219" s="77" t="s">
        <v>77</v>
      </c>
      <c r="I1219" s="77" t="s">
        <v>1521</v>
      </c>
      <c r="J1219" s="77" t="s">
        <v>79</v>
      </c>
      <c r="K1219" s="77" t="s">
        <v>1522</v>
      </c>
      <c r="L1219" s="77" t="s">
        <v>2135</v>
      </c>
      <c r="M1219" s="77" t="s">
        <v>82</v>
      </c>
      <c r="N1219" s="77" t="s">
        <v>83</v>
      </c>
      <c r="Q1219" s="77" t="s">
        <v>111</v>
      </c>
      <c r="T1219" s="77" t="s">
        <v>1666</v>
      </c>
      <c r="U1219" s="77" t="s">
        <v>85</v>
      </c>
      <c r="V1219" s="80" t="s">
        <v>375</v>
      </c>
      <c r="X1219" s="77" t="s">
        <v>376</v>
      </c>
      <c r="Y1219" s="78" t="s">
        <v>101</v>
      </c>
      <c r="AA1219" s="77" t="s">
        <v>1568</v>
      </c>
      <c r="AB1219" s="77" t="s">
        <v>1521</v>
      </c>
      <c r="AC1219" s="77" t="s">
        <v>90</v>
      </c>
      <c r="AD1219" s="77" t="s">
        <v>102</v>
      </c>
      <c r="AE1219" s="77" t="s">
        <v>1569</v>
      </c>
    </row>
    <row r="1220" spans="1:31" x14ac:dyDescent="0.3">
      <c r="A1220" s="77" t="s">
        <v>2142</v>
      </c>
      <c r="B1220" s="77" t="s">
        <v>2143</v>
      </c>
      <c r="G1220" s="77" t="s">
        <v>1566</v>
      </c>
      <c r="H1220" s="77" t="s">
        <v>77</v>
      </c>
      <c r="I1220" s="77" t="s">
        <v>1521</v>
      </c>
      <c r="J1220" s="77" t="s">
        <v>79</v>
      </c>
      <c r="K1220" s="77" t="s">
        <v>1522</v>
      </c>
      <c r="L1220" s="77" t="s">
        <v>2144</v>
      </c>
      <c r="M1220" s="77" t="s">
        <v>82</v>
      </c>
      <c r="N1220" s="77" t="s">
        <v>83</v>
      </c>
      <c r="Q1220" s="77" t="s">
        <v>111</v>
      </c>
      <c r="T1220" s="77" t="s">
        <v>1666</v>
      </c>
      <c r="U1220" s="77" t="s">
        <v>85</v>
      </c>
      <c r="V1220" s="80" t="s">
        <v>380</v>
      </c>
      <c r="X1220" s="77" t="s">
        <v>381</v>
      </c>
      <c r="Y1220" s="78" t="s">
        <v>101</v>
      </c>
      <c r="AA1220" s="77" t="s">
        <v>1568</v>
      </c>
      <c r="AB1220" s="77" t="s">
        <v>1521</v>
      </c>
      <c r="AC1220" s="77" t="s">
        <v>90</v>
      </c>
      <c r="AD1220" s="77" t="s">
        <v>102</v>
      </c>
      <c r="AE1220" s="77" t="s">
        <v>1569</v>
      </c>
    </row>
    <row r="1221" spans="1:31" x14ac:dyDescent="0.3">
      <c r="A1221" s="77" t="s">
        <v>2145</v>
      </c>
      <c r="B1221" s="77" t="s">
        <v>2146</v>
      </c>
      <c r="G1221" s="77" t="s">
        <v>1566</v>
      </c>
      <c r="H1221" s="77" t="s">
        <v>77</v>
      </c>
      <c r="I1221" s="77" t="s">
        <v>1521</v>
      </c>
      <c r="J1221" s="77" t="s">
        <v>79</v>
      </c>
      <c r="K1221" s="77" t="s">
        <v>1522</v>
      </c>
      <c r="L1221" s="77" t="s">
        <v>2144</v>
      </c>
      <c r="M1221" s="77" t="s">
        <v>82</v>
      </c>
      <c r="N1221" s="77" t="s">
        <v>83</v>
      </c>
      <c r="Q1221" s="77" t="s">
        <v>111</v>
      </c>
      <c r="T1221" s="77" t="s">
        <v>1666</v>
      </c>
      <c r="U1221" s="77" t="s">
        <v>85</v>
      </c>
      <c r="V1221" s="80" t="s">
        <v>380</v>
      </c>
      <c r="X1221" s="77" t="s">
        <v>381</v>
      </c>
      <c r="Y1221" s="78" t="s">
        <v>101</v>
      </c>
      <c r="AA1221" s="77" t="s">
        <v>1568</v>
      </c>
      <c r="AB1221" s="77" t="s">
        <v>1521</v>
      </c>
      <c r="AC1221" s="77" t="s">
        <v>90</v>
      </c>
      <c r="AD1221" s="77" t="s">
        <v>102</v>
      </c>
      <c r="AE1221" s="77" t="s">
        <v>1569</v>
      </c>
    </row>
    <row r="1222" spans="1:31" x14ac:dyDescent="0.3">
      <c r="A1222" s="77" t="s">
        <v>2147</v>
      </c>
      <c r="B1222" s="77" t="s">
        <v>2148</v>
      </c>
      <c r="G1222" s="77" t="s">
        <v>1566</v>
      </c>
      <c r="H1222" s="77" t="s">
        <v>77</v>
      </c>
      <c r="I1222" s="77" t="s">
        <v>1521</v>
      </c>
      <c r="J1222" s="77" t="s">
        <v>79</v>
      </c>
      <c r="K1222" s="77" t="s">
        <v>1522</v>
      </c>
      <c r="L1222" s="77" t="s">
        <v>2144</v>
      </c>
      <c r="M1222" s="77" t="s">
        <v>82</v>
      </c>
      <c r="N1222" s="77" t="s">
        <v>83</v>
      </c>
      <c r="Q1222" s="77" t="s">
        <v>111</v>
      </c>
      <c r="T1222" s="77" t="s">
        <v>1666</v>
      </c>
      <c r="U1222" s="77" t="s">
        <v>85</v>
      </c>
      <c r="V1222" s="80" t="s">
        <v>380</v>
      </c>
      <c r="X1222" s="77" t="s">
        <v>381</v>
      </c>
      <c r="Y1222" s="78" t="s">
        <v>101</v>
      </c>
      <c r="AA1222" s="77" t="s">
        <v>1568</v>
      </c>
      <c r="AB1222" s="77" t="s">
        <v>1521</v>
      </c>
      <c r="AC1222" s="77" t="s">
        <v>90</v>
      </c>
      <c r="AD1222" s="77" t="s">
        <v>102</v>
      </c>
      <c r="AE1222" s="77" t="s">
        <v>1569</v>
      </c>
    </row>
    <row r="1223" spans="1:31" x14ac:dyDescent="0.3">
      <c r="A1223" s="77" t="s">
        <v>2149</v>
      </c>
      <c r="B1223" s="77" t="s">
        <v>2150</v>
      </c>
      <c r="G1223" s="77" t="s">
        <v>1566</v>
      </c>
      <c r="H1223" s="77" t="s">
        <v>77</v>
      </c>
      <c r="I1223" s="77" t="s">
        <v>1521</v>
      </c>
      <c r="J1223" s="77" t="s">
        <v>79</v>
      </c>
      <c r="K1223" s="77" t="s">
        <v>1522</v>
      </c>
      <c r="L1223" s="77" t="s">
        <v>2144</v>
      </c>
      <c r="M1223" s="77" t="s">
        <v>82</v>
      </c>
      <c r="N1223" s="77" t="s">
        <v>83</v>
      </c>
      <c r="Q1223" s="77" t="s">
        <v>111</v>
      </c>
      <c r="T1223" s="77" t="s">
        <v>1666</v>
      </c>
      <c r="U1223" s="77" t="s">
        <v>85</v>
      </c>
      <c r="V1223" s="80" t="s">
        <v>380</v>
      </c>
      <c r="X1223" s="77" t="s">
        <v>381</v>
      </c>
      <c r="Y1223" s="78" t="s">
        <v>101</v>
      </c>
      <c r="AA1223" s="77" t="s">
        <v>1568</v>
      </c>
      <c r="AB1223" s="77" t="s">
        <v>1521</v>
      </c>
      <c r="AC1223" s="77" t="s">
        <v>90</v>
      </c>
      <c r="AD1223" s="77" t="s">
        <v>102</v>
      </c>
      <c r="AE1223" s="77" t="s">
        <v>1569</v>
      </c>
    </row>
    <row r="1224" spans="1:31" x14ac:dyDescent="0.3">
      <c r="A1224" s="77" t="s">
        <v>2151</v>
      </c>
      <c r="B1224" s="77" t="s">
        <v>2152</v>
      </c>
      <c r="G1224" s="77" t="s">
        <v>1566</v>
      </c>
      <c r="H1224" s="77" t="s">
        <v>77</v>
      </c>
      <c r="I1224" s="77" t="s">
        <v>1521</v>
      </c>
      <c r="J1224" s="77" t="s">
        <v>79</v>
      </c>
      <c r="K1224" s="77" t="s">
        <v>1522</v>
      </c>
      <c r="L1224" s="77" t="s">
        <v>2153</v>
      </c>
      <c r="M1224" s="77" t="s">
        <v>82</v>
      </c>
      <c r="N1224" s="77" t="s">
        <v>83</v>
      </c>
      <c r="Q1224" s="77" t="s">
        <v>111</v>
      </c>
      <c r="T1224" s="77" t="s">
        <v>1666</v>
      </c>
      <c r="U1224" s="77" t="s">
        <v>85</v>
      </c>
      <c r="V1224" s="80" t="s">
        <v>189</v>
      </c>
      <c r="X1224" s="77" t="s">
        <v>190</v>
      </c>
      <c r="Y1224" s="78" t="s">
        <v>88</v>
      </c>
      <c r="AA1224" s="77" t="s">
        <v>1568</v>
      </c>
      <c r="AB1224" s="77" t="s">
        <v>1521</v>
      </c>
      <c r="AC1224" s="77" t="s">
        <v>90</v>
      </c>
      <c r="AD1224" s="77" t="s">
        <v>91</v>
      </c>
      <c r="AE1224" s="77" t="s">
        <v>1569</v>
      </c>
    </row>
    <row r="1225" spans="1:31" x14ac:dyDescent="0.3">
      <c r="A1225" s="77" t="s">
        <v>2154</v>
      </c>
      <c r="B1225" s="77" t="s">
        <v>2155</v>
      </c>
      <c r="G1225" s="77" t="s">
        <v>1566</v>
      </c>
      <c r="H1225" s="77" t="s">
        <v>77</v>
      </c>
      <c r="I1225" s="77" t="s">
        <v>1521</v>
      </c>
      <c r="J1225" s="77" t="s">
        <v>79</v>
      </c>
      <c r="K1225" s="77" t="s">
        <v>1522</v>
      </c>
      <c r="L1225" s="77" t="s">
        <v>2153</v>
      </c>
      <c r="M1225" s="77" t="s">
        <v>82</v>
      </c>
      <c r="N1225" s="77" t="s">
        <v>83</v>
      </c>
      <c r="Q1225" s="77" t="s">
        <v>111</v>
      </c>
      <c r="T1225" s="77" t="s">
        <v>1666</v>
      </c>
      <c r="U1225" s="77" t="s">
        <v>85</v>
      </c>
      <c r="V1225" s="80" t="s">
        <v>189</v>
      </c>
      <c r="X1225" s="77" t="s">
        <v>190</v>
      </c>
      <c r="Y1225" s="78" t="s">
        <v>88</v>
      </c>
      <c r="AA1225" s="77" t="s">
        <v>1568</v>
      </c>
      <c r="AB1225" s="77" t="s">
        <v>1521</v>
      </c>
      <c r="AC1225" s="77" t="s">
        <v>90</v>
      </c>
      <c r="AD1225" s="77" t="s">
        <v>91</v>
      </c>
      <c r="AE1225" s="77" t="s">
        <v>1569</v>
      </c>
    </row>
    <row r="1226" spans="1:31" x14ac:dyDescent="0.3">
      <c r="A1226" s="77" t="s">
        <v>2156</v>
      </c>
      <c r="B1226" s="77" t="s">
        <v>2157</v>
      </c>
      <c r="G1226" s="77" t="s">
        <v>1566</v>
      </c>
      <c r="H1226" s="77" t="s">
        <v>77</v>
      </c>
      <c r="I1226" s="77" t="s">
        <v>1521</v>
      </c>
      <c r="J1226" s="77" t="s">
        <v>79</v>
      </c>
      <c r="K1226" s="77" t="s">
        <v>1522</v>
      </c>
      <c r="L1226" s="77" t="s">
        <v>2153</v>
      </c>
      <c r="M1226" s="77" t="s">
        <v>82</v>
      </c>
      <c r="N1226" s="77" t="s">
        <v>83</v>
      </c>
      <c r="Q1226" s="77" t="s">
        <v>111</v>
      </c>
      <c r="T1226" s="77" t="s">
        <v>1666</v>
      </c>
      <c r="U1226" s="77" t="s">
        <v>85</v>
      </c>
      <c r="V1226" s="80" t="s">
        <v>189</v>
      </c>
      <c r="X1226" s="77" t="s">
        <v>190</v>
      </c>
      <c r="Y1226" s="78" t="s">
        <v>88</v>
      </c>
      <c r="AA1226" s="77" t="s">
        <v>1568</v>
      </c>
      <c r="AB1226" s="77" t="s">
        <v>1521</v>
      </c>
      <c r="AC1226" s="77" t="s">
        <v>90</v>
      </c>
      <c r="AD1226" s="77" t="s">
        <v>91</v>
      </c>
      <c r="AE1226" s="77" t="s">
        <v>1569</v>
      </c>
    </row>
    <row r="1227" spans="1:31" x14ac:dyDescent="0.3">
      <c r="A1227" s="77" t="s">
        <v>2158</v>
      </c>
      <c r="B1227" s="77" t="s">
        <v>2159</v>
      </c>
      <c r="G1227" s="77" t="s">
        <v>1566</v>
      </c>
      <c r="H1227" s="77" t="s">
        <v>77</v>
      </c>
      <c r="I1227" s="77" t="s">
        <v>1521</v>
      </c>
      <c r="J1227" s="77" t="s">
        <v>79</v>
      </c>
      <c r="K1227" s="77" t="s">
        <v>1522</v>
      </c>
      <c r="L1227" s="77" t="s">
        <v>2153</v>
      </c>
      <c r="M1227" s="77" t="s">
        <v>82</v>
      </c>
      <c r="N1227" s="77" t="s">
        <v>83</v>
      </c>
      <c r="Q1227" s="77" t="s">
        <v>111</v>
      </c>
      <c r="T1227" s="77" t="s">
        <v>1666</v>
      </c>
      <c r="U1227" s="77" t="s">
        <v>85</v>
      </c>
      <c r="V1227" s="80" t="s">
        <v>189</v>
      </c>
      <c r="X1227" s="77" t="s">
        <v>190</v>
      </c>
      <c r="Y1227" s="78" t="s">
        <v>88</v>
      </c>
      <c r="AA1227" s="77" t="s">
        <v>1568</v>
      </c>
      <c r="AB1227" s="77" t="s">
        <v>1521</v>
      </c>
      <c r="AC1227" s="77" t="s">
        <v>90</v>
      </c>
      <c r="AD1227" s="77" t="s">
        <v>91</v>
      </c>
      <c r="AE1227" s="77" t="s">
        <v>1569</v>
      </c>
    </row>
    <row r="1228" spans="1:31" x14ac:dyDescent="0.3">
      <c r="A1228" s="77" t="s">
        <v>2160</v>
      </c>
      <c r="B1228" s="77" t="s">
        <v>2161</v>
      </c>
      <c r="G1228" s="77" t="s">
        <v>1566</v>
      </c>
      <c r="H1228" s="77" t="s">
        <v>77</v>
      </c>
      <c r="I1228" s="77" t="s">
        <v>1521</v>
      </c>
      <c r="J1228" s="77" t="s">
        <v>79</v>
      </c>
      <c r="K1228" s="77" t="s">
        <v>1522</v>
      </c>
      <c r="L1228" s="77" t="s">
        <v>2153</v>
      </c>
      <c r="M1228" s="77" t="s">
        <v>82</v>
      </c>
      <c r="N1228" s="77" t="s">
        <v>83</v>
      </c>
      <c r="Q1228" s="77" t="s">
        <v>111</v>
      </c>
      <c r="T1228" s="77" t="s">
        <v>1666</v>
      </c>
      <c r="U1228" s="77" t="s">
        <v>85</v>
      </c>
      <c r="V1228" s="80" t="s">
        <v>189</v>
      </c>
      <c r="X1228" s="77" t="s">
        <v>190</v>
      </c>
      <c r="Y1228" s="78" t="s">
        <v>88</v>
      </c>
      <c r="AA1228" s="77" t="s">
        <v>1568</v>
      </c>
      <c r="AB1228" s="77" t="s">
        <v>1521</v>
      </c>
      <c r="AC1228" s="77" t="s">
        <v>90</v>
      </c>
      <c r="AD1228" s="77" t="s">
        <v>91</v>
      </c>
      <c r="AE1228" s="77" t="s">
        <v>1569</v>
      </c>
    </row>
    <row r="1229" spans="1:31" x14ac:dyDescent="0.3">
      <c r="A1229" s="77" t="s">
        <v>2162</v>
      </c>
      <c r="B1229" s="77" t="s">
        <v>2163</v>
      </c>
      <c r="G1229" s="77" t="s">
        <v>1566</v>
      </c>
      <c r="H1229" s="77" t="s">
        <v>77</v>
      </c>
      <c r="I1229" s="77" t="s">
        <v>1521</v>
      </c>
      <c r="J1229" s="77" t="s">
        <v>79</v>
      </c>
      <c r="K1229" s="77" t="s">
        <v>1522</v>
      </c>
      <c r="L1229" s="77" t="s">
        <v>2153</v>
      </c>
      <c r="M1229" s="77" t="s">
        <v>82</v>
      </c>
      <c r="N1229" s="77" t="s">
        <v>83</v>
      </c>
      <c r="Q1229" s="77" t="s">
        <v>111</v>
      </c>
      <c r="T1229" s="77" t="s">
        <v>1666</v>
      </c>
      <c r="U1229" s="77" t="s">
        <v>85</v>
      </c>
      <c r="V1229" s="80" t="s">
        <v>189</v>
      </c>
      <c r="X1229" s="77" t="s">
        <v>190</v>
      </c>
      <c r="Y1229" s="78" t="s">
        <v>88</v>
      </c>
      <c r="AA1229" s="77" t="s">
        <v>1568</v>
      </c>
      <c r="AB1229" s="77" t="s">
        <v>1521</v>
      </c>
      <c r="AC1229" s="77" t="s">
        <v>90</v>
      </c>
      <c r="AD1229" s="77" t="s">
        <v>91</v>
      </c>
      <c r="AE1229" s="77" t="s">
        <v>1569</v>
      </c>
    </row>
    <row r="1230" spans="1:31" x14ac:dyDescent="0.3">
      <c r="A1230" s="77" t="s">
        <v>2164</v>
      </c>
      <c r="B1230" s="77" t="s">
        <v>2165</v>
      </c>
      <c r="G1230" s="77" t="s">
        <v>1566</v>
      </c>
      <c r="H1230" s="77" t="s">
        <v>77</v>
      </c>
      <c r="I1230" s="77" t="s">
        <v>1521</v>
      </c>
      <c r="J1230" s="77" t="s">
        <v>79</v>
      </c>
      <c r="K1230" s="77" t="s">
        <v>1522</v>
      </c>
      <c r="L1230" s="77" t="s">
        <v>2166</v>
      </c>
      <c r="M1230" s="77" t="s">
        <v>82</v>
      </c>
      <c r="N1230" s="77" t="s">
        <v>83</v>
      </c>
      <c r="Q1230" s="77" t="s">
        <v>111</v>
      </c>
      <c r="T1230" s="77" t="s">
        <v>1666</v>
      </c>
      <c r="U1230" s="77" t="s">
        <v>85</v>
      </c>
      <c r="V1230" s="80" t="s">
        <v>196</v>
      </c>
      <c r="X1230" s="77" t="s">
        <v>197</v>
      </c>
      <c r="Y1230" s="78" t="s">
        <v>88</v>
      </c>
      <c r="AA1230" s="77" t="s">
        <v>1568</v>
      </c>
      <c r="AB1230" s="77" t="s">
        <v>1521</v>
      </c>
      <c r="AC1230" s="77" t="s">
        <v>90</v>
      </c>
      <c r="AD1230" s="77" t="s">
        <v>91</v>
      </c>
      <c r="AE1230" s="77" t="s">
        <v>1569</v>
      </c>
    </row>
    <row r="1231" spans="1:31" x14ac:dyDescent="0.3">
      <c r="A1231" s="77" t="s">
        <v>2167</v>
      </c>
      <c r="B1231" s="77" t="s">
        <v>2168</v>
      </c>
      <c r="G1231" s="77" t="s">
        <v>1566</v>
      </c>
      <c r="H1231" s="77" t="s">
        <v>77</v>
      </c>
      <c r="I1231" s="77" t="s">
        <v>1521</v>
      </c>
      <c r="J1231" s="77" t="s">
        <v>79</v>
      </c>
      <c r="K1231" s="77" t="s">
        <v>1522</v>
      </c>
      <c r="L1231" s="77" t="s">
        <v>2166</v>
      </c>
      <c r="M1231" s="77" t="s">
        <v>82</v>
      </c>
      <c r="N1231" s="77" t="s">
        <v>83</v>
      </c>
      <c r="Q1231" s="77" t="s">
        <v>111</v>
      </c>
      <c r="T1231" s="77" t="s">
        <v>1666</v>
      </c>
      <c r="U1231" s="77" t="s">
        <v>85</v>
      </c>
      <c r="V1231" s="80" t="s">
        <v>196</v>
      </c>
      <c r="X1231" s="77" t="s">
        <v>197</v>
      </c>
      <c r="Y1231" s="78" t="s">
        <v>88</v>
      </c>
      <c r="AA1231" s="77" t="s">
        <v>1568</v>
      </c>
      <c r="AB1231" s="77" t="s">
        <v>1521</v>
      </c>
      <c r="AC1231" s="77" t="s">
        <v>90</v>
      </c>
      <c r="AD1231" s="77" t="s">
        <v>91</v>
      </c>
      <c r="AE1231" s="77" t="s">
        <v>1569</v>
      </c>
    </row>
    <row r="1232" spans="1:31" x14ac:dyDescent="0.3">
      <c r="A1232" s="77" t="s">
        <v>2169</v>
      </c>
      <c r="B1232" s="77" t="s">
        <v>2170</v>
      </c>
      <c r="G1232" s="77" t="s">
        <v>1566</v>
      </c>
      <c r="H1232" s="77" t="s">
        <v>77</v>
      </c>
      <c r="I1232" s="77" t="s">
        <v>1521</v>
      </c>
      <c r="J1232" s="77" t="s">
        <v>79</v>
      </c>
      <c r="K1232" s="77" t="s">
        <v>1522</v>
      </c>
      <c r="L1232" s="77" t="s">
        <v>2166</v>
      </c>
      <c r="M1232" s="77" t="s">
        <v>82</v>
      </c>
      <c r="N1232" s="77" t="s">
        <v>83</v>
      </c>
      <c r="Q1232" s="77" t="s">
        <v>111</v>
      </c>
      <c r="T1232" s="77" t="s">
        <v>1666</v>
      </c>
      <c r="U1232" s="77" t="s">
        <v>85</v>
      </c>
      <c r="V1232" s="80" t="s">
        <v>196</v>
      </c>
      <c r="X1232" s="77" t="s">
        <v>197</v>
      </c>
      <c r="Y1232" s="78" t="s">
        <v>88</v>
      </c>
      <c r="AA1232" s="77" t="s">
        <v>1568</v>
      </c>
      <c r="AB1232" s="77" t="s">
        <v>1521</v>
      </c>
      <c r="AC1232" s="77" t="s">
        <v>90</v>
      </c>
      <c r="AD1232" s="77" t="s">
        <v>91</v>
      </c>
      <c r="AE1232" s="77" t="s">
        <v>1569</v>
      </c>
    </row>
    <row r="1233" spans="1:31" x14ac:dyDescent="0.3">
      <c r="A1233" s="77" t="s">
        <v>2171</v>
      </c>
      <c r="B1233" s="77" t="s">
        <v>2172</v>
      </c>
      <c r="G1233" s="77" t="s">
        <v>1566</v>
      </c>
      <c r="H1233" s="77" t="s">
        <v>77</v>
      </c>
      <c r="I1233" s="77" t="s">
        <v>1521</v>
      </c>
      <c r="J1233" s="77" t="s">
        <v>79</v>
      </c>
      <c r="K1233" s="77" t="s">
        <v>1522</v>
      </c>
      <c r="L1233" s="77" t="s">
        <v>2166</v>
      </c>
      <c r="M1233" s="77" t="s">
        <v>82</v>
      </c>
      <c r="N1233" s="77" t="s">
        <v>83</v>
      </c>
      <c r="Q1233" s="77" t="s">
        <v>111</v>
      </c>
      <c r="T1233" s="77" t="s">
        <v>1666</v>
      </c>
      <c r="U1233" s="77" t="s">
        <v>85</v>
      </c>
      <c r="V1233" s="80" t="s">
        <v>196</v>
      </c>
      <c r="X1233" s="77" t="s">
        <v>197</v>
      </c>
      <c r="Y1233" s="78" t="s">
        <v>88</v>
      </c>
      <c r="AA1233" s="77" t="s">
        <v>1568</v>
      </c>
      <c r="AB1233" s="77" t="s">
        <v>1521</v>
      </c>
      <c r="AC1233" s="77" t="s">
        <v>90</v>
      </c>
      <c r="AD1233" s="77" t="s">
        <v>91</v>
      </c>
      <c r="AE1233" s="77" t="s">
        <v>1569</v>
      </c>
    </row>
    <row r="1234" spans="1:31" x14ac:dyDescent="0.3">
      <c r="A1234" s="77" t="s">
        <v>2173</v>
      </c>
      <c r="B1234" s="77" t="s">
        <v>2174</v>
      </c>
      <c r="G1234" s="77" t="s">
        <v>1566</v>
      </c>
      <c r="H1234" s="77" t="s">
        <v>77</v>
      </c>
      <c r="I1234" s="77" t="s">
        <v>1521</v>
      </c>
      <c r="J1234" s="77" t="s">
        <v>79</v>
      </c>
      <c r="K1234" s="77" t="s">
        <v>1522</v>
      </c>
      <c r="L1234" s="77" t="s">
        <v>2166</v>
      </c>
      <c r="M1234" s="77" t="s">
        <v>82</v>
      </c>
      <c r="N1234" s="77" t="s">
        <v>83</v>
      </c>
      <c r="Q1234" s="77" t="s">
        <v>111</v>
      </c>
      <c r="T1234" s="77" t="s">
        <v>1666</v>
      </c>
      <c r="U1234" s="77" t="s">
        <v>85</v>
      </c>
      <c r="V1234" s="80" t="s">
        <v>196</v>
      </c>
      <c r="X1234" s="77" t="s">
        <v>197</v>
      </c>
      <c r="Y1234" s="78" t="s">
        <v>88</v>
      </c>
      <c r="AA1234" s="77" t="s">
        <v>1568</v>
      </c>
      <c r="AB1234" s="77" t="s">
        <v>1521</v>
      </c>
      <c r="AC1234" s="77" t="s">
        <v>90</v>
      </c>
      <c r="AD1234" s="77" t="s">
        <v>91</v>
      </c>
      <c r="AE1234" s="77" t="s">
        <v>1569</v>
      </c>
    </row>
    <row r="1235" spans="1:31" x14ac:dyDescent="0.3">
      <c r="A1235" s="77" t="s">
        <v>2175</v>
      </c>
      <c r="B1235" s="77" t="s">
        <v>2176</v>
      </c>
      <c r="G1235" s="77" t="s">
        <v>1566</v>
      </c>
      <c r="H1235" s="77" t="s">
        <v>77</v>
      </c>
      <c r="I1235" s="77" t="s">
        <v>1521</v>
      </c>
      <c r="J1235" s="77" t="s">
        <v>79</v>
      </c>
      <c r="K1235" s="77" t="s">
        <v>1522</v>
      </c>
      <c r="L1235" s="77" t="s">
        <v>2166</v>
      </c>
      <c r="M1235" s="77" t="s">
        <v>82</v>
      </c>
      <c r="N1235" s="77" t="s">
        <v>83</v>
      </c>
      <c r="Q1235" s="77" t="s">
        <v>111</v>
      </c>
      <c r="T1235" s="77" t="s">
        <v>1666</v>
      </c>
      <c r="U1235" s="77" t="s">
        <v>85</v>
      </c>
      <c r="V1235" s="80" t="s">
        <v>196</v>
      </c>
      <c r="X1235" s="77" t="s">
        <v>197</v>
      </c>
      <c r="Y1235" s="78" t="s">
        <v>88</v>
      </c>
      <c r="AA1235" s="77" t="s">
        <v>1568</v>
      </c>
      <c r="AB1235" s="77" t="s">
        <v>1521</v>
      </c>
      <c r="AC1235" s="77" t="s">
        <v>90</v>
      </c>
      <c r="AD1235" s="77" t="s">
        <v>91</v>
      </c>
      <c r="AE1235" s="77" t="s">
        <v>1569</v>
      </c>
    </row>
    <row r="1236" spans="1:31" x14ac:dyDescent="0.3">
      <c r="A1236" s="77" t="s">
        <v>2177</v>
      </c>
      <c r="B1236" s="77" t="s">
        <v>2178</v>
      </c>
      <c r="G1236" s="77" t="s">
        <v>1566</v>
      </c>
      <c r="H1236" s="77" t="s">
        <v>77</v>
      </c>
      <c r="I1236" s="77" t="s">
        <v>1521</v>
      </c>
      <c r="J1236" s="77" t="s">
        <v>79</v>
      </c>
      <c r="K1236" s="77" t="s">
        <v>1522</v>
      </c>
      <c r="L1236" s="77" t="s">
        <v>2179</v>
      </c>
      <c r="M1236" s="77" t="s">
        <v>82</v>
      </c>
      <c r="N1236" s="77" t="s">
        <v>83</v>
      </c>
      <c r="Q1236" s="77" t="s">
        <v>111</v>
      </c>
      <c r="T1236" s="77" t="s">
        <v>1666</v>
      </c>
      <c r="U1236" s="77" t="s">
        <v>85</v>
      </c>
      <c r="V1236" s="80" t="s">
        <v>201</v>
      </c>
      <c r="X1236" s="77" t="s">
        <v>202</v>
      </c>
      <c r="Y1236" s="78" t="s">
        <v>101</v>
      </c>
      <c r="AA1236" s="77" t="s">
        <v>1568</v>
      </c>
      <c r="AB1236" s="77" t="s">
        <v>1521</v>
      </c>
      <c r="AC1236" s="77" t="s">
        <v>90</v>
      </c>
      <c r="AD1236" s="77" t="s">
        <v>102</v>
      </c>
      <c r="AE1236" s="77" t="s">
        <v>1569</v>
      </c>
    </row>
    <row r="1237" spans="1:31" x14ac:dyDescent="0.3">
      <c r="A1237" s="77" t="s">
        <v>2180</v>
      </c>
      <c r="B1237" s="77" t="s">
        <v>2181</v>
      </c>
      <c r="G1237" s="77" t="s">
        <v>1566</v>
      </c>
      <c r="H1237" s="77" t="s">
        <v>77</v>
      </c>
      <c r="I1237" s="77" t="s">
        <v>1521</v>
      </c>
      <c r="J1237" s="77" t="s">
        <v>79</v>
      </c>
      <c r="K1237" s="77" t="s">
        <v>1522</v>
      </c>
      <c r="L1237" s="77" t="s">
        <v>2179</v>
      </c>
      <c r="M1237" s="77" t="s">
        <v>82</v>
      </c>
      <c r="N1237" s="77" t="s">
        <v>83</v>
      </c>
      <c r="Q1237" s="77" t="s">
        <v>111</v>
      </c>
      <c r="T1237" s="77" t="s">
        <v>1666</v>
      </c>
      <c r="U1237" s="77" t="s">
        <v>85</v>
      </c>
      <c r="V1237" s="80" t="s">
        <v>201</v>
      </c>
      <c r="X1237" s="77" t="s">
        <v>202</v>
      </c>
      <c r="Y1237" s="78" t="s">
        <v>101</v>
      </c>
      <c r="AA1237" s="77" t="s">
        <v>1568</v>
      </c>
      <c r="AB1237" s="77" t="s">
        <v>1521</v>
      </c>
      <c r="AC1237" s="77" t="s">
        <v>90</v>
      </c>
      <c r="AD1237" s="77" t="s">
        <v>102</v>
      </c>
      <c r="AE1237" s="77" t="s">
        <v>1569</v>
      </c>
    </row>
    <row r="1238" spans="1:31" x14ac:dyDescent="0.3">
      <c r="A1238" s="77" t="s">
        <v>2182</v>
      </c>
      <c r="B1238" s="77" t="s">
        <v>2183</v>
      </c>
      <c r="G1238" s="77" t="s">
        <v>1566</v>
      </c>
      <c r="H1238" s="77" t="s">
        <v>77</v>
      </c>
      <c r="I1238" s="77" t="s">
        <v>1521</v>
      </c>
      <c r="J1238" s="77" t="s">
        <v>79</v>
      </c>
      <c r="K1238" s="77" t="s">
        <v>1522</v>
      </c>
      <c r="L1238" s="77" t="s">
        <v>2179</v>
      </c>
      <c r="M1238" s="77" t="s">
        <v>82</v>
      </c>
      <c r="N1238" s="77" t="s">
        <v>83</v>
      </c>
      <c r="Q1238" s="77" t="s">
        <v>111</v>
      </c>
      <c r="T1238" s="77" t="s">
        <v>1666</v>
      </c>
      <c r="U1238" s="77" t="s">
        <v>85</v>
      </c>
      <c r="V1238" s="80" t="s">
        <v>201</v>
      </c>
      <c r="X1238" s="77" t="s">
        <v>202</v>
      </c>
      <c r="Y1238" s="78" t="s">
        <v>101</v>
      </c>
      <c r="AA1238" s="77" t="s">
        <v>1568</v>
      </c>
      <c r="AB1238" s="77" t="s">
        <v>1521</v>
      </c>
      <c r="AC1238" s="77" t="s">
        <v>90</v>
      </c>
      <c r="AD1238" s="77" t="s">
        <v>102</v>
      </c>
      <c r="AE1238" s="77" t="s">
        <v>1569</v>
      </c>
    </row>
    <row r="1239" spans="1:31" x14ac:dyDescent="0.3">
      <c r="A1239" s="77" t="s">
        <v>2184</v>
      </c>
      <c r="B1239" s="77" t="s">
        <v>2185</v>
      </c>
      <c r="G1239" s="77" t="s">
        <v>1566</v>
      </c>
      <c r="H1239" s="77" t="s">
        <v>77</v>
      </c>
      <c r="I1239" s="77" t="s">
        <v>1521</v>
      </c>
      <c r="J1239" s="77" t="s">
        <v>79</v>
      </c>
      <c r="K1239" s="77" t="s">
        <v>1522</v>
      </c>
      <c r="L1239" s="77" t="s">
        <v>2179</v>
      </c>
      <c r="M1239" s="77" t="s">
        <v>82</v>
      </c>
      <c r="N1239" s="77" t="s">
        <v>83</v>
      </c>
      <c r="Q1239" s="77" t="s">
        <v>111</v>
      </c>
      <c r="T1239" s="77" t="s">
        <v>1666</v>
      </c>
      <c r="U1239" s="77" t="s">
        <v>85</v>
      </c>
      <c r="V1239" s="80" t="s">
        <v>201</v>
      </c>
      <c r="X1239" s="77" t="s">
        <v>202</v>
      </c>
      <c r="Y1239" s="78" t="s">
        <v>101</v>
      </c>
      <c r="AA1239" s="77" t="s">
        <v>1568</v>
      </c>
      <c r="AB1239" s="77" t="s">
        <v>1521</v>
      </c>
      <c r="AC1239" s="77" t="s">
        <v>90</v>
      </c>
      <c r="AD1239" s="77" t="s">
        <v>102</v>
      </c>
      <c r="AE1239" s="77" t="s">
        <v>1569</v>
      </c>
    </row>
    <row r="1240" spans="1:31" x14ac:dyDescent="0.3">
      <c r="A1240" s="77" t="s">
        <v>2186</v>
      </c>
      <c r="B1240" s="77" t="s">
        <v>2187</v>
      </c>
      <c r="G1240" s="77" t="s">
        <v>1566</v>
      </c>
      <c r="H1240" s="77" t="s">
        <v>77</v>
      </c>
      <c r="I1240" s="77" t="s">
        <v>1521</v>
      </c>
      <c r="J1240" s="77" t="s">
        <v>79</v>
      </c>
      <c r="K1240" s="77" t="s">
        <v>1522</v>
      </c>
      <c r="L1240" s="77" t="s">
        <v>2179</v>
      </c>
      <c r="M1240" s="77" t="s">
        <v>82</v>
      </c>
      <c r="N1240" s="77" t="s">
        <v>83</v>
      </c>
      <c r="Q1240" s="77" t="s">
        <v>111</v>
      </c>
      <c r="T1240" s="77" t="s">
        <v>1666</v>
      </c>
      <c r="U1240" s="77" t="s">
        <v>85</v>
      </c>
      <c r="V1240" s="80" t="s">
        <v>201</v>
      </c>
      <c r="X1240" s="77" t="s">
        <v>202</v>
      </c>
      <c r="Y1240" s="78" t="s">
        <v>101</v>
      </c>
      <c r="AA1240" s="77" t="s">
        <v>1568</v>
      </c>
      <c r="AB1240" s="77" t="s">
        <v>1521</v>
      </c>
      <c r="AC1240" s="77" t="s">
        <v>90</v>
      </c>
      <c r="AD1240" s="77" t="s">
        <v>102</v>
      </c>
      <c r="AE1240" s="77" t="s">
        <v>1569</v>
      </c>
    </row>
    <row r="1241" spans="1:31" x14ac:dyDescent="0.3">
      <c r="A1241" s="77" t="s">
        <v>2188</v>
      </c>
      <c r="B1241" s="77" t="s">
        <v>2189</v>
      </c>
      <c r="G1241" s="77" t="s">
        <v>1566</v>
      </c>
      <c r="H1241" s="77" t="s">
        <v>77</v>
      </c>
      <c r="I1241" s="77" t="s">
        <v>1521</v>
      </c>
      <c r="J1241" s="77" t="s">
        <v>79</v>
      </c>
      <c r="K1241" s="77" t="s">
        <v>1522</v>
      </c>
      <c r="L1241" s="77" t="s">
        <v>2179</v>
      </c>
      <c r="M1241" s="77" t="s">
        <v>82</v>
      </c>
      <c r="N1241" s="77" t="s">
        <v>83</v>
      </c>
      <c r="Q1241" s="77" t="s">
        <v>111</v>
      </c>
      <c r="T1241" s="77" t="s">
        <v>1666</v>
      </c>
      <c r="U1241" s="77" t="s">
        <v>85</v>
      </c>
      <c r="V1241" s="80" t="s">
        <v>201</v>
      </c>
      <c r="X1241" s="77" t="s">
        <v>202</v>
      </c>
      <c r="Y1241" s="78" t="s">
        <v>101</v>
      </c>
      <c r="AA1241" s="77" t="s">
        <v>1568</v>
      </c>
      <c r="AB1241" s="77" t="s">
        <v>1521</v>
      </c>
      <c r="AC1241" s="77" t="s">
        <v>90</v>
      </c>
      <c r="AD1241" s="77" t="s">
        <v>102</v>
      </c>
      <c r="AE1241" s="77" t="s">
        <v>1569</v>
      </c>
    </row>
    <row r="1242" spans="1:31" x14ac:dyDescent="0.3">
      <c r="A1242" s="77" t="s">
        <v>2190</v>
      </c>
      <c r="B1242" s="77" t="s">
        <v>2191</v>
      </c>
      <c r="G1242" s="77" t="s">
        <v>1566</v>
      </c>
      <c r="H1242" s="77" t="s">
        <v>77</v>
      </c>
      <c r="I1242" s="77" t="s">
        <v>1521</v>
      </c>
      <c r="J1242" s="77" t="s">
        <v>79</v>
      </c>
      <c r="K1242" s="77" t="s">
        <v>1522</v>
      </c>
      <c r="L1242" s="77" t="s">
        <v>2192</v>
      </c>
      <c r="M1242" s="77" t="s">
        <v>82</v>
      </c>
      <c r="N1242" s="77" t="s">
        <v>83</v>
      </c>
      <c r="Q1242" s="77" t="s">
        <v>111</v>
      </c>
      <c r="T1242" s="77" t="s">
        <v>1666</v>
      </c>
      <c r="U1242" s="77" t="s">
        <v>85</v>
      </c>
      <c r="V1242" s="80" t="s">
        <v>206</v>
      </c>
      <c r="X1242" s="77" t="s">
        <v>207</v>
      </c>
      <c r="Y1242" s="78" t="s">
        <v>101</v>
      </c>
      <c r="AA1242" s="77" t="s">
        <v>1568</v>
      </c>
      <c r="AB1242" s="77" t="s">
        <v>1521</v>
      </c>
      <c r="AC1242" s="77" t="s">
        <v>90</v>
      </c>
      <c r="AD1242" s="77" t="s">
        <v>102</v>
      </c>
      <c r="AE1242" s="77" t="s">
        <v>1569</v>
      </c>
    </row>
    <row r="1243" spans="1:31" x14ac:dyDescent="0.3">
      <c r="A1243" s="77" t="s">
        <v>2193</v>
      </c>
      <c r="B1243" s="77" t="s">
        <v>2194</v>
      </c>
      <c r="G1243" s="77" t="s">
        <v>1566</v>
      </c>
      <c r="H1243" s="77" t="s">
        <v>77</v>
      </c>
      <c r="I1243" s="77" t="s">
        <v>1521</v>
      </c>
      <c r="J1243" s="77" t="s">
        <v>79</v>
      </c>
      <c r="K1243" s="77" t="s">
        <v>1522</v>
      </c>
      <c r="L1243" s="77" t="s">
        <v>2192</v>
      </c>
      <c r="M1243" s="77" t="s">
        <v>82</v>
      </c>
      <c r="N1243" s="77" t="s">
        <v>83</v>
      </c>
      <c r="Q1243" s="77" t="s">
        <v>111</v>
      </c>
      <c r="T1243" s="77" t="s">
        <v>1666</v>
      </c>
      <c r="U1243" s="77" t="s">
        <v>85</v>
      </c>
      <c r="V1243" s="80" t="s">
        <v>206</v>
      </c>
      <c r="X1243" s="77" t="s">
        <v>207</v>
      </c>
      <c r="Y1243" s="78" t="s">
        <v>101</v>
      </c>
      <c r="AA1243" s="77" t="s">
        <v>1568</v>
      </c>
      <c r="AB1243" s="77" t="s">
        <v>1521</v>
      </c>
      <c r="AC1243" s="77" t="s">
        <v>90</v>
      </c>
      <c r="AD1243" s="77" t="s">
        <v>102</v>
      </c>
      <c r="AE1243" s="77" t="s">
        <v>1569</v>
      </c>
    </row>
    <row r="1244" spans="1:31" x14ac:dyDescent="0.3">
      <c r="A1244" s="77" t="s">
        <v>2195</v>
      </c>
      <c r="B1244" s="77" t="s">
        <v>2196</v>
      </c>
      <c r="G1244" s="77" t="s">
        <v>1566</v>
      </c>
      <c r="H1244" s="77" t="s">
        <v>77</v>
      </c>
      <c r="I1244" s="77" t="s">
        <v>1521</v>
      </c>
      <c r="J1244" s="77" t="s">
        <v>79</v>
      </c>
      <c r="K1244" s="77" t="s">
        <v>1522</v>
      </c>
      <c r="L1244" s="77" t="s">
        <v>2192</v>
      </c>
      <c r="M1244" s="77" t="s">
        <v>82</v>
      </c>
      <c r="N1244" s="77" t="s">
        <v>83</v>
      </c>
      <c r="Q1244" s="77" t="s">
        <v>111</v>
      </c>
      <c r="T1244" s="77" t="s">
        <v>1666</v>
      </c>
      <c r="U1244" s="77" t="s">
        <v>85</v>
      </c>
      <c r="V1244" s="80" t="s">
        <v>206</v>
      </c>
      <c r="X1244" s="77" t="s">
        <v>207</v>
      </c>
      <c r="Y1244" s="78" t="s">
        <v>101</v>
      </c>
      <c r="AA1244" s="77" t="s">
        <v>1568</v>
      </c>
      <c r="AB1244" s="77" t="s">
        <v>1521</v>
      </c>
      <c r="AC1244" s="77" t="s">
        <v>90</v>
      </c>
      <c r="AD1244" s="77" t="s">
        <v>102</v>
      </c>
      <c r="AE1244" s="77" t="s">
        <v>1569</v>
      </c>
    </row>
    <row r="1245" spans="1:31" x14ac:dyDescent="0.3">
      <c r="A1245" s="77" t="s">
        <v>2197</v>
      </c>
      <c r="B1245" s="77" t="s">
        <v>2198</v>
      </c>
      <c r="G1245" s="77" t="s">
        <v>1566</v>
      </c>
      <c r="H1245" s="77" t="s">
        <v>77</v>
      </c>
      <c r="I1245" s="77" t="s">
        <v>1521</v>
      </c>
      <c r="J1245" s="77" t="s">
        <v>79</v>
      </c>
      <c r="K1245" s="77" t="s">
        <v>1522</v>
      </c>
      <c r="L1245" s="77" t="s">
        <v>2192</v>
      </c>
      <c r="M1245" s="77" t="s">
        <v>82</v>
      </c>
      <c r="N1245" s="77" t="s">
        <v>83</v>
      </c>
      <c r="Q1245" s="77" t="s">
        <v>111</v>
      </c>
      <c r="T1245" s="77" t="s">
        <v>1666</v>
      </c>
      <c r="U1245" s="77" t="s">
        <v>85</v>
      </c>
      <c r="V1245" s="80" t="s">
        <v>206</v>
      </c>
      <c r="X1245" s="77" t="s">
        <v>207</v>
      </c>
      <c r="Y1245" s="78" t="s">
        <v>101</v>
      </c>
      <c r="AA1245" s="77" t="s">
        <v>1568</v>
      </c>
      <c r="AB1245" s="77" t="s">
        <v>1521</v>
      </c>
      <c r="AC1245" s="77" t="s">
        <v>90</v>
      </c>
      <c r="AD1245" s="77" t="s">
        <v>102</v>
      </c>
      <c r="AE1245" s="77" t="s">
        <v>1569</v>
      </c>
    </row>
    <row r="1246" spans="1:31" x14ac:dyDescent="0.3">
      <c r="A1246" s="77" t="s">
        <v>2199</v>
      </c>
      <c r="B1246" s="77" t="s">
        <v>2200</v>
      </c>
      <c r="G1246" s="77" t="s">
        <v>1566</v>
      </c>
      <c r="H1246" s="77" t="s">
        <v>77</v>
      </c>
      <c r="I1246" s="77" t="s">
        <v>1521</v>
      </c>
      <c r="J1246" s="77" t="s">
        <v>79</v>
      </c>
      <c r="K1246" s="77" t="s">
        <v>1522</v>
      </c>
      <c r="L1246" s="77" t="s">
        <v>2192</v>
      </c>
      <c r="M1246" s="77" t="s">
        <v>82</v>
      </c>
      <c r="N1246" s="77" t="s">
        <v>83</v>
      </c>
      <c r="Q1246" s="77" t="s">
        <v>111</v>
      </c>
      <c r="T1246" s="77" t="s">
        <v>1666</v>
      </c>
      <c r="U1246" s="77" t="s">
        <v>85</v>
      </c>
      <c r="V1246" s="80" t="s">
        <v>206</v>
      </c>
      <c r="X1246" s="77" t="s">
        <v>207</v>
      </c>
      <c r="Y1246" s="78" t="s">
        <v>101</v>
      </c>
      <c r="AA1246" s="77" t="s">
        <v>1568</v>
      </c>
      <c r="AB1246" s="77" t="s">
        <v>1521</v>
      </c>
      <c r="AC1246" s="77" t="s">
        <v>90</v>
      </c>
      <c r="AD1246" s="77" t="s">
        <v>102</v>
      </c>
      <c r="AE1246" s="77" t="s">
        <v>1569</v>
      </c>
    </row>
    <row r="1247" spans="1:31" x14ac:dyDescent="0.3">
      <c r="A1247" s="77" t="s">
        <v>2201</v>
      </c>
      <c r="B1247" s="77" t="s">
        <v>2202</v>
      </c>
      <c r="G1247" s="77" t="s">
        <v>1566</v>
      </c>
      <c r="H1247" s="77" t="s">
        <v>77</v>
      </c>
      <c r="I1247" s="77" t="s">
        <v>1521</v>
      </c>
      <c r="J1247" s="77" t="s">
        <v>79</v>
      </c>
      <c r="K1247" s="77" t="s">
        <v>1522</v>
      </c>
      <c r="L1247" s="77" t="s">
        <v>2192</v>
      </c>
      <c r="M1247" s="77" t="s">
        <v>82</v>
      </c>
      <c r="N1247" s="77" t="s">
        <v>83</v>
      </c>
      <c r="Q1247" s="77" t="s">
        <v>111</v>
      </c>
      <c r="T1247" s="77" t="s">
        <v>1666</v>
      </c>
      <c r="U1247" s="77" t="s">
        <v>85</v>
      </c>
      <c r="V1247" s="80" t="s">
        <v>206</v>
      </c>
      <c r="X1247" s="77" t="s">
        <v>207</v>
      </c>
      <c r="Y1247" s="78" t="s">
        <v>101</v>
      </c>
      <c r="AA1247" s="77" t="s">
        <v>1568</v>
      </c>
      <c r="AB1247" s="77" t="s">
        <v>1521</v>
      </c>
      <c r="AC1247" s="77" t="s">
        <v>90</v>
      </c>
      <c r="AD1247" s="77" t="s">
        <v>102</v>
      </c>
      <c r="AE1247" s="77" t="s">
        <v>1569</v>
      </c>
    </row>
    <row r="1248" spans="1:31" x14ac:dyDescent="0.3">
      <c r="A1248" s="77" t="s">
        <v>2203</v>
      </c>
      <c r="B1248" s="77" t="s">
        <v>2204</v>
      </c>
      <c r="G1248" s="77" t="s">
        <v>1566</v>
      </c>
      <c r="H1248" s="77" t="s">
        <v>77</v>
      </c>
      <c r="I1248" s="77" t="s">
        <v>1521</v>
      </c>
      <c r="J1248" s="77" t="s">
        <v>79</v>
      </c>
      <c r="K1248" s="77" t="s">
        <v>1522</v>
      </c>
      <c r="L1248" s="77" t="s">
        <v>1662</v>
      </c>
      <c r="M1248" s="77" t="s">
        <v>82</v>
      </c>
      <c r="N1248" s="77" t="s">
        <v>83</v>
      </c>
      <c r="Q1248" s="77" t="s">
        <v>111</v>
      </c>
      <c r="T1248" s="77" t="s">
        <v>1666</v>
      </c>
      <c r="U1248" s="77" t="s">
        <v>85</v>
      </c>
      <c r="V1248" s="80" t="s">
        <v>272</v>
      </c>
      <c r="X1248" s="77" t="s">
        <v>273</v>
      </c>
      <c r="Y1248" s="78" t="s">
        <v>101</v>
      </c>
      <c r="AA1248" s="77" t="s">
        <v>1568</v>
      </c>
      <c r="AB1248" s="77" t="s">
        <v>1521</v>
      </c>
      <c r="AC1248" s="77" t="s">
        <v>90</v>
      </c>
      <c r="AD1248" s="77" t="s">
        <v>274</v>
      </c>
      <c r="AE1248" s="77" t="s">
        <v>1569</v>
      </c>
    </row>
    <row r="1249" spans="1:31" x14ac:dyDescent="0.3">
      <c r="A1249" s="77" t="s">
        <v>2205</v>
      </c>
      <c r="B1249" s="77" t="s">
        <v>2206</v>
      </c>
      <c r="G1249" s="77" t="s">
        <v>1566</v>
      </c>
      <c r="H1249" s="77" t="s">
        <v>77</v>
      </c>
      <c r="I1249" s="77" t="s">
        <v>1521</v>
      </c>
      <c r="J1249" s="77" t="s">
        <v>79</v>
      </c>
      <c r="K1249" s="77" t="s">
        <v>1522</v>
      </c>
      <c r="L1249" s="77" t="s">
        <v>2207</v>
      </c>
      <c r="M1249" s="77" t="s">
        <v>82</v>
      </c>
      <c r="N1249" s="77" t="s">
        <v>83</v>
      </c>
      <c r="Q1249" s="77" t="s">
        <v>111</v>
      </c>
      <c r="T1249" s="77" t="s">
        <v>1666</v>
      </c>
      <c r="U1249" s="77" t="s">
        <v>85</v>
      </c>
      <c r="V1249" s="80" t="s">
        <v>86</v>
      </c>
      <c r="X1249" s="77" t="s">
        <v>87</v>
      </c>
      <c r="Y1249" s="78" t="s">
        <v>88</v>
      </c>
      <c r="AA1249" s="77" t="s">
        <v>1568</v>
      </c>
      <c r="AB1249" s="77" t="s">
        <v>1521</v>
      </c>
      <c r="AC1249" s="77" t="s">
        <v>90</v>
      </c>
      <c r="AD1249" s="77" t="s">
        <v>91</v>
      </c>
      <c r="AE1249" s="77" t="s">
        <v>1569</v>
      </c>
    </row>
    <row r="1250" spans="1:31" x14ac:dyDescent="0.3">
      <c r="A1250" s="77" t="s">
        <v>2208</v>
      </c>
      <c r="B1250" s="77" t="s">
        <v>2209</v>
      </c>
      <c r="G1250" s="77" t="s">
        <v>1566</v>
      </c>
      <c r="H1250" s="77" t="s">
        <v>77</v>
      </c>
      <c r="I1250" s="77" t="s">
        <v>1521</v>
      </c>
      <c r="J1250" s="77" t="s">
        <v>79</v>
      </c>
      <c r="K1250" s="77" t="s">
        <v>1522</v>
      </c>
      <c r="L1250" s="77" t="s">
        <v>2207</v>
      </c>
      <c r="M1250" s="77" t="s">
        <v>82</v>
      </c>
      <c r="N1250" s="77" t="s">
        <v>83</v>
      </c>
      <c r="Q1250" s="77" t="s">
        <v>111</v>
      </c>
      <c r="T1250" s="77" t="s">
        <v>1666</v>
      </c>
      <c r="U1250" s="77" t="s">
        <v>85</v>
      </c>
      <c r="V1250" s="80" t="s">
        <v>86</v>
      </c>
      <c r="X1250" s="77" t="s">
        <v>87</v>
      </c>
      <c r="Y1250" s="78" t="s">
        <v>88</v>
      </c>
      <c r="AA1250" s="77" t="s">
        <v>1568</v>
      </c>
      <c r="AB1250" s="77" t="s">
        <v>1521</v>
      </c>
      <c r="AC1250" s="77" t="s">
        <v>90</v>
      </c>
      <c r="AD1250" s="77" t="s">
        <v>91</v>
      </c>
      <c r="AE1250" s="77" t="s">
        <v>1569</v>
      </c>
    </row>
    <row r="1251" spans="1:31" x14ac:dyDescent="0.3">
      <c r="A1251" s="77" t="s">
        <v>2210</v>
      </c>
      <c r="B1251" s="77" t="s">
        <v>2211</v>
      </c>
      <c r="G1251" s="77" t="s">
        <v>1566</v>
      </c>
      <c r="H1251" s="77" t="s">
        <v>77</v>
      </c>
      <c r="I1251" s="77" t="s">
        <v>1521</v>
      </c>
      <c r="J1251" s="77" t="s">
        <v>79</v>
      </c>
      <c r="K1251" s="77" t="s">
        <v>1522</v>
      </c>
      <c r="L1251" s="77" t="s">
        <v>2207</v>
      </c>
      <c r="M1251" s="77" t="s">
        <v>82</v>
      </c>
      <c r="N1251" s="77" t="s">
        <v>83</v>
      </c>
      <c r="Q1251" s="77" t="s">
        <v>111</v>
      </c>
      <c r="T1251" s="77" t="s">
        <v>1666</v>
      </c>
      <c r="U1251" s="77" t="s">
        <v>85</v>
      </c>
      <c r="V1251" s="80" t="s">
        <v>86</v>
      </c>
      <c r="X1251" s="77" t="s">
        <v>87</v>
      </c>
      <c r="Y1251" s="78" t="s">
        <v>88</v>
      </c>
      <c r="AA1251" s="77" t="s">
        <v>1568</v>
      </c>
      <c r="AB1251" s="77" t="s">
        <v>1521</v>
      </c>
      <c r="AC1251" s="77" t="s">
        <v>90</v>
      </c>
      <c r="AD1251" s="77" t="s">
        <v>91</v>
      </c>
      <c r="AE1251" s="77" t="s">
        <v>1569</v>
      </c>
    </row>
    <row r="1252" spans="1:31" x14ac:dyDescent="0.3">
      <c r="A1252" s="77" t="s">
        <v>2212</v>
      </c>
      <c r="B1252" s="77" t="s">
        <v>2213</v>
      </c>
      <c r="G1252" s="77" t="s">
        <v>1566</v>
      </c>
      <c r="H1252" s="77" t="s">
        <v>77</v>
      </c>
      <c r="I1252" s="77" t="s">
        <v>1521</v>
      </c>
      <c r="J1252" s="77" t="s">
        <v>79</v>
      </c>
      <c r="K1252" s="77" t="s">
        <v>1522</v>
      </c>
      <c r="L1252" s="77" t="s">
        <v>2214</v>
      </c>
      <c r="M1252" s="77" t="s">
        <v>82</v>
      </c>
      <c r="N1252" s="77" t="s">
        <v>83</v>
      </c>
      <c r="Q1252" s="77" t="s">
        <v>111</v>
      </c>
      <c r="T1252" s="77" t="s">
        <v>1666</v>
      </c>
      <c r="U1252" s="77" t="s">
        <v>85</v>
      </c>
      <c r="V1252" s="80" t="s">
        <v>86</v>
      </c>
      <c r="X1252" s="77" t="s">
        <v>87</v>
      </c>
      <c r="Y1252" s="78" t="s">
        <v>88</v>
      </c>
      <c r="AA1252" s="77" t="s">
        <v>1568</v>
      </c>
      <c r="AB1252" s="77" t="s">
        <v>1521</v>
      </c>
      <c r="AC1252" s="77" t="s">
        <v>90</v>
      </c>
      <c r="AD1252" s="77" t="s">
        <v>91</v>
      </c>
      <c r="AE1252" s="77" t="s">
        <v>1569</v>
      </c>
    </row>
    <row r="1253" spans="1:31" x14ac:dyDescent="0.3">
      <c r="A1253" s="77" t="s">
        <v>2215</v>
      </c>
      <c r="B1253" s="77" t="s">
        <v>2216</v>
      </c>
      <c r="G1253" s="77" t="s">
        <v>1566</v>
      </c>
      <c r="H1253" s="77" t="s">
        <v>77</v>
      </c>
      <c r="I1253" s="77" t="s">
        <v>1521</v>
      </c>
      <c r="J1253" s="77" t="s">
        <v>79</v>
      </c>
      <c r="K1253" s="77" t="s">
        <v>1522</v>
      </c>
      <c r="L1253" s="77" t="s">
        <v>2214</v>
      </c>
      <c r="M1253" s="77" t="s">
        <v>82</v>
      </c>
      <c r="N1253" s="77" t="s">
        <v>83</v>
      </c>
      <c r="Q1253" s="77" t="s">
        <v>111</v>
      </c>
      <c r="T1253" s="77" t="s">
        <v>1666</v>
      </c>
      <c r="U1253" s="77" t="s">
        <v>85</v>
      </c>
      <c r="V1253" s="80" t="s">
        <v>86</v>
      </c>
      <c r="X1253" s="77" t="s">
        <v>87</v>
      </c>
      <c r="Y1253" s="78" t="s">
        <v>88</v>
      </c>
      <c r="AA1253" s="77" t="s">
        <v>1568</v>
      </c>
      <c r="AB1253" s="77" t="s">
        <v>1521</v>
      </c>
      <c r="AC1253" s="77" t="s">
        <v>90</v>
      </c>
      <c r="AD1253" s="77" t="s">
        <v>91</v>
      </c>
      <c r="AE1253" s="77" t="s">
        <v>1569</v>
      </c>
    </row>
    <row r="1254" spans="1:31" x14ac:dyDescent="0.3">
      <c r="A1254" s="77" t="s">
        <v>2217</v>
      </c>
      <c r="B1254" s="77" t="s">
        <v>2218</v>
      </c>
      <c r="G1254" s="77" t="s">
        <v>1566</v>
      </c>
      <c r="H1254" s="77" t="s">
        <v>77</v>
      </c>
      <c r="I1254" s="77" t="s">
        <v>1521</v>
      </c>
      <c r="J1254" s="77" t="s">
        <v>79</v>
      </c>
      <c r="K1254" s="77" t="s">
        <v>1522</v>
      </c>
      <c r="L1254" s="77" t="s">
        <v>2214</v>
      </c>
      <c r="M1254" s="77" t="s">
        <v>82</v>
      </c>
      <c r="N1254" s="77" t="s">
        <v>83</v>
      </c>
      <c r="Q1254" s="77" t="s">
        <v>111</v>
      </c>
      <c r="T1254" s="77" t="s">
        <v>1666</v>
      </c>
      <c r="U1254" s="77" t="s">
        <v>85</v>
      </c>
      <c r="V1254" s="80" t="s">
        <v>86</v>
      </c>
      <c r="X1254" s="77" t="s">
        <v>87</v>
      </c>
      <c r="Y1254" s="78" t="s">
        <v>88</v>
      </c>
      <c r="AA1254" s="77" t="s">
        <v>1568</v>
      </c>
      <c r="AB1254" s="77" t="s">
        <v>1521</v>
      </c>
      <c r="AC1254" s="77" t="s">
        <v>90</v>
      </c>
      <c r="AD1254" s="77" t="s">
        <v>91</v>
      </c>
      <c r="AE1254" s="77" t="s">
        <v>1569</v>
      </c>
    </row>
    <row r="1255" spans="1:31" x14ac:dyDescent="0.3">
      <c r="A1255" s="77" t="s">
        <v>2219</v>
      </c>
      <c r="B1255" s="77" t="s">
        <v>2220</v>
      </c>
      <c r="G1255" s="77" t="s">
        <v>1566</v>
      </c>
      <c r="H1255" s="77" t="s">
        <v>77</v>
      </c>
      <c r="I1255" s="77" t="s">
        <v>1521</v>
      </c>
      <c r="J1255" s="77" t="s">
        <v>79</v>
      </c>
      <c r="K1255" s="77" t="s">
        <v>1522</v>
      </c>
      <c r="L1255" s="77" t="s">
        <v>2221</v>
      </c>
      <c r="M1255" s="77" t="s">
        <v>82</v>
      </c>
      <c r="N1255" s="77" t="s">
        <v>83</v>
      </c>
      <c r="Q1255" s="77" t="s">
        <v>111</v>
      </c>
      <c r="T1255" s="77" t="s">
        <v>1666</v>
      </c>
      <c r="U1255" s="77" t="s">
        <v>85</v>
      </c>
      <c r="V1255" s="80" t="s">
        <v>86</v>
      </c>
      <c r="X1255" s="77" t="s">
        <v>87</v>
      </c>
      <c r="Y1255" s="78" t="s">
        <v>88</v>
      </c>
      <c r="AA1255" s="77" t="s">
        <v>1568</v>
      </c>
      <c r="AB1255" s="77" t="s">
        <v>1521</v>
      </c>
      <c r="AC1255" s="77" t="s">
        <v>90</v>
      </c>
      <c r="AD1255" s="77" t="s">
        <v>91</v>
      </c>
      <c r="AE1255" s="77" t="s">
        <v>1569</v>
      </c>
    </row>
    <row r="1256" spans="1:31" x14ac:dyDescent="0.3">
      <c r="A1256" s="77" t="s">
        <v>2222</v>
      </c>
      <c r="B1256" s="77" t="s">
        <v>2223</v>
      </c>
      <c r="G1256" s="77" t="s">
        <v>1566</v>
      </c>
      <c r="H1256" s="77" t="s">
        <v>77</v>
      </c>
      <c r="I1256" s="77" t="s">
        <v>1521</v>
      </c>
      <c r="J1256" s="77" t="s">
        <v>79</v>
      </c>
      <c r="K1256" s="77" t="s">
        <v>1522</v>
      </c>
      <c r="L1256" s="77" t="s">
        <v>2221</v>
      </c>
      <c r="M1256" s="77" t="s">
        <v>82</v>
      </c>
      <c r="N1256" s="77" t="s">
        <v>83</v>
      </c>
      <c r="Q1256" s="77" t="s">
        <v>111</v>
      </c>
      <c r="T1256" s="77" t="s">
        <v>1666</v>
      </c>
      <c r="U1256" s="77" t="s">
        <v>85</v>
      </c>
      <c r="V1256" s="80" t="s">
        <v>86</v>
      </c>
      <c r="X1256" s="77" t="s">
        <v>87</v>
      </c>
      <c r="Y1256" s="78" t="s">
        <v>88</v>
      </c>
      <c r="AA1256" s="77" t="s">
        <v>1568</v>
      </c>
      <c r="AB1256" s="77" t="s">
        <v>1521</v>
      </c>
      <c r="AC1256" s="77" t="s">
        <v>90</v>
      </c>
      <c r="AD1256" s="77" t="s">
        <v>91</v>
      </c>
      <c r="AE1256" s="77" t="s">
        <v>1569</v>
      </c>
    </row>
    <row r="1257" spans="1:31" x14ac:dyDescent="0.3">
      <c r="A1257" s="77" t="s">
        <v>2224</v>
      </c>
      <c r="B1257" s="77" t="s">
        <v>2225</v>
      </c>
      <c r="G1257" s="77" t="s">
        <v>1566</v>
      </c>
      <c r="H1257" s="77" t="s">
        <v>77</v>
      </c>
      <c r="I1257" s="77" t="s">
        <v>1521</v>
      </c>
      <c r="J1257" s="77" t="s">
        <v>79</v>
      </c>
      <c r="K1257" s="77" t="s">
        <v>1522</v>
      </c>
      <c r="L1257" s="77" t="s">
        <v>2221</v>
      </c>
      <c r="M1257" s="77" t="s">
        <v>82</v>
      </c>
      <c r="N1257" s="77" t="s">
        <v>83</v>
      </c>
      <c r="Q1257" s="77" t="s">
        <v>111</v>
      </c>
      <c r="T1257" s="77" t="s">
        <v>1666</v>
      </c>
      <c r="U1257" s="77" t="s">
        <v>85</v>
      </c>
      <c r="V1257" s="80" t="s">
        <v>86</v>
      </c>
      <c r="X1257" s="77" t="s">
        <v>87</v>
      </c>
      <c r="Y1257" s="78" t="s">
        <v>88</v>
      </c>
      <c r="AA1257" s="77" t="s">
        <v>1568</v>
      </c>
      <c r="AB1257" s="77" t="s">
        <v>1521</v>
      </c>
      <c r="AC1257" s="77" t="s">
        <v>90</v>
      </c>
      <c r="AD1257" s="77" t="s">
        <v>91</v>
      </c>
      <c r="AE1257" s="77" t="s">
        <v>1569</v>
      </c>
    </row>
    <row r="1258" spans="1:31" x14ac:dyDescent="0.3">
      <c r="A1258" s="77" t="s">
        <v>2226</v>
      </c>
      <c r="B1258" s="77" t="s">
        <v>2227</v>
      </c>
      <c r="G1258" s="77" t="s">
        <v>1566</v>
      </c>
      <c r="H1258" s="77" t="s">
        <v>77</v>
      </c>
      <c r="I1258" s="77" t="s">
        <v>1521</v>
      </c>
      <c r="J1258" s="77" t="s">
        <v>79</v>
      </c>
      <c r="K1258" s="77" t="s">
        <v>1522</v>
      </c>
      <c r="L1258" s="77" t="s">
        <v>2228</v>
      </c>
      <c r="M1258" s="77" t="s">
        <v>82</v>
      </c>
      <c r="N1258" s="77" t="s">
        <v>83</v>
      </c>
      <c r="Q1258" s="77" t="s">
        <v>111</v>
      </c>
      <c r="T1258" s="77" t="s">
        <v>1666</v>
      </c>
      <c r="U1258" s="77" t="s">
        <v>85</v>
      </c>
      <c r="V1258" s="80" t="s">
        <v>105</v>
      </c>
      <c r="X1258" s="77" t="s">
        <v>106</v>
      </c>
      <c r="Y1258" s="78" t="s">
        <v>101</v>
      </c>
      <c r="AA1258" s="77" t="s">
        <v>1568</v>
      </c>
      <c r="AB1258" s="77" t="s">
        <v>1521</v>
      </c>
      <c r="AC1258" s="77" t="s">
        <v>90</v>
      </c>
      <c r="AD1258" s="77" t="s">
        <v>102</v>
      </c>
      <c r="AE1258" s="77" t="s">
        <v>1569</v>
      </c>
    </row>
    <row r="1259" spans="1:31" x14ac:dyDescent="0.3">
      <c r="A1259" s="77" t="s">
        <v>2229</v>
      </c>
      <c r="B1259" s="77" t="s">
        <v>2230</v>
      </c>
      <c r="G1259" s="77" t="s">
        <v>1566</v>
      </c>
      <c r="H1259" s="77" t="s">
        <v>77</v>
      </c>
      <c r="I1259" s="77" t="s">
        <v>1521</v>
      </c>
      <c r="J1259" s="77" t="s">
        <v>79</v>
      </c>
      <c r="K1259" s="77" t="s">
        <v>1522</v>
      </c>
      <c r="L1259" s="77" t="s">
        <v>2228</v>
      </c>
      <c r="M1259" s="77" t="s">
        <v>82</v>
      </c>
      <c r="N1259" s="77" t="s">
        <v>83</v>
      </c>
      <c r="Q1259" s="77" t="s">
        <v>111</v>
      </c>
      <c r="T1259" s="77" t="s">
        <v>1666</v>
      </c>
      <c r="U1259" s="77" t="s">
        <v>85</v>
      </c>
      <c r="V1259" s="80" t="s">
        <v>105</v>
      </c>
      <c r="X1259" s="77" t="s">
        <v>106</v>
      </c>
      <c r="Y1259" s="78" t="s">
        <v>101</v>
      </c>
      <c r="AA1259" s="77" t="s">
        <v>1568</v>
      </c>
      <c r="AB1259" s="77" t="s">
        <v>1521</v>
      </c>
      <c r="AC1259" s="77" t="s">
        <v>90</v>
      </c>
      <c r="AD1259" s="77" t="s">
        <v>102</v>
      </c>
      <c r="AE1259" s="77" t="s">
        <v>1569</v>
      </c>
    </row>
    <row r="1260" spans="1:31" x14ac:dyDescent="0.3">
      <c r="A1260" s="77" t="s">
        <v>2231</v>
      </c>
      <c r="B1260" s="77" t="s">
        <v>2232</v>
      </c>
      <c r="G1260" s="77" t="s">
        <v>1566</v>
      </c>
      <c r="H1260" s="77" t="s">
        <v>77</v>
      </c>
      <c r="I1260" s="77" t="s">
        <v>1521</v>
      </c>
      <c r="J1260" s="77" t="s">
        <v>79</v>
      </c>
      <c r="K1260" s="77" t="s">
        <v>1522</v>
      </c>
      <c r="L1260" s="77" t="s">
        <v>2228</v>
      </c>
      <c r="M1260" s="77" t="s">
        <v>82</v>
      </c>
      <c r="N1260" s="77" t="s">
        <v>83</v>
      </c>
      <c r="Q1260" s="77" t="s">
        <v>111</v>
      </c>
      <c r="T1260" s="77" t="s">
        <v>1666</v>
      </c>
      <c r="U1260" s="77" t="s">
        <v>85</v>
      </c>
      <c r="V1260" s="80" t="s">
        <v>105</v>
      </c>
      <c r="X1260" s="77" t="s">
        <v>106</v>
      </c>
      <c r="Y1260" s="78" t="s">
        <v>101</v>
      </c>
      <c r="AA1260" s="77" t="s">
        <v>1568</v>
      </c>
      <c r="AB1260" s="77" t="s">
        <v>1521</v>
      </c>
      <c r="AC1260" s="77" t="s">
        <v>90</v>
      </c>
      <c r="AD1260" s="77" t="s">
        <v>102</v>
      </c>
      <c r="AE1260" s="77" t="s">
        <v>1569</v>
      </c>
    </row>
    <row r="1261" spans="1:31" x14ac:dyDescent="0.3">
      <c r="A1261" s="77" t="s">
        <v>2233</v>
      </c>
      <c r="B1261" s="77" t="s">
        <v>2234</v>
      </c>
      <c r="G1261" s="77" t="s">
        <v>1566</v>
      </c>
      <c r="H1261" s="77" t="s">
        <v>77</v>
      </c>
      <c r="I1261" s="77" t="s">
        <v>1521</v>
      </c>
      <c r="J1261" s="77" t="s">
        <v>79</v>
      </c>
      <c r="K1261" s="77" t="s">
        <v>1522</v>
      </c>
      <c r="L1261" s="77" t="s">
        <v>2235</v>
      </c>
      <c r="M1261" s="77" t="s">
        <v>82</v>
      </c>
      <c r="N1261" s="77" t="s">
        <v>83</v>
      </c>
      <c r="Q1261" s="77" t="s">
        <v>111</v>
      </c>
      <c r="T1261" s="77" t="s">
        <v>1666</v>
      </c>
      <c r="U1261" s="77" t="s">
        <v>85</v>
      </c>
      <c r="V1261" s="80" t="s">
        <v>105</v>
      </c>
      <c r="X1261" s="77" t="s">
        <v>106</v>
      </c>
      <c r="Y1261" s="78" t="s">
        <v>101</v>
      </c>
      <c r="AA1261" s="77" t="s">
        <v>1568</v>
      </c>
      <c r="AB1261" s="77" t="s">
        <v>1521</v>
      </c>
      <c r="AC1261" s="77" t="s">
        <v>90</v>
      </c>
      <c r="AD1261" s="77" t="s">
        <v>102</v>
      </c>
      <c r="AE1261" s="77" t="s">
        <v>1569</v>
      </c>
    </row>
    <row r="1262" spans="1:31" x14ac:dyDescent="0.3">
      <c r="A1262" s="77" t="s">
        <v>2236</v>
      </c>
      <c r="B1262" s="77" t="s">
        <v>2237</v>
      </c>
      <c r="G1262" s="77" t="s">
        <v>1566</v>
      </c>
      <c r="H1262" s="77" t="s">
        <v>77</v>
      </c>
      <c r="I1262" s="77" t="s">
        <v>1521</v>
      </c>
      <c r="J1262" s="77" t="s">
        <v>79</v>
      </c>
      <c r="K1262" s="77" t="s">
        <v>1522</v>
      </c>
      <c r="L1262" s="77" t="s">
        <v>2235</v>
      </c>
      <c r="M1262" s="77" t="s">
        <v>82</v>
      </c>
      <c r="N1262" s="77" t="s">
        <v>83</v>
      </c>
      <c r="Q1262" s="77" t="s">
        <v>111</v>
      </c>
      <c r="T1262" s="77" t="s">
        <v>1666</v>
      </c>
      <c r="U1262" s="77" t="s">
        <v>85</v>
      </c>
      <c r="V1262" s="80" t="s">
        <v>105</v>
      </c>
      <c r="X1262" s="77" t="s">
        <v>106</v>
      </c>
      <c r="Y1262" s="78" t="s">
        <v>101</v>
      </c>
      <c r="AA1262" s="77" t="s">
        <v>1568</v>
      </c>
      <c r="AB1262" s="77" t="s">
        <v>1521</v>
      </c>
      <c r="AC1262" s="77" t="s">
        <v>90</v>
      </c>
      <c r="AD1262" s="77" t="s">
        <v>102</v>
      </c>
      <c r="AE1262" s="77" t="s">
        <v>1569</v>
      </c>
    </row>
    <row r="1263" spans="1:31" x14ac:dyDescent="0.3">
      <c r="A1263" s="77" t="s">
        <v>2238</v>
      </c>
      <c r="B1263" s="77" t="s">
        <v>2239</v>
      </c>
      <c r="G1263" s="77" t="s">
        <v>1566</v>
      </c>
      <c r="H1263" s="77" t="s">
        <v>77</v>
      </c>
      <c r="I1263" s="77" t="s">
        <v>1521</v>
      </c>
      <c r="J1263" s="77" t="s">
        <v>79</v>
      </c>
      <c r="K1263" s="77" t="s">
        <v>1522</v>
      </c>
      <c r="L1263" s="77" t="s">
        <v>2235</v>
      </c>
      <c r="M1263" s="77" t="s">
        <v>82</v>
      </c>
      <c r="N1263" s="77" t="s">
        <v>83</v>
      </c>
      <c r="Q1263" s="77" t="s">
        <v>111</v>
      </c>
      <c r="T1263" s="77" t="s">
        <v>1666</v>
      </c>
      <c r="U1263" s="77" t="s">
        <v>85</v>
      </c>
      <c r="V1263" s="80" t="s">
        <v>105</v>
      </c>
      <c r="X1263" s="77" t="s">
        <v>106</v>
      </c>
      <c r="Y1263" s="78" t="s">
        <v>101</v>
      </c>
      <c r="AA1263" s="77" t="s">
        <v>1568</v>
      </c>
      <c r="AB1263" s="77" t="s">
        <v>1521</v>
      </c>
      <c r="AC1263" s="77" t="s">
        <v>90</v>
      </c>
      <c r="AD1263" s="77" t="s">
        <v>102</v>
      </c>
      <c r="AE1263" s="77" t="s">
        <v>1569</v>
      </c>
    </row>
    <row r="1264" spans="1:31" x14ac:dyDescent="0.3">
      <c r="A1264" s="77" t="s">
        <v>2240</v>
      </c>
      <c r="B1264" s="77" t="s">
        <v>2241</v>
      </c>
      <c r="G1264" s="77" t="s">
        <v>1566</v>
      </c>
      <c r="H1264" s="77" t="s">
        <v>77</v>
      </c>
      <c r="I1264" s="77" t="s">
        <v>1521</v>
      </c>
      <c r="J1264" s="77" t="s">
        <v>79</v>
      </c>
      <c r="K1264" s="77" t="s">
        <v>1522</v>
      </c>
      <c r="L1264" s="77" t="s">
        <v>1637</v>
      </c>
      <c r="M1264" s="77" t="s">
        <v>82</v>
      </c>
      <c r="N1264" s="77" t="s">
        <v>83</v>
      </c>
      <c r="Q1264" s="77" t="s">
        <v>111</v>
      </c>
      <c r="T1264" s="77" t="s">
        <v>1666</v>
      </c>
      <c r="U1264" s="77" t="s">
        <v>85</v>
      </c>
      <c r="V1264" s="80" t="s">
        <v>231</v>
      </c>
      <c r="X1264" s="77" t="s">
        <v>232</v>
      </c>
      <c r="Y1264" s="78" t="s">
        <v>88</v>
      </c>
      <c r="AA1264" s="77" t="s">
        <v>1568</v>
      </c>
      <c r="AB1264" s="77" t="s">
        <v>1521</v>
      </c>
      <c r="AC1264" s="77" t="s">
        <v>90</v>
      </c>
      <c r="AD1264" s="77" t="s">
        <v>91</v>
      </c>
      <c r="AE1264" s="77" t="s">
        <v>1569</v>
      </c>
    </row>
    <row r="1265" spans="1:31" x14ac:dyDescent="0.3">
      <c r="A1265" s="77" t="s">
        <v>2242</v>
      </c>
      <c r="B1265" s="77" t="s">
        <v>2243</v>
      </c>
      <c r="G1265" s="77" t="s">
        <v>1566</v>
      </c>
      <c r="H1265" s="77" t="s">
        <v>77</v>
      </c>
      <c r="I1265" s="77" t="s">
        <v>1521</v>
      </c>
      <c r="J1265" s="77" t="s">
        <v>79</v>
      </c>
      <c r="K1265" s="77" t="s">
        <v>1522</v>
      </c>
      <c r="L1265" s="77" t="s">
        <v>2244</v>
      </c>
      <c r="M1265" s="77" t="s">
        <v>82</v>
      </c>
      <c r="N1265" s="77" t="s">
        <v>83</v>
      </c>
      <c r="Q1265" s="77" t="s">
        <v>111</v>
      </c>
      <c r="T1265" s="77" t="s">
        <v>1666</v>
      </c>
      <c r="U1265" s="77" t="s">
        <v>85</v>
      </c>
      <c r="V1265" s="80" t="s">
        <v>325</v>
      </c>
      <c r="X1265" s="77" t="s">
        <v>326</v>
      </c>
      <c r="Y1265" s="78" t="s">
        <v>101</v>
      </c>
      <c r="AA1265" s="77" t="s">
        <v>1568</v>
      </c>
      <c r="AB1265" s="77" t="s">
        <v>1521</v>
      </c>
      <c r="AC1265" s="77" t="s">
        <v>90</v>
      </c>
      <c r="AD1265" s="77" t="s">
        <v>327</v>
      </c>
      <c r="AE1265" s="77" t="s">
        <v>1569</v>
      </c>
    </row>
    <row r="1266" spans="1:31" x14ac:dyDescent="0.3">
      <c r="A1266" s="77" t="s">
        <v>2245</v>
      </c>
      <c r="B1266" s="77" t="s">
        <v>2246</v>
      </c>
      <c r="G1266" s="77" t="s">
        <v>1566</v>
      </c>
      <c r="H1266" s="77" t="s">
        <v>77</v>
      </c>
      <c r="I1266" s="77" t="s">
        <v>1521</v>
      </c>
      <c r="J1266" s="77" t="s">
        <v>79</v>
      </c>
      <c r="K1266" s="77" t="s">
        <v>1522</v>
      </c>
      <c r="L1266" s="77" t="s">
        <v>2247</v>
      </c>
      <c r="M1266" s="77" t="s">
        <v>82</v>
      </c>
      <c r="N1266" s="77" t="s">
        <v>83</v>
      </c>
      <c r="Q1266" s="77" t="s">
        <v>111</v>
      </c>
      <c r="T1266" s="77" t="s">
        <v>1666</v>
      </c>
      <c r="U1266" s="77" t="s">
        <v>85</v>
      </c>
      <c r="V1266" s="80" t="s">
        <v>325</v>
      </c>
      <c r="X1266" s="77" t="s">
        <v>326</v>
      </c>
      <c r="Y1266" s="78" t="s">
        <v>101</v>
      </c>
      <c r="AA1266" s="77" t="s">
        <v>1568</v>
      </c>
      <c r="AB1266" s="77" t="s">
        <v>1521</v>
      </c>
      <c r="AC1266" s="77" t="s">
        <v>90</v>
      </c>
      <c r="AD1266" s="77" t="s">
        <v>327</v>
      </c>
      <c r="AE1266" s="77" t="s">
        <v>1569</v>
      </c>
    </row>
    <row r="1267" spans="1:31" x14ac:dyDescent="0.3">
      <c r="A1267" s="77" t="s">
        <v>2248</v>
      </c>
      <c r="B1267" s="77" t="s">
        <v>2249</v>
      </c>
      <c r="G1267" s="77" t="s">
        <v>1566</v>
      </c>
      <c r="H1267" s="77" t="s">
        <v>77</v>
      </c>
      <c r="I1267" s="77" t="s">
        <v>1521</v>
      </c>
      <c r="J1267" s="77" t="s">
        <v>79</v>
      </c>
      <c r="K1267" s="77" t="s">
        <v>1522</v>
      </c>
      <c r="L1267" s="77" t="s">
        <v>2250</v>
      </c>
      <c r="M1267" s="77" t="s">
        <v>82</v>
      </c>
      <c r="N1267" s="77" t="s">
        <v>83</v>
      </c>
      <c r="Q1267" s="77" t="s">
        <v>111</v>
      </c>
      <c r="T1267" s="77" t="s">
        <v>1666</v>
      </c>
      <c r="U1267" s="77" t="s">
        <v>85</v>
      </c>
      <c r="V1267" s="80" t="s">
        <v>325</v>
      </c>
      <c r="X1267" s="77" t="s">
        <v>326</v>
      </c>
      <c r="Y1267" s="78" t="s">
        <v>101</v>
      </c>
      <c r="AA1267" s="77" t="s">
        <v>1568</v>
      </c>
      <c r="AB1267" s="77" t="s">
        <v>1521</v>
      </c>
      <c r="AC1267" s="77" t="s">
        <v>90</v>
      </c>
      <c r="AD1267" s="77" t="s">
        <v>327</v>
      </c>
      <c r="AE1267" s="77" t="s">
        <v>1569</v>
      </c>
    </row>
    <row r="1268" spans="1:31" x14ac:dyDescent="0.3">
      <c r="A1268" s="77" t="s">
        <v>2251</v>
      </c>
      <c r="B1268" s="77" t="s">
        <v>2252</v>
      </c>
      <c r="G1268" s="77" t="s">
        <v>1566</v>
      </c>
      <c r="H1268" s="77" t="s">
        <v>77</v>
      </c>
      <c r="I1268" s="77" t="s">
        <v>1521</v>
      </c>
      <c r="J1268" s="77" t="s">
        <v>79</v>
      </c>
      <c r="K1268" s="77" t="s">
        <v>1522</v>
      </c>
      <c r="L1268" s="77" t="s">
        <v>2253</v>
      </c>
      <c r="M1268" s="77" t="s">
        <v>82</v>
      </c>
      <c r="N1268" s="77" t="s">
        <v>83</v>
      </c>
      <c r="Q1268" s="77" t="s">
        <v>111</v>
      </c>
      <c r="T1268" s="77" t="s">
        <v>1666</v>
      </c>
      <c r="U1268" s="77" t="s">
        <v>85</v>
      </c>
      <c r="V1268" s="80" t="s">
        <v>325</v>
      </c>
      <c r="X1268" s="77" t="s">
        <v>326</v>
      </c>
      <c r="Y1268" s="78" t="s">
        <v>101</v>
      </c>
      <c r="AA1268" s="77" t="s">
        <v>1568</v>
      </c>
      <c r="AB1268" s="77" t="s">
        <v>1521</v>
      </c>
      <c r="AC1268" s="77" t="s">
        <v>90</v>
      </c>
      <c r="AD1268" s="77" t="s">
        <v>327</v>
      </c>
      <c r="AE1268" s="77" t="s">
        <v>1569</v>
      </c>
    </row>
    <row r="1269" spans="1:31" x14ac:dyDescent="0.3">
      <c r="A1269" s="77" t="s">
        <v>2254</v>
      </c>
      <c r="B1269" s="77" t="s">
        <v>2255</v>
      </c>
      <c r="G1269" s="77" t="s">
        <v>1566</v>
      </c>
      <c r="H1269" s="77" t="s">
        <v>77</v>
      </c>
      <c r="I1269" s="77" t="s">
        <v>1521</v>
      </c>
      <c r="J1269" s="77" t="s">
        <v>79</v>
      </c>
      <c r="K1269" s="77" t="s">
        <v>1522</v>
      </c>
      <c r="L1269" s="77" t="s">
        <v>2256</v>
      </c>
      <c r="M1269" s="77" t="s">
        <v>82</v>
      </c>
      <c r="N1269" s="77" t="s">
        <v>83</v>
      </c>
      <c r="Q1269" s="77" t="s">
        <v>111</v>
      </c>
      <c r="T1269" s="77" t="s">
        <v>1666</v>
      </c>
      <c r="U1269" s="77" t="s">
        <v>85</v>
      </c>
      <c r="V1269" s="80" t="s">
        <v>325</v>
      </c>
      <c r="X1269" s="77" t="s">
        <v>326</v>
      </c>
      <c r="Y1269" s="78" t="s">
        <v>101</v>
      </c>
      <c r="AA1269" s="77" t="s">
        <v>1568</v>
      </c>
      <c r="AB1269" s="77" t="s">
        <v>1521</v>
      </c>
      <c r="AC1269" s="77" t="s">
        <v>90</v>
      </c>
      <c r="AD1269" s="77" t="s">
        <v>327</v>
      </c>
      <c r="AE1269" s="77" t="s">
        <v>1569</v>
      </c>
    </row>
    <row r="1270" spans="1:31" x14ac:dyDescent="0.3">
      <c r="A1270" s="77" t="s">
        <v>2257</v>
      </c>
      <c r="B1270" s="77" t="s">
        <v>2258</v>
      </c>
      <c r="G1270" s="77" t="s">
        <v>1566</v>
      </c>
      <c r="H1270" s="77" t="s">
        <v>77</v>
      </c>
      <c r="I1270" s="77" t="s">
        <v>1521</v>
      </c>
      <c r="J1270" s="77" t="s">
        <v>79</v>
      </c>
      <c r="K1270" s="77" t="s">
        <v>1522</v>
      </c>
      <c r="L1270" s="77" t="s">
        <v>2259</v>
      </c>
      <c r="M1270" s="77" t="s">
        <v>82</v>
      </c>
      <c r="N1270" s="77" t="s">
        <v>83</v>
      </c>
      <c r="Q1270" s="77" t="s">
        <v>111</v>
      </c>
      <c r="T1270" s="77" t="s">
        <v>1666</v>
      </c>
      <c r="U1270" s="77" t="s">
        <v>85</v>
      </c>
      <c r="V1270" s="80" t="s">
        <v>325</v>
      </c>
      <c r="X1270" s="77" t="s">
        <v>326</v>
      </c>
      <c r="Y1270" s="78" t="s">
        <v>101</v>
      </c>
      <c r="AA1270" s="77" t="s">
        <v>1568</v>
      </c>
      <c r="AB1270" s="77" t="s">
        <v>1521</v>
      </c>
      <c r="AC1270" s="77" t="s">
        <v>90</v>
      </c>
      <c r="AD1270" s="77" t="s">
        <v>327</v>
      </c>
      <c r="AE1270" s="77" t="s">
        <v>1569</v>
      </c>
    </row>
    <row r="1271" spans="1:31" x14ac:dyDescent="0.3">
      <c r="A1271" s="77" t="s">
        <v>2260</v>
      </c>
      <c r="B1271" s="77" t="s">
        <v>2261</v>
      </c>
      <c r="G1271" s="77" t="s">
        <v>1566</v>
      </c>
      <c r="H1271" s="77" t="s">
        <v>77</v>
      </c>
      <c r="I1271" s="77" t="s">
        <v>1521</v>
      </c>
      <c r="J1271" s="77" t="s">
        <v>79</v>
      </c>
      <c r="K1271" s="77" t="s">
        <v>1522</v>
      </c>
      <c r="L1271" s="77" t="s">
        <v>2262</v>
      </c>
      <c r="M1271" s="77" t="s">
        <v>82</v>
      </c>
      <c r="N1271" s="77" t="s">
        <v>83</v>
      </c>
      <c r="Q1271" s="77" t="s">
        <v>111</v>
      </c>
      <c r="T1271" s="77" t="s">
        <v>1666</v>
      </c>
      <c r="U1271" s="77" t="s">
        <v>85</v>
      </c>
      <c r="V1271" s="80" t="s">
        <v>325</v>
      </c>
      <c r="X1271" s="77" t="s">
        <v>326</v>
      </c>
      <c r="Y1271" s="78" t="s">
        <v>101</v>
      </c>
      <c r="AA1271" s="77" t="s">
        <v>1568</v>
      </c>
      <c r="AB1271" s="77" t="s">
        <v>1521</v>
      </c>
      <c r="AC1271" s="77" t="s">
        <v>90</v>
      </c>
      <c r="AD1271" s="77" t="s">
        <v>327</v>
      </c>
      <c r="AE1271" s="77" t="s">
        <v>1569</v>
      </c>
    </row>
    <row r="1272" spans="1:31" x14ac:dyDescent="0.3">
      <c r="A1272" s="77" t="s">
        <v>2263</v>
      </c>
      <c r="B1272" s="77" t="s">
        <v>2264</v>
      </c>
      <c r="G1272" s="77" t="s">
        <v>1566</v>
      </c>
      <c r="H1272" s="77" t="s">
        <v>77</v>
      </c>
      <c r="I1272" s="77" t="s">
        <v>1521</v>
      </c>
      <c r="J1272" s="77" t="s">
        <v>79</v>
      </c>
      <c r="K1272" s="77" t="s">
        <v>1522</v>
      </c>
      <c r="L1272" s="77" t="s">
        <v>2265</v>
      </c>
      <c r="M1272" s="77" t="s">
        <v>82</v>
      </c>
      <c r="N1272" s="77" t="s">
        <v>83</v>
      </c>
      <c r="Q1272" s="77" t="s">
        <v>111</v>
      </c>
      <c r="T1272" s="77" t="s">
        <v>1666</v>
      </c>
      <c r="U1272" s="77" t="s">
        <v>85</v>
      </c>
      <c r="V1272" s="80" t="s">
        <v>325</v>
      </c>
      <c r="X1272" s="77" t="s">
        <v>326</v>
      </c>
      <c r="Y1272" s="78" t="s">
        <v>101</v>
      </c>
      <c r="AA1272" s="77" t="s">
        <v>1568</v>
      </c>
      <c r="AB1272" s="77" t="s">
        <v>1521</v>
      </c>
      <c r="AC1272" s="77" t="s">
        <v>90</v>
      </c>
      <c r="AD1272" s="77" t="s">
        <v>327</v>
      </c>
      <c r="AE1272" s="77" t="s">
        <v>1569</v>
      </c>
    </row>
    <row r="1273" spans="1:31" x14ac:dyDescent="0.3">
      <c r="A1273" s="77" t="s">
        <v>2266</v>
      </c>
      <c r="B1273" s="77" t="s">
        <v>2267</v>
      </c>
      <c r="G1273" s="77" t="s">
        <v>1566</v>
      </c>
      <c r="H1273" s="77" t="s">
        <v>77</v>
      </c>
      <c r="I1273" s="77" t="s">
        <v>1521</v>
      </c>
      <c r="J1273" s="77" t="s">
        <v>79</v>
      </c>
      <c r="K1273" s="77" t="s">
        <v>1522</v>
      </c>
      <c r="L1273" s="77" t="s">
        <v>2244</v>
      </c>
      <c r="M1273" s="77" t="s">
        <v>82</v>
      </c>
      <c r="N1273" s="77" t="s">
        <v>83</v>
      </c>
      <c r="Q1273" s="77" t="s">
        <v>111</v>
      </c>
      <c r="T1273" s="77" t="s">
        <v>1666</v>
      </c>
      <c r="U1273" s="77" t="s">
        <v>85</v>
      </c>
      <c r="V1273" s="80" t="s">
        <v>325</v>
      </c>
      <c r="X1273" s="77" t="s">
        <v>326</v>
      </c>
      <c r="Y1273" s="78" t="s">
        <v>101</v>
      </c>
      <c r="AA1273" s="77" t="s">
        <v>1568</v>
      </c>
      <c r="AB1273" s="77" t="s">
        <v>1521</v>
      </c>
      <c r="AC1273" s="77" t="s">
        <v>90</v>
      </c>
      <c r="AD1273" s="77" t="s">
        <v>327</v>
      </c>
      <c r="AE1273" s="77" t="s">
        <v>1569</v>
      </c>
    </row>
    <row r="1274" spans="1:31" x14ac:dyDescent="0.3">
      <c r="A1274" s="77" t="s">
        <v>2268</v>
      </c>
      <c r="B1274" s="77" t="s">
        <v>2269</v>
      </c>
      <c r="G1274" s="77" t="s">
        <v>1566</v>
      </c>
      <c r="H1274" s="77" t="s">
        <v>77</v>
      </c>
      <c r="I1274" s="77" t="s">
        <v>1521</v>
      </c>
      <c r="J1274" s="77" t="s">
        <v>79</v>
      </c>
      <c r="K1274" s="77" t="s">
        <v>1522</v>
      </c>
      <c r="L1274" s="77" t="s">
        <v>2247</v>
      </c>
      <c r="M1274" s="77" t="s">
        <v>82</v>
      </c>
      <c r="N1274" s="77" t="s">
        <v>83</v>
      </c>
      <c r="Q1274" s="77" t="s">
        <v>111</v>
      </c>
      <c r="T1274" s="77" t="s">
        <v>1666</v>
      </c>
      <c r="U1274" s="77" t="s">
        <v>85</v>
      </c>
      <c r="V1274" s="80" t="s">
        <v>325</v>
      </c>
      <c r="X1274" s="77" t="s">
        <v>326</v>
      </c>
      <c r="Y1274" s="78" t="s">
        <v>101</v>
      </c>
      <c r="AA1274" s="77" t="s">
        <v>1568</v>
      </c>
      <c r="AB1274" s="77" t="s">
        <v>1521</v>
      </c>
      <c r="AC1274" s="77" t="s">
        <v>90</v>
      </c>
      <c r="AD1274" s="77" t="s">
        <v>327</v>
      </c>
      <c r="AE1274" s="77" t="s">
        <v>1569</v>
      </c>
    </row>
    <row r="1275" spans="1:31" x14ac:dyDescent="0.3">
      <c r="A1275" s="77" t="s">
        <v>2270</v>
      </c>
      <c r="B1275" s="77" t="s">
        <v>2271</v>
      </c>
      <c r="G1275" s="77" t="s">
        <v>1566</v>
      </c>
      <c r="H1275" s="77" t="s">
        <v>77</v>
      </c>
      <c r="I1275" s="77" t="s">
        <v>1521</v>
      </c>
      <c r="J1275" s="77" t="s">
        <v>79</v>
      </c>
      <c r="K1275" s="77" t="s">
        <v>1522</v>
      </c>
      <c r="L1275" s="77" t="s">
        <v>2250</v>
      </c>
      <c r="M1275" s="77" t="s">
        <v>82</v>
      </c>
      <c r="N1275" s="77" t="s">
        <v>83</v>
      </c>
      <c r="Q1275" s="77" t="s">
        <v>111</v>
      </c>
      <c r="T1275" s="77" t="s">
        <v>1666</v>
      </c>
      <c r="U1275" s="77" t="s">
        <v>85</v>
      </c>
      <c r="V1275" s="80" t="s">
        <v>325</v>
      </c>
      <c r="X1275" s="77" t="s">
        <v>326</v>
      </c>
      <c r="Y1275" s="78" t="s">
        <v>101</v>
      </c>
      <c r="AA1275" s="77" t="s">
        <v>1568</v>
      </c>
      <c r="AB1275" s="77" t="s">
        <v>1521</v>
      </c>
      <c r="AC1275" s="77" t="s">
        <v>90</v>
      </c>
      <c r="AD1275" s="77" t="s">
        <v>327</v>
      </c>
      <c r="AE1275" s="77" t="s">
        <v>1569</v>
      </c>
    </row>
    <row r="1276" spans="1:31" x14ac:dyDescent="0.3">
      <c r="A1276" s="77" t="s">
        <v>2272</v>
      </c>
      <c r="B1276" s="77" t="s">
        <v>2273</v>
      </c>
      <c r="G1276" s="77" t="s">
        <v>1566</v>
      </c>
      <c r="H1276" s="77" t="s">
        <v>77</v>
      </c>
      <c r="I1276" s="77" t="s">
        <v>1521</v>
      </c>
      <c r="J1276" s="77" t="s">
        <v>79</v>
      </c>
      <c r="K1276" s="77" t="s">
        <v>1522</v>
      </c>
      <c r="L1276" s="77" t="s">
        <v>2253</v>
      </c>
      <c r="M1276" s="77" t="s">
        <v>82</v>
      </c>
      <c r="N1276" s="77" t="s">
        <v>83</v>
      </c>
      <c r="Q1276" s="77" t="s">
        <v>111</v>
      </c>
      <c r="T1276" s="77" t="s">
        <v>1666</v>
      </c>
      <c r="U1276" s="77" t="s">
        <v>85</v>
      </c>
      <c r="V1276" s="80" t="s">
        <v>325</v>
      </c>
      <c r="X1276" s="77" t="s">
        <v>326</v>
      </c>
      <c r="Y1276" s="78" t="s">
        <v>101</v>
      </c>
      <c r="AA1276" s="77" t="s">
        <v>1568</v>
      </c>
      <c r="AB1276" s="77" t="s">
        <v>1521</v>
      </c>
      <c r="AC1276" s="77" t="s">
        <v>90</v>
      </c>
      <c r="AD1276" s="77" t="s">
        <v>327</v>
      </c>
      <c r="AE1276" s="77" t="s">
        <v>1569</v>
      </c>
    </row>
    <row r="1277" spans="1:31" x14ac:dyDescent="0.3">
      <c r="A1277" s="77" t="s">
        <v>2274</v>
      </c>
      <c r="B1277" s="77" t="s">
        <v>2275</v>
      </c>
      <c r="G1277" s="77" t="s">
        <v>1566</v>
      </c>
      <c r="H1277" s="77" t="s">
        <v>77</v>
      </c>
      <c r="I1277" s="77" t="s">
        <v>1521</v>
      </c>
      <c r="J1277" s="77" t="s">
        <v>79</v>
      </c>
      <c r="K1277" s="77" t="s">
        <v>1522</v>
      </c>
      <c r="L1277" s="77" t="s">
        <v>2256</v>
      </c>
      <c r="M1277" s="77" t="s">
        <v>82</v>
      </c>
      <c r="N1277" s="77" t="s">
        <v>83</v>
      </c>
      <c r="Q1277" s="77" t="s">
        <v>111</v>
      </c>
      <c r="T1277" s="77" t="s">
        <v>1666</v>
      </c>
      <c r="U1277" s="77" t="s">
        <v>85</v>
      </c>
      <c r="V1277" s="80" t="s">
        <v>325</v>
      </c>
      <c r="X1277" s="77" t="s">
        <v>326</v>
      </c>
      <c r="Y1277" s="78" t="s">
        <v>101</v>
      </c>
      <c r="AA1277" s="77" t="s">
        <v>1568</v>
      </c>
      <c r="AB1277" s="77" t="s">
        <v>1521</v>
      </c>
      <c r="AC1277" s="77" t="s">
        <v>90</v>
      </c>
      <c r="AD1277" s="77" t="s">
        <v>327</v>
      </c>
      <c r="AE1277" s="77" t="s">
        <v>1569</v>
      </c>
    </row>
    <row r="1278" spans="1:31" x14ac:dyDescent="0.3">
      <c r="A1278" s="77" t="s">
        <v>2276</v>
      </c>
      <c r="B1278" s="77" t="s">
        <v>2277</v>
      </c>
      <c r="G1278" s="77" t="s">
        <v>1566</v>
      </c>
      <c r="H1278" s="77" t="s">
        <v>77</v>
      </c>
      <c r="I1278" s="77" t="s">
        <v>1521</v>
      </c>
      <c r="J1278" s="77" t="s">
        <v>79</v>
      </c>
      <c r="K1278" s="77" t="s">
        <v>1522</v>
      </c>
      <c r="L1278" s="77" t="s">
        <v>2259</v>
      </c>
      <c r="M1278" s="77" t="s">
        <v>82</v>
      </c>
      <c r="N1278" s="77" t="s">
        <v>83</v>
      </c>
      <c r="Q1278" s="77" t="s">
        <v>111</v>
      </c>
      <c r="T1278" s="77" t="s">
        <v>1666</v>
      </c>
      <c r="U1278" s="77" t="s">
        <v>85</v>
      </c>
      <c r="V1278" s="80" t="s">
        <v>325</v>
      </c>
      <c r="X1278" s="77" t="s">
        <v>326</v>
      </c>
      <c r="Y1278" s="78" t="s">
        <v>101</v>
      </c>
      <c r="AA1278" s="77" t="s">
        <v>1568</v>
      </c>
      <c r="AB1278" s="77" t="s">
        <v>1521</v>
      </c>
      <c r="AC1278" s="77" t="s">
        <v>90</v>
      </c>
      <c r="AD1278" s="77" t="s">
        <v>327</v>
      </c>
      <c r="AE1278" s="77" t="s">
        <v>1569</v>
      </c>
    </row>
    <row r="1279" spans="1:31" x14ac:dyDescent="0.3">
      <c r="A1279" s="77" t="s">
        <v>2278</v>
      </c>
      <c r="B1279" s="77" t="s">
        <v>2279</v>
      </c>
      <c r="G1279" s="77" t="s">
        <v>1566</v>
      </c>
      <c r="H1279" s="77" t="s">
        <v>77</v>
      </c>
      <c r="I1279" s="77" t="s">
        <v>1521</v>
      </c>
      <c r="J1279" s="77" t="s">
        <v>79</v>
      </c>
      <c r="K1279" s="77" t="s">
        <v>1522</v>
      </c>
      <c r="L1279" s="77" t="s">
        <v>2262</v>
      </c>
      <c r="M1279" s="77" t="s">
        <v>82</v>
      </c>
      <c r="N1279" s="77" t="s">
        <v>83</v>
      </c>
      <c r="Q1279" s="77" t="s">
        <v>111</v>
      </c>
      <c r="T1279" s="77" t="s">
        <v>1666</v>
      </c>
      <c r="U1279" s="77" t="s">
        <v>85</v>
      </c>
      <c r="V1279" s="80" t="s">
        <v>325</v>
      </c>
      <c r="X1279" s="77" t="s">
        <v>326</v>
      </c>
      <c r="Y1279" s="78" t="s">
        <v>101</v>
      </c>
      <c r="AA1279" s="77" t="s">
        <v>1568</v>
      </c>
      <c r="AB1279" s="77" t="s">
        <v>1521</v>
      </c>
      <c r="AC1279" s="77" t="s">
        <v>90</v>
      </c>
      <c r="AD1279" s="77" t="s">
        <v>327</v>
      </c>
      <c r="AE1279" s="77" t="s">
        <v>1569</v>
      </c>
    </row>
    <row r="1280" spans="1:31" x14ac:dyDescent="0.3">
      <c r="A1280" s="77" t="s">
        <v>2280</v>
      </c>
      <c r="B1280" s="77" t="s">
        <v>2281</v>
      </c>
      <c r="G1280" s="77" t="s">
        <v>1566</v>
      </c>
      <c r="H1280" s="77" t="s">
        <v>77</v>
      </c>
      <c r="I1280" s="77" t="s">
        <v>1521</v>
      </c>
      <c r="J1280" s="77" t="s">
        <v>79</v>
      </c>
      <c r="K1280" s="77" t="s">
        <v>1522</v>
      </c>
      <c r="L1280" s="77" t="s">
        <v>2282</v>
      </c>
      <c r="M1280" s="77" t="s">
        <v>82</v>
      </c>
      <c r="N1280" s="77" t="s">
        <v>83</v>
      </c>
      <c r="Q1280" s="77" t="s">
        <v>111</v>
      </c>
      <c r="T1280" s="77" t="s">
        <v>1666</v>
      </c>
      <c r="U1280" s="77" t="s">
        <v>85</v>
      </c>
      <c r="V1280" s="80" t="s">
        <v>859</v>
      </c>
      <c r="X1280" s="77" t="s">
        <v>860</v>
      </c>
      <c r="Y1280" s="78" t="s">
        <v>88</v>
      </c>
      <c r="AA1280" s="77" t="s">
        <v>1568</v>
      </c>
      <c r="AB1280" s="77" t="s">
        <v>1521</v>
      </c>
      <c r="AC1280" s="77" t="s">
        <v>90</v>
      </c>
      <c r="AD1280" s="77" t="s">
        <v>91</v>
      </c>
      <c r="AE1280" s="77" t="s">
        <v>1569</v>
      </c>
    </row>
    <row r="1281" spans="1:33" x14ac:dyDescent="0.3">
      <c r="A1281" s="77" t="s">
        <v>2283</v>
      </c>
      <c r="B1281" s="77" t="s">
        <v>2284</v>
      </c>
      <c r="G1281" s="77" t="s">
        <v>1566</v>
      </c>
      <c r="H1281" s="77" t="s">
        <v>77</v>
      </c>
      <c r="I1281" s="77" t="s">
        <v>1521</v>
      </c>
      <c r="J1281" s="77" t="s">
        <v>79</v>
      </c>
      <c r="K1281" s="77" t="s">
        <v>1522</v>
      </c>
      <c r="L1281" s="77" t="s">
        <v>2285</v>
      </c>
      <c r="M1281" s="77" t="s">
        <v>82</v>
      </c>
      <c r="N1281" s="77" t="s">
        <v>83</v>
      </c>
      <c r="Q1281" s="77" t="s">
        <v>111</v>
      </c>
      <c r="T1281" s="77" t="s">
        <v>1666</v>
      </c>
      <c r="U1281" s="77" t="s">
        <v>85</v>
      </c>
      <c r="V1281" s="80" t="s">
        <v>864</v>
      </c>
      <c r="X1281" s="77" t="s">
        <v>865</v>
      </c>
      <c r="Y1281" s="78" t="s">
        <v>88</v>
      </c>
      <c r="AA1281" s="77" t="s">
        <v>1568</v>
      </c>
      <c r="AB1281" s="77" t="s">
        <v>1521</v>
      </c>
      <c r="AC1281" s="77" t="s">
        <v>90</v>
      </c>
      <c r="AD1281" s="77" t="s">
        <v>91</v>
      </c>
      <c r="AE1281" s="77" t="s">
        <v>1569</v>
      </c>
    </row>
    <row r="1282" spans="1:33" x14ac:dyDescent="0.3">
      <c r="A1282" s="77" t="s">
        <v>2286</v>
      </c>
      <c r="B1282" s="77" t="s">
        <v>2287</v>
      </c>
      <c r="G1282" s="77" t="s">
        <v>1566</v>
      </c>
      <c r="H1282" s="77" t="s">
        <v>77</v>
      </c>
      <c r="I1282" s="77" t="s">
        <v>1521</v>
      </c>
      <c r="J1282" s="77" t="s">
        <v>79</v>
      </c>
      <c r="K1282" s="77" t="s">
        <v>1522</v>
      </c>
      <c r="L1282" s="77" t="s">
        <v>2288</v>
      </c>
      <c r="M1282" s="77" t="s">
        <v>82</v>
      </c>
      <c r="N1282" s="77" t="s">
        <v>83</v>
      </c>
      <c r="Q1282" s="77" t="s">
        <v>111</v>
      </c>
      <c r="T1282" s="77" t="s">
        <v>1666</v>
      </c>
      <c r="U1282" s="77" t="s">
        <v>85</v>
      </c>
      <c r="V1282" s="80" t="s">
        <v>869</v>
      </c>
      <c r="X1282" s="77" t="s">
        <v>870</v>
      </c>
      <c r="Y1282" s="78" t="s">
        <v>101</v>
      </c>
      <c r="AA1282" s="77" t="s">
        <v>1568</v>
      </c>
      <c r="AB1282" s="77" t="s">
        <v>1521</v>
      </c>
      <c r="AC1282" s="77" t="s">
        <v>90</v>
      </c>
      <c r="AD1282" s="77" t="s">
        <v>102</v>
      </c>
      <c r="AE1282" s="77" t="s">
        <v>1569</v>
      </c>
    </row>
    <row r="1283" spans="1:33" x14ac:dyDescent="0.3">
      <c r="A1283" s="77" t="s">
        <v>2289</v>
      </c>
      <c r="B1283" s="77" t="s">
        <v>2290</v>
      </c>
      <c r="G1283" s="77" t="s">
        <v>1566</v>
      </c>
      <c r="H1283" s="77" t="s">
        <v>77</v>
      </c>
      <c r="I1283" s="77" t="s">
        <v>1521</v>
      </c>
      <c r="J1283" s="77" t="s">
        <v>79</v>
      </c>
      <c r="K1283" s="77" t="s">
        <v>1522</v>
      </c>
      <c r="L1283" s="77" t="s">
        <v>2291</v>
      </c>
      <c r="M1283" s="77" t="s">
        <v>82</v>
      </c>
      <c r="N1283" s="77" t="s">
        <v>83</v>
      </c>
      <c r="Q1283" s="77" t="s">
        <v>111</v>
      </c>
      <c r="T1283" s="77" t="s">
        <v>1666</v>
      </c>
      <c r="U1283" s="77" t="s">
        <v>85</v>
      </c>
      <c r="V1283" s="80" t="s">
        <v>874</v>
      </c>
      <c r="X1283" s="77" t="s">
        <v>875</v>
      </c>
      <c r="Y1283" s="78" t="s">
        <v>101</v>
      </c>
      <c r="AA1283" s="77" t="s">
        <v>1568</v>
      </c>
      <c r="AB1283" s="77" t="s">
        <v>1521</v>
      </c>
      <c r="AC1283" s="77" t="s">
        <v>90</v>
      </c>
      <c r="AD1283" s="77" t="s">
        <v>102</v>
      </c>
      <c r="AE1283" s="77" t="s">
        <v>1569</v>
      </c>
    </row>
    <row r="1284" spans="1:33" x14ac:dyDescent="0.3">
      <c r="A1284" s="77" t="s">
        <v>2292</v>
      </c>
      <c r="B1284" s="77" t="s">
        <v>2293</v>
      </c>
      <c r="G1284" s="77" t="s">
        <v>1566</v>
      </c>
      <c r="H1284" s="77" t="s">
        <v>77</v>
      </c>
      <c r="I1284" s="77" t="s">
        <v>1521</v>
      </c>
      <c r="J1284" s="77" t="s">
        <v>79</v>
      </c>
      <c r="K1284" s="77" t="s">
        <v>1522</v>
      </c>
      <c r="L1284" s="77" t="s">
        <v>2294</v>
      </c>
      <c r="M1284" s="77" t="s">
        <v>82</v>
      </c>
      <c r="N1284" s="77" t="s">
        <v>83</v>
      </c>
      <c r="Q1284" s="77" t="s">
        <v>111</v>
      </c>
      <c r="T1284" s="77" t="s">
        <v>1666</v>
      </c>
      <c r="U1284" s="77" t="s">
        <v>85</v>
      </c>
      <c r="V1284" s="80" t="s">
        <v>86</v>
      </c>
      <c r="X1284" s="77" t="s">
        <v>87</v>
      </c>
      <c r="Y1284" s="78" t="s">
        <v>88</v>
      </c>
      <c r="AA1284" s="77" t="s">
        <v>1568</v>
      </c>
      <c r="AB1284" s="77" t="s">
        <v>1521</v>
      </c>
      <c r="AC1284" s="77" t="s">
        <v>90</v>
      </c>
      <c r="AD1284" s="77" t="s">
        <v>91</v>
      </c>
      <c r="AE1284" s="77" t="s">
        <v>1569</v>
      </c>
    </row>
    <row r="1285" spans="1:33" x14ac:dyDescent="0.3">
      <c r="A1285" s="77" t="s">
        <v>2295</v>
      </c>
      <c r="B1285" s="77" t="s">
        <v>2296</v>
      </c>
      <c r="G1285" s="77" t="s">
        <v>1566</v>
      </c>
      <c r="H1285" s="77" t="s">
        <v>77</v>
      </c>
      <c r="I1285" s="77" t="s">
        <v>1521</v>
      </c>
      <c r="J1285" s="77" t="s">
        <v>79</v>
      </c>
      <c r="K1285" s="77" t="s">
        <v>1522</v>
      </c>
      <c r="L1285" s="77" t="s">
        <v>2294</v>
      </c>
      <c r="M1285" s="77" t="s">
        <v>82</v>
      </c>
      <c r="N1285" s="77" t="s">
        <v>83</v>
      </c>
      <c r="Q1285" s="77" t="s">
        <v>111</v>
      </c>
      <c r="T1285" s="77" t="s">
        <v>1666</v>
      </c>
      <c r="U1285" s="77" t="s">
        <v>85</v>
      </c>
      <c r="V1285" s="80" t="s">
        <v>86</v>
      </c>
      <c r="X1285" s="77" t="s">
        <v>87</v>
      </c>
      <c r="Y1285" s="78" t="s">
        <v>88</v>
      </c>
      <c r="AA1285" s="77" t="s">
        <v>1568</v>
      </c>
      <c r="AB1285" s="77" t="s">
        <v>1521</v>
      </c>
      <c r="AC1285" s="77" t="s">
        <v>90</v>
      </c>
      <c r="AD1285" s="77" t="s">
        <v>91</v>
      </c>
      <c r="AE1285" s="77" t="s">
        <v>1569</v>
      </c>
    </row>
    <row r="1286" spans="1:33" x14ac:dyDescent="0.3">
      <c r="A1286" s="77" t="s">
        <v>2297</v>
      </c>
      <c r="B1286" s="77" t="s">
        <v>2298</v>
      </c>
      <c r="G1286" s="77" t="s">
        <v>1566</v>
      </c>
      <c r="H1286" s="77" t="s">
        <v>77</v>
      </c>
      <c r="I1286" s="77" t="s">
        <v>1521</v>
      </c>
      <c r="J1286" s="77" t="s">
        <v>79</v>
      </c>
      <c r="K1286" s="77" t="s">
        <v>1522</v>
      </c>
      <c r="L1286" s="77" t="s">
        <v>2299</v>
      </c>
      <c r="M1286" s="77" t="s">
        <v>82</v>
      </c>
      <c r="N1286" s="77" t="s">
        <v>83</v>
      </c>
      <c r="Q1286" s="77" t="s">
        <v>111</v>
      </c>
      <c r="T1286" s="77" t="s">
        <v>1666</v>
      </c>
      <c r="U1286" s="77" t="s">
        <v>85</v>
      </c>
      <c r="V1286" s="80" t="s">
        <v>86</v>
      </c>
      <c r="X1286" s="77" t="s">
        <v>87</v>
      </c>
      <c r="Y1286" s="78" t="s">
        <v>88</v>
      </c>
      <c r="AA1286" s="77" t="s">
        <v>1568</v>
      </c>
      <c r="AB1286" s="77" t="s">
        <v>1521</v>
      </c>
      <c r="AC1286" s="77" t="s">
        <v>90</v>
      </c>
      <c r="AD1286" s="77" t="s">
        <v>91</v>
      </c>
      <c r="AE1286" s="77" t="s">
        <v>1569</v>
      </c>
    </row>
    <row r="1287" spans="1:33" x14ac:dyDescent="0.3">
      <c r="A1287" s="77" t="s">
        <v>2300</v>
      </c>
      <c r="B1287" s="77" t="s">
        <v>2301</v>
      </c>
      <c r="G1287" s="77" t="s">
        <v>1566</v>
      </c>
      <c r="H1287" s="77" t="s">
        <v>77</v>
      </c>
      <c r="I1287" s="77" t="s">
        <v>1521</v>
      </c>
      <c r="J1287" s="77" t="s">
        <v>79</v>
      </c>
      <c r="K1287" s="77" t="s">
        <v>1522</v>
      </c>
      <c r="L1287" s="77" t="s">
        <v>2302</v>
      </c>
      <c r="M1287" s="77" t="s">
        <v>82</v>
      </c>
      <c r="N1287" s="77" t="s">
        <v>83</v>
      </c>
      <c r="Q1287" s="77" t="s">
        <v>111</v>
      </c>
      <c r="T1287" s="77" t="s">
        <v>1666</v>
      </c>
      <c r="U1287" s="77" t="s">
        <v>85</v>
      </c>
      <c r="V1287" s="80" t="s">
        <v>95</v>
      </c>
      <c r="X1287" s="77" t="s">
        <v>96</v>
      </c>
      <c r="Y1287" s="78" t="s">
        <v>88</v>
      </c>
      <c r="AA1287" s="77" t="s">
        <v>1568</v>
      </c>
      <c r="AB1287" s="77" t="s">
        <v>1521</v>
      </c>
      <c r="AC1287" s="77" t="s">
        <v>90</v>
      </c>
      <c r="AD1287" s="77" t="s">
        <v>91</v>
      </c>
      <c r="AE1287" s="77" t="s">
        <v>1569</v>
      </c>
    </row>
    <row r="1288" spans="1:33" x14ac:dyDescent="0.3">
      <c r="A1288" s="77" t="s">
        <v>2303</v>
      </c>
      <c r="B1288" s="77" t="s">
        <v>2304</v>
      </c>
      <c r="G1288" s="77" t="s">
        <v>1566</v>
      </c>
      <c r="H1288" s="77" t="s">
        <v>77</v>
      </c>
      <c r="I1288" s="77" t="s">
        <v>1521</v>
      </c>
      <c r="J1288" s="77" t="s">
        <v>79</v>
      </c>
      <c r="K1288" s="77" t="s">
        <v>1522</v>
      </c>
      <c r="L1288" s="77" t="s">
        <v>2302</v>
      </c>
      <c r="M1288" s="77" t="s">
        <v>82</v>
      </c>
      <c r="N1288" s="77" t="s">
        <v>83</v>
      </c>
      <c r="Q1288" s="77" t="s">
        <v>111</v>
      </c>
      <c r="T1288" s="77" t="s">
        <v>1666</v>
      </c>
      <c r="U1288" s="77" t="s">
        <v>85</v>
      </c>
      <c r="V1288" s="80" t="s">
        <v>95</v>
      </c>
      <c r="X1288" s="77" t="s">
        <v>96</v>
      </c>
      <c r="Y1288" s="78" t="s">
        <v>88</v>
      </c>
      <c r="AA1288" s="77" t="s">
        <v>1568</v>
      </c>
      <c r="AB1288" s="77" t="s">
        <v>1521</v>
      </c>
      <c r="AC1288" s="77" t="s">
        <v>90</v>
      </c>
      <c r="AD1288" s="77" t="s">
        <v>91</v>
      </c>
      <c r="AE1288" s="77" t="s">
        <v>1569</v>
      </c>
    </row>
    <row r="1289" spans="1:33" x14ac:dyDescent="0.3">
      <c r="A1289" s="77" t="s">
        <v>2305</v>
      </c>
      <c r="B1289" s="77" t="s">
        <v>2306</v>
      </c>
      <c r="G1289" s="77" t="s">
        <v>1566</v>
      </c>
      <c r="H1289" s="77" t="s">
        <v>77</v>
      </c>
      <c r="I1289" s="77" t="s">
        <v>1521</v>
      </c>
      <c r="J1289" s="77" t="s">
        <v>79</v>
      </c>
      <c r="K1289" s="77" t="s">
        <v>1522</v>
      </c>
      <c r="L1289" s="77" t="s">
        <v>2307</v>
      </c>
      <c r="M1289" s="77" t="s">
        <v>82</v>
      </c>
      <c r="N1289" s="77" t="s">
        <v>83</v>
      </c>
      <c r="Q1289" s="77" t="s">
        <v>111</v>
      </c>
      <c r="T1289" s="77" t="s">
        <v>1666</v>
      </c>
      <c r="U1289" s="77" t="s">
        <v>85</v>
      </c>
      <c r="V1289" s="80" t="s">
        <v>95</v>
      </c>
      <c r="X1289" s="77" t="s">
        <v>96</v>
      </c>
      <c r="Y1289" s="78" t="s">
        <v>88</v>
      </c>
      <c r="AA1289" s="77" t="s">
        <v>1568</v>
      </c>
      <c r="AB1289" s="77" t="s">
        <v>1521</v>
      </c>
      <c r="AC1289" s="77" t="s">
        <v>90</v>
      </c>
      <c r="AD1289" s="77" t="s">
        <v>91</v>
      </c>
      <c r="AE1289" s="77" t="s">
        <v>1569</v>
      </c>
    </row>
    <row r="1290" spans="1:33" x14ac:dyDescent="0.3">
      <c r="A1290" s="77" t="s">
        <v>2308</v>
      </c>
      <c r="B1290" s="77" t="s">
        <v>2309</v>
      </c>
      <c r="G1290" s="77" t="s">
        <v>1566</v>
      </c>
      <c r="H1290" s="77" t="s">
        <v>77</v>
      </c>
      <c r="I1290" s="77" t="s">
        <v>1521</v>
      </c>
      <c r="J1290" s="77" t="s">
        <v>79</v>
      </c>
      <c r="K1290" s="77" t="s">
        <v>1522</v>
      </c>
      <c r="L1290" s="77" t="s">
        <v>2310</v>
      </c>
      <c r="M1290" s="77" t="s">
        <v>82</v>
      </c>
      <c r="N1290" s="77" t="s">
        <v>83</v>
      </c>
      <c r="Q1290" s="77" t="s">
        <v>111</v>
      </c>
      <c r="T1290" s="77" t="s">
        <v>1666</v>
      </c>
      <c r="U1290" s="77" t="s">
        <v>85</v>
      </c>
      <c r="V1290" s="80" t="s">
        <v>99</v>
      </c>
      <c r="X1290" s="77" t="s">
        <v>100</v>
      </c>
      <c r="Y1290" s="78" t="s">
        <v>101</v>
      </c>
      <c r="AA1290" s="77" t="s">
        <v>1568</v>
      </c>
      <c r="AB1290" s="77" t="s">
        <v>1521</v>
      </c>
      <c r="AC1290" s="77" t="s">
        <v>90</v>
      </c>
      <c r="AD1290" s="77" t="s">
        <v>102</v>
      </c>
      <c r="AE1290" s="77" t="s">
        <v>1569</v>
      </c>
    </row>
    <row r="1291" spans="1:33" x14ac:dyDescent="0.3">
      <c r="A1291" s="77" t="s">
        <v>2311</v>
      </c>
      <c r="B1291" s="77" t="s">
        <v>2312</v>
      </c>
      <c r="G1291" s="77" t="s">
        <v>1566</v>
      </c>
      <c r="H1291" s="77" t="s">
        <v>77</v>
      </c>
      <c r="I1291" s="77" t="s">
        <v>1521</v>
      </c>
      <c r="J1291" s="77" t="s">
        <v>79</v>
      </c>
      <c r="K1291" s="77" t="s">
        <v>1522</v>
      </c>
      <c r="L1291" s="77" t="s">
        <v>2310</v>
      </c>
      <c r="M1291" s="77" t="s">
        <v>82</v>
      </c>
      <c r="N1291" s="77" t="s">
        <v>83</v>
      </c>
      <c r="Q1291" s="77" t="s">
        <v>111</v>
      </c>
      <c r="T1291" s="77" t="s">
        <v>1666</v>
      </c>
      <c r="U1291" s="77" t="s">
        <v>85</v>
      </c>
      <c r="V1291" s="80" t="s">
        <v>99</v>
      </c>
      <c r="X1291" s="77" t="s">
        <v>100</v>
      </c>
      <c r="Y1291" s="78" t="s">
        <v>101</v>
      </c>
      <c r="AA1291" s="77" t="s">
        <v>1568</v>
      </c>
      <c r="AB1291" s="77" t="s">
        <v>1521</v>
      </c>
      <c r="AC1291" s="77" t="s">
        <v>90</v>
      </c>
      <c r="AD1291" s="77" t="s">
        <v>102</v>
      </c>
      <c r="AE1291" s="77" t="s">
        <v>1569</v>
      </c>
    </row>
    <row r="1292" spans="1:33" x14ac:dyDescent="0.3">
      <c r="A1292" s="77" t="s">
        <v>2313</v>
      </c>
      <c r="B1292" s="77" t="s">
        <v>2314</v>
      </c>
      <c r="G1292" s="77" t="s">
        <v>1566</v>
      </c>
      <c r="H1292" s="77" t="s">
        <v>77</v>
      </c>
      <c r="I1292" s="77" t="s">
        <v>1521</v>
      </c>
      <c r="J1292" s="77" t="s">
        <v>79</v>
      </c>
      <c r="K1292" s="77" t="s">
        <v>1522</v>
      </c>
      <c r="L1292" s="77" t="s">
        <v>2315</v>
      </c>
      <c r="M1292" s="77" t="s">
        <v>82</v>
      </c>
      <c r="N1292" s="77" t="s">
        <v>83</v>
      </c>
      <c r="Q1292" s="77" t="s">
        <v>111</v>
      </c>
      <c r="T1292" s="77" t="s">
        <v>1666</v>
      </c>
      <c r="U1292" s="77" t="s">
        <v>85</v>
      </c>
      <c r="V1292" s="80" t="s">
        <v>99</v>
      </c>
      <c r="X1292" s="77" t="s">
        <v>100</v>
      </c>
      <c r="Y1292" s="78" t="s">
        <v>101</v>
      </c>
      <c r="AA1292" s="77" t="s">
        <v>1568</v>
      </c>
      <c r="AB1292" s="77" t="s">
        <v>1521</v>
      </c>
      <c r="AC1292" s="77" t="s">
        <v>90</v>
      </c>
      <c r="AD1292" s="77" t="s">
        <v>102</v>
      </c>
      <c r="AE1292" s="77" t="s">
        <v>1569</v>
      </c>
    </row>
    <row r="1293" spans="1:33" x14ac:dyDescent="0.3">
      <c r="A1293" s="77" t="s">
        <v>2316</v>
      </c>
      <c r="B1293" s="77" t="s">
        <v>2317</v>
      </c>
      <c r="G1293" s="77" t="s">
        <v>1566</v>
      </c>
      <c r="H1293" s="77" t="s">
        <v>77</v>
      </c>
      <c r="I1293" s="77" t="s">
        <v>1521</v>
      </c>
      <c r="J1293" s="77" t="s">
        <v>79</v>
      </c>
      <c r="K1293" s="77" t="s">
        <v>1522</v>
      </c>
      <c r="L1293" s="77" t="s">
        <v>2318</v>
      </c>
      <c r="M1293" s="77" t="s">
        <v>82</v>
      </c>
      <c r="N1293" s="77" t="s">
        <v>83</v>
      </c>
      <c r="Q1293" s="77" t="s">
        <v>111</v>
      </c>
      <c r="T1293" s="77" t="s">
        <v>1666</v>
      </c>
      <c r="U1293" s="77" t="s">
        <v>85</v>
      </c>
      <c r="V1293" s="80" t="s">
        <v>105</v>
      </c>
      <c r="X1293" s="77" t="s">
        <v>106</v>
      </c>
      <c r="Y1293" s="78" t="s">
        <v>101</v>
      </c>
      <c r="AA1293" s="77" t="s">
        <v>1568</v>
      </c>
      <c r="AB1293" s="77" t="s">
        <v>1521</v>
      </c>
      <c r="AC1293" s="77" t="s">
        <v>90</v>
      </c>
      <c r="AD1293" s="77" t="s">
        <v>102</v>
      </c>
      <c r="AE1293" s="77" t="s">
        <v>1569</v>
      </c>
    </row>
    <row r="1294" spans="1:33" x14ac:dyDescent="0.3">
      <c r="A1294" s="77" t="s">
        <v>2319</v>
      </c>
      <c r="B1294" s="77" t="s">
        <v>2320</v>
      </c>
      <c r="G1294" s="77" t="s">
        <v>1566</v>
      </c>
      <c r="H1294" s="77" t="s">
        <v>77</v>
      </c>
      <c r="I1294" s="77" t="s">
        <v>1521</v>
      </c>
      <c r="J1294" s="77" t="s">
        <v>79</v>
      </c>
      <c r="K1294" s="77" t="s">
        <v>1522</v>
      </c>
      <c r="L1294" s="77" t="s">
        <v>2318</v>
      </c>
      <c r="M1294" s="77" t="s">
        <v>82</v>
      </c>
      <c r="N1294" s="77" t="s">
        <v>83</v>
      </c>
      <c r="Q1294" s="77" t="s">
        <v>111</v>
      </c>
      <c r="T1294" s="77" t="s">
        <v>1666</v>
      </c>
      <c r="U1294" s="77" t="s">
        <v>85</v>
      </c>
      <c r="V1294" s="80" t="s">
        <v>105</v>
      </c>
      <c r="X1294" s="77" t="s">
        <v>106</v>
      </c>
      <c r="Y1294" s="78" t="s">
        <v>101</v>
      </c>
      <c r="AA1294" s="77" t="s">
        <v>1568</v>
      </c>
      <c r="AB1294" s="77" t="s">
        <v>1521</v>
      </c>
      <c r="AC1294" s="77" t="s">
        <v>90</v>
      </c>
      <c r="AD1294" s="77" t="s">
        <v>102</v>
      </c>
      <c r="AE1294" s="77" t="s">
        <v>1569</v>
      </c>
    </row>
    <row r="1295" spans="1:33" x14ac:dyDescent="0.3">
      <c r="A1295" s="77" t="s">
        <v>2321</v>
      </c>
      <c r="B1295" s="77" t="s">
        <v>2322</v>
      </c>
      <c r="G1295" s="77" t="s">
        <v>1566</v>
      </c>
      <c r="H1295" s="77" t="s">
        <v>77</v>
      </c>
      <c r="I1295" s="77" t="s">
        <v>1521</v>
      </c>
      <c r="J1295" s="77" t="s">
        <v>79</v>
      </c>
      <c r="K1295" s="77" t="s">
        <v>1522</v>
      </c>
      <c r="L1295" s="77" t="s">
        <v>2323</v>
      </c>
      <c r="M1295" s="77" t="s">
        <v>82</v>
      </c>
      <c r="N1295" s="77" t="s">
        <v>83</v>
      </c>
      <c r="Q1295" s="77" t="s">
        <v>111</v>
      </c>
      <c r="T1295" s="77" t="s">
        <v>1666</v>
      </c>
      <c r="U1295" s="77" t="s">
        <v>85</v>
      </c>
      <c r="V1295" s="80" t="s">
        <v>105</v>
      </c>
      <c r="X1295" s="77" t="s">
        <v>106</v>
      </c>
      <c r="Y1295" s="78" t="s">
        <v>101</v>
      </c>
      <c r="AA1295" s="77" t="s">
        <v>1568</v>
      </c>
      <c r="AB1295" s="77" t="s">
        <v>1521</v>
      </c>
      <c r="AC1295" s="77" t="s">
        <v>90</v>
      </c>
      <c r="AD1295" s="77" t="s">
        <v>102</v>
      </c>
      <c r="AE1295" s="77" t="s">
        <v>1569</v>
      </c>
    </row>
    <row r="1296" spans="1:33" x14ac:dyDescent="0.3">
      <c r="A1296" s="77" t="s">
        <v>2324</v>
      </c>
      <c r="B1296" s="77" t="s">
        <v>2325</v>
      </c>
      <c r="G1296" s="77" t="s">
        <v>1566</v>
      </c>
      <c r="H1296" s="77" t="s">
        <v>77</v>
      </c>
      <c r="I1296" s="77" t="s">
        <v>1521</v>
      </c>
      <c r="J1296" s="77" t="s">
        <v>79</v>
      </c>
      <c r="K1296" s="77" t="s">
        <v>1522</v>
      </c>
      <c r="L1296" s="77" t="s">
        <v>2326</v>
      </c>
      <c r="M1296" s="77" t="s">
        <v>82</v>
      </c>
      <c r="N1296" s="77" t="s">
        <v>83</v>
      </c>
      <c r="Q1296" s="77" t="s">
        <v>111</v>
      </c>
      <c r="T1296" s="77" t="s">
        <v>2327</v>
      </c>
      <c r="U1296" s="77" t="s">
        <v>85</v>
      </c>
      <c r="V1296" s="80" t="s">
        <v>891</v>
      </c>
      <c r="X1296" s="77" t="s">
        <v>892</v>
      </c>
      <c r="Y1296" s="78" t="s">
        <v>88</v>
      </c>
      <c r="AA1296" s="77" t="s">
        <v>1568</v>
      </c>
      <c r="AB1296" s="77" t="s">
        <v>1521</v>
      </c>
      <c r="AC1296" s="77" t="s">
        <v>90</v>
      </c>
      <c r="AD1296" s="77" t="s">
        <v>91</v>
      </c>
      <c r="AE1296" s="77" t="s">
        <v>1569</v>
      </c>
      <c r="AG1296" s="77" t="s">
        <v>2327</v>
      </c>
    </row>
    <row r="1297" spans="1:33" x14ac:dyDescent="0.3">
      <c r="A1297" s="77" t="s">
        <v>2328</v>
      </c>
      <c r="B1297" s="77" t="s">
        <v>2329</v>
      </c>
      <c r="G1297" s="77" t="s">
        <v>1566</v>
      </c>
      <c r="H1297" s="77" t="s">
        <v>77</v>
      </c>
      <c r="I1297" s="77" t="s">
        <v>1521</v>
      </c>
      <c r="J1297" s="77" t="s">
        <v>79</v>
      </c>
      <c r="K1297" s="77" t="s">
        <v>1522</v>
      </c>
      <c r="L1297" s="77" t="s">
        <v>2330</v>
      </c>
      <c r="M1297" s="77" t="s">
        <v>82</v>
      </c>
      <c r="N1297" s="77" t="s">
        <v>83</v>
      </c>
      <c r="Q1297" s="77" t="s">
        <v>111</v>
      </c>
      <c r="T1297" s="77" t="s">
        <v>2327</v>
      </c>
      <c r="U1297" s="77" t="s">
        <v>85</v>
      </c>
      <c r="V1297" s="80" t="s">
        <v>952</v>
      </c>
      <c r="X1297" s="77" t="s">
        <v>953</v>
      </c>
      <c r="Y1297" s="78" t="s">
        <v>101</v>
      </c>
      <c r="AA1297" s="77" t="s">
        <v>1568</v>
      </c>
      <c r="AB1297" s="77" t="s">
        <v>1521</v>
      </c>
      <c r="AC1297" s="77" t="s">
        <v>90</v>
      </c>
      <c r="AD1297" s="77" t="s">
        <v>954</v>
      </c>
      <c r="AE1297" s="77" t="s">
        <v>1569</v>
      </c>
      <c r="AG1297" s="77" t="s">
        <v>2327</v>
      </c>
    </row>
    <row r="1298" spans="1:33" x14ac:dyDescent="0.3">
      <c r="A1298" s="77" t="s">
        <v>2331</v>
      </c>
      <c r="B1298" s="77" t="s">
        <v>2332</v>
      </c>
      <c r="G1298" s="77" t="s">
        <v>1566</v>
      </c>
      <c r="H1298" s="77" t="s">
        <v>77</v>
      </c>
      <c r="I1298" s="77" t="s">
        <v>1521</v>
      </c>
      <c r="J1298" s="77" t="s">
        <v>79</v>
      </c>
      <c r="K1298" s="77" t="s">
        <v>1522</v>
      </c>
      <c r="L1298" s="77" t="s">
        <v>2333</v>
      </c>
      <c r="M1298" s="77" t="s">
        <v>82</v>
      </c>
      <c r="N1298" s="77" t="s">
        <v>83</v>
      </c>
      <c r="Q1298" s="77" t="s">
        <v>111</v>
      </c>
      <c r="T1298" s="77" t="s">
        <v>1666</v>
      </c>
      <c r="U1298" s="77" t="s">
        <v>85</v>
      </c>
      <c r="V1298" s="80" t="s">
        <v>1402</v>
      </c>
      <c r="X1298" s="77" t="s">
        <v>1403</v>
      </c>
      <c r="Y1298" s="78" t="s">
        <v>101</v>
      </c>
      <c r="AA1298" s="77" t="s">
        <v>1568</v>
      </c>
      <c r="AB1298" s="77" t="s">
        <v>1521</v>
      </c>
      <c r="AC1298" s="77" t="s">
        <v>90</v>
      </c>
      <c r="AD1298" s="77" t="s">
        <v>274</v>
      </c>
      <c r="AE1298" s="77" t="s">
        <v>1569</v>
      </c>
    </row>
    <row r="1299" spans="1:33" x14ac:dyDescent="0.3">
      <c r="A1299" s="77" t="s">
        <v>2334</v>
      </c>
      <c r="B1299" s="77" t="s">
        <v>2335</v>
      </c>
      <c r="G1299" s="77" t="s">
        <v>1566</v>
      </c>
      <c r="H1299" s="77" t="s">
        <v>77</v>
      </c>
      <c r="I1299" s="77" t="s">
        <v>1521</v>
      </c>
      <c r="J1299" s="77" t="s">
        <v>79</v>
      </c>
      <c r="K1299" s="77" t="s">
        <v>1522</v>
      </c>
      <c r="L1299" s="77" t="s">
        <v>2336</v>
      </c>
      <c r="M1299" s="77" t="s">
        <v>82</v>
      </c>
      <c r="N1299" s="77" t="s">
        <v>83</v>
      </c>
      <c r="Q1299" s="77" t="s">
        <v>111</v>
      </c>
      <c r="T1299" s="77" t="s">
        <v>1666</v>
      </c>
      <c r="U1299" s="77" t="s">
        <v>85</v>
      </c>
      <c r="V1299" s="80" t="s">
        <v>1402</v>
      </c>
      <c r="X1299" s="77" t="s">
        <v>1403</v>
      </c>
      <c r="Y1299" s="78" t="s">
        <v>101</v>
      </c>
      <c r="AA1299" s="77" t="s">
        <v>1568</v>
      </c>
      <c r="AB1299" s="77" t="s">
        <v>1521</v>
      </c>
      <c r="AC1299" s="77" t="s">
        <v>90</v>
      </c>
      <c r="AD1299" s="77" t="s">
        <v>274</v>
      </c>
      <c r="AE1299" s="77" t="s">
        <v>1569</v>
      </c>
    </row>
    <row r="1300" spans="1:33" x14ac:dyDescent="0.3">
      <c r="A1300" s="77" t="s">
        <v>2337</v>
      </c>
      <c r="B1300" s="77" t="s">
        <v>2338</v>
      </c>
      <c r="G1300" s="77" t="s">
        <v>1566</v>
      </c>
      <c r="H1300" s="77" t="s">
        <v>77</v>
      </c>
      <c r="I1300" s="77" t="s">
        <v>1521</v>
      </c>
      <c r="J1300" s="77" t="s">
        <v>79</v>
      </c>
      <c r="K1300" s="77" t="s">
        <v>1522</v>
      </c>
      <c r="L1300" s="77" t="s">
        <v>2339</v>
      </c>
      <c r="M1300" s="77" t="s">
        <v>82</v>
      </c>
      <c r="N1300" s="77" t="s">
        <v>83</v>
      </c>
      <c r="Q1300" s="77" t="s">
        <v>111</v>
      </c>
      <c r="T1300" s="77" t="s">
        <v>1666</v>
      </c>
      <c r="U1300" s="77" t="s">
        <v>85</v>
      </c>
      <c r="V1300" s="80" t="s">
        <v>952</v>
      </c>
      <c r="X1300" s="77" t="s">
        <v>953</v>
      </c>
      <c r="Y1300" s="78" t="s">
        <v>101</v>
      </c>
      <c r="AA1300" s="77" t="s">
        <v>1568</v>
      </c>
      <c r="AB1300" s="77" t="s">
        <v>1521</v>
      </c>
      <c r="AC1300" s="77" t="s">
        <v>90</v>
      </c>
      <c r="AD1300" s="77" t="s">
        <v>954</v>
      </c>
      <c r="AE1300" s="77" t="s">
        <v>1569</v>
      </c>
    </row>
    <row r="1301" spans="1:33" x14ac:dyDescent="0.3">
      <c r="A1301" s="77" t="s">
        <v>2340</v>
      </c>
      <c r="B1301" s="77" t="s">
        <v>2341</v>
      </c>
      <c r="G1301" s="77" t="s">
        <v>1566</v>
      </c>
      <c r="H1301" s="77" t="s">
        <v>77</v>
      </c>
      <c r="I1301" s="77" t="s">
        <v>1521</v>
      </c>
      <c r="J1301" s="77" t="s">
        <v>79</v>
      </c>
      <c r="K1301" s="77" t="s">
        <v>1522</v>
      </c>
      <c r="L1301" s="77" t="s">
        <v>2342</v>
      </c>
      <c r="M1301" s="77" t="s">
        <v>82</v>
      </c>
      <c r="N1301" s="77" t="s">
        <v>83</v>
      </c>
      <c r="Q1301" s="77" t="s">
        <v>111</v>
      </c>
      <c r="T1301" s="77" t="s">
        <v>1666</v>
      </c>
      <c r="U1301" s="77" t="s">
        <v>85</v>
      </c>
      <c r="V1301" s="80" t="s">
        <v>925</v>
      </c>
      <c r="X1301" s="77" t="s">
        <v>926</v>
      </c>
      <c r="Y1301" s="78" t="s">
        <v>101</v>
      </c>
      <c r="AA1301" s="77" t="s">
        <v>1568</v>
      </c>
      <c r="AB1301" s="77" t="s">
        <v>1521</v>
      </c>
      <c r="AC1301" s="77" t="s">
        <v>90</v>
      </c>
      <c r="AD1301" s="77" t="s">
        <v>274</v>
      </c>
      <c r="AE1301" s="77" t="s">
        <v>1569</v>
      </c>
    </row>
    <row r="1302" spans="1:33" x14ac:dyDescent="0.3">
      <c r="A1302" s="77" t="s">
        <v>2343</v>
      </c>
      <c r="B1302" s="77" t="s">
        <v>2344</v>
      </c>
      <c r="G1302" s="77" t="s">
        <v>1566</v>
      </c>
      <c r="H1302" s="77" t="s">
        <v>77</v>
      </c>
      <c r="I1302" s="77" t="s">
        <v>1521</v>
      </c>
      <c r="J1302" s="77" t="s">
        <v>79</v>
      </c>
      <c r="K1302" s="77" t="s">
        <v>1522</v>
      </c>
      <c r="L1302" s="77" t="s">
        <v>1115</v>
      </c>
      <c r="M1302" s="77" t="s">
        <v>82</v>
      </c>
      <c r="N1302" s="77" t="s">
        <v>83</v>
      </c>
      <c r="Q1302" s="77" t="s">
        <v>111</v>
      </c>
      <c r="T1302" s="77" t="s">
        <v>1666</v>
      </c>
      <c r="U1302" s="77" t="s">
        <v>85</v>
      </c>
      <c r="V1302" s="80" t="s">
        <v>925</v>
      </c>
      <c r="X1302" s="77" t="s">
        <v>926</v>
      </c>
      <c r="Y1302" s="78" t="s">
        <v>101</v>
      </c>
      <c r="AA1302" s="77" t="s">
        <v>1568</v>
      </c>
      <c r="AB1302" s="77" t="s">
        <v>1521</v>
      </c>
      <c r="AC1302" s="77" t="s">
        <v>90</v>
      </c>
      <c r="AD1302" s="77" t="s">
        <v>274</v>
      </c>
      <c r="AE1302" s="77" t="s">
        <v>1569</v>
      </c>
    </row>
    <row r="1303" spans="1:33" x14ac:dyDescent="0.3">
      <c r="A1303" s="77" t="s">
        <v>2345</v>
      </c>
      <c r="B1303" s="77" t="s">
        <v>2346</v>
      </c>
      <c r="G1303" s="77" t="s">
        <v>1566</v>
      </c>
      <c r="H1303" s="77" t="s">
        <v>77</v>
      </c>
      <c r="I1303" s="77" t="s">
        <v>1521</v>
      </c>
      <c r="J1303" s="77" t="s">
        <v>79</v>
      </c>
      <c r="K1303" s="77" t="s">
        <v>1522</v>
      </c>
      <c r="L1303" s="77" t="s">
        <v>1115</v>
      </c>
      <c r="M1303" s="77" t="s">
        <v>82</v>
      </c>
      <c r="N1303" s="77" t="s">
        <v>83</v>
      </c>
      <c r="Q1303" s="77" t="s">
        <v>111</v>
      </c>
      <c r="T1303" s="77" t="s">
        <v>1666</v>
      </c>
      <c r="U1303" s="77" t="s">
        <v>85</v>
      </c>
      <c r="V1303" s="80" t="s">
        <v>925</v>
      </c>
      <c r="X1303" s="77" t="s">
        <v>926</v>
      </c>
      <c r="Y1303" s="78" t="s">
        <v>101</v>
      </c>
      <c r="AA1303" s="77" t="s">
        <v>1568</v>
      </c>
      <c r="AB1303" s="77" t="s">
        <v>1521</v>
      </c>
      <c r="AC1303" s="77" t="s">
        <v>90</v>
      </c>
      <c r="AD1303" s="77" t="s">
        <v>274</v>
      </c>
      <c r="AE1303" s="77" t="s">
        <v>1569</v>
      </c>
    </row>
    <row r="1304" spans="1:33" x14ac:dyDescent="0.3">
      <c r="A1304" s="77" t="s">
        <v>2347</v>
      </c>
      <c r="B1304" s="77" t="s">
        <v>2348</v>
      </c>
      <c r="G1304" s="77" t="s">
        <v>1566</v>
      </c>
      <c r="H1304" s="77" t="s">
        <v>77</v>
      </c>
      <c r="I1304" s="77" t="s">
        <v>1521</v>
      </c>
      <c r="J1304" s="77" t="s">
        <v>79</v>
      </c>
      <c r="K1304" s="77" t="s">
        <v>1522</v>
      </c>
      <c r="L1304" s="77" t="s">
        <v>1115</v>
      </c>
      <c r="M1304" s="77" t="s">
        <v>82</v>
      </c>
      <c r="N1304" s="77" t="s">
        <v>83</v>
      </c>
      <c r="Q1304" s="77" t="s">
        <v>111</v>
      </c>
      <c r="T1304" s="77" t="s">
        <v>1666</v>
      </c>
      <c r="U1304" s="77" t="s">
        <v>85</v>
      </c>
      <c r="V1304" s="80" t="s">
        <v>925</v>
      </c>
      <c r="X1304" s="77" t="s">
        <v>926</v>
      </c>
      <c r="Y1304" s="78" t="s">
        <v>101</v>
      </c>
      <c r="AA1304" s="77" t="s">
        <v>1568</v>
      </c>
      <c r="AB1304" s="77" t="s">
        <v>1521</v>
      </c>
      <c r="AC1304" s="77" t="s">
        <v>90</v>
      </c>
      <c r="AD1304" s="77" t="s">
        <v>274</v>
      </c>
      <c r="AE1304" s="77" t="s">
        <v>1569</v>
      </c>
    </row>
    <row r="1305" spans="1:33" x14ac:dyDescent="0.3">
      <c r="A1305" s="77" t="s">
        <v>2349</v>
      </c>
      <c r="B1305" s="77" t="s">
        <v>2350</v>
      </c>
      <c r="G1305" s="77" t="s">
        <v>1566</v>
      </c>
      <c r="H1305" s="77" t="s">
        <v>77</v>
      </c>
      <c r="I1305" s="77" t="s">
        <v>1521</v>
      </c>
      <c r="J1305" s="77" t="s">
        <v>79</v>
      </c>
      <c r="K1305" s="77" t="s">
        <v>1522</v>
      </c>
      <c r="L1305" s="77" t="s">
        <v>1124</v>
      </c>
      <c r="M1305" s="77" t="s">
        <v>82</v>
      </c>
      <c r="N1305" s="77" t="s">
        <v>83</v>
      </c>
      <c r="Q1305" s="77" t="s">
        <v>111</v>
      </c>
      <c r="T1305" s="77" t="s">
        <v>1666</v>
      </c>
      <c r="U1305" s="77" t="s">
        <v>85</v>
      </c>
      <c r="V1305" s="80" t="s">
        <v>925</v>
      </c>
      <c r="X1305" s="77" t="s">
        <v>926</v>
      </c>
      <c r="Y1305" s="78" t="s">
        <v>101</v>
      </c>
      <c r="AA1305" s="77" t="s">
        <v>1568</v>
      </c>
      <c r="AB1305" s="77" t="s">
        <v>1521</v>
      </c>
      <c r="AC1305" s="77" t="s">
        <v>90</v>
      </c>
      <c r="AD1305" s="77" t="s">
        <v>274</v>
      </c>
      <c r="AE1305" s="77" t="s">
        <v>1569</v>
      </c>
    </row>
    <row r="1306" spans="1:33" x14ac:dyDescent="0.3">
      <c r="A1306" s="77" t="s">
        <v>2351</v>
      </c>
      <c r="B1306" s="77" t="s">
        <v>2352</v>
      </c>
      <c r="G1306" s="77" t="s">
        <v>1566</v>
      </c>
      <c r="H1306" s="77" t="s">
        <v>77</v>
      </c>
      <c r="I1306" s="77" t="s">
        <v>1521</v>
      </c>
      <c r="J1306" s="77" t="s">
        <v>79</v>
      </c>
      <c r="K1306" s="77" t="s">
        <v>1522</v>
      </c>
      <c r="L1306" s="77" t="s">
        <v>1127</v>
      </c>
      <c r="M1306" s="77" t="s">
        <v>82</v>
      </c>
      <c r="N1306" s="77" t="s">
        <v>83</v>
      </c>
      <c r="Q1306" s="77" t="s">
        <v>111</v>
      </c>
      <c r="T1306" s="77" t="s">
        <v>1666</v>
      </c>
      <c r="U1306" s="77" t="s">
        <v>85</v>
      </c>
      <c r="V1306" s="80" t="s">
        <v>896</v>
      </c>
      <c r="X1306" s="77" t="s">
        <v>897</v>
      </c>
      <c r="Y1306" s="78" t="s">
        <v>88</v>
      </c>
      <c r="AA1306" s="77" t="s">
        <v>1568</v>
      </c>
      <c r="AB1306" s="77" t="s">
        <v>1521</v>
      </c>
      <c r="AC1306" s="77" t="s">
        <v>90</v>
      </c>
      <c r="AD1306" s="77" t="s">
        <v>91</v>
      </c>
      <c r="AE1306" s="77" t="s">
        <v>1569</v>
      </c>
    </row>
    <row r="1307" spans="1:33" x14ac:dyDescent="0.3">
      <c r="A1307" s="77" t="s">
        <v>2353</v>
      </c>
      <c r="B1307" s="77" t="s">
        <v>2354</v>
      </c>
      <c r="G1307" s="77" t="s">
        <v>1566</v>
      </c>
      <c r="H1307" s="77" t="s">
        <v>77</v>
      </c>
      <c r="I1307" s="77" t="s">
        <v>1521</v>
      </c>
      <c r="J1307" s="77" t="s">
        <v>79</v>
      </c>
      <c r="K1307" s="77" t="s">
        <v>1522</v>
      </c>
      <c r="L1307" s="77" t="s">
        <v>2355</v>
      </c>
      <c r="M1307" s="77" t="s">
        <v>82</v>
      </c>
      <c r="N1307" s="77" t="s">
        <v>83</v>
      </c>
      <c r="Q1307" s="77" t="s">
        <v>111</v>
      </c>
      <c r="T1307" s="77" t="s">
        <v>1666</v>
      </c>
      <c r="U1307" s="77" t="s">
        <v>85</v>
      </c>
      <c r="V1307" s="80" t="s">
        <v>896</v>
      </c>
      <c r="X1307" s="77" t="s">
        <v>897</v>
      </c>
      <c r="Y1307" s="78" t="s">
        <v>88</v>
      </c>
      <c r="AA1307" s="77" t="s">
        <v>1568</v>
      </c>
      <c r="AB1307" s="77" t="s">
        <v>1521</v>
      </c>
      <c r="AC1307" s="77" t="s">
        <v>90</v>
      </c>
      <c r="AD1307" s="77" t="s">
        <v>91</v>
      </c>
      <c r="AE1307" s="77" t="s">
        <v>1569</v>
      </c>
    </row>
    <row r="1308" spans="1:33" x14ac:dyDescent="0.3">
      <c r="A1308" s="77" t="s">
        <v>2356</v>
      </c>
      <c r="B1308" s="77" t="s">
        <v>2357</v>
      </c>
      <c r="G1308" s="77" t="s">
        <v>1566</v>
      </c>
      <c r="H1308" s="77" t="s">
        <v>77</v>
      </c>
      <c r="I1308" s="77" t="s">
        <v>1521</v>
      </c>
      <c r="J1308" s="77" t="s">
        <v>79</v>
      </c>
      <c r="K1308" s="77" t="s">
        <v>1522</v>
      </c>
      <c r="L1308" s="77" t="s">
        <v>1134</v>
      </c>
      <c r="M1308" s="77" t="s">
        <v>82</v>
      </c>
      <c r="N1308" s="77" t="s">
        <v>83</v>
      </c>
      <c r="Q1308" s="77" t="s">
        <v>111</v>
      </c>
      <c r="T1308" s="77" t="s">
        <v>1666</v>
      </c>
      <c r="U1308" s="77" t="s">
        <v>85</v>
      </c>
      <c r="V1308" s="80" t="s">
        <v>930</v>
      </c>
      <c r="X1308" s="77" t="s">
        <v>931</v>
      </c>
      <c r="Y1308" s="78" t="s">
        <v>88</v>
      </c>
      <c r="AA1308" s="77" t="s">
        <v>1568</v>
      </c>
      <c r="AB1308" s="77" t="s">
        <v>1521</v>
      </c>
      <c r="AC1308" s="77" t="s">
        <v>90</v>
      </c>
      <c r="AD1308" s="77" t="s">
        <v>91</v>
      </c>
      <c r="AE1308" s="77" t="s">
        <v>1569</v>
      </c>
    </row>
    <row r="1309" spans="1:33" x14ac:dyDescent="0.3">
      <c r="A1309" s="77" t="s">
        <v>2358</v>
      </c>
      <c r="B1309" s="77" t="s">
        <v>2359</v>
      </c>
      <c r="G1309" s="77" t="s">
        <v>1566</v>
      </c>
      <c r="H1309" s="77" t="s">
        <v>77</v>
      </c>
      <c r="I1309" s="77" t="s">
        <v>1521</v>
      </c>
      <c r="J1309" s="77" t="s">
        <v>79</v>
      </c>
      <c r="K1309" s="77" t="s">
        <v>1522</v>
      </c>
      <c r="L1309" s="77" t="s">
        <v>2360</v>
      </c>
      <c r="M1309" s="77" t="s">
        <v>82</v>
      </c>
      <c r="N1309" s="77" t="s">
        <v>83</v>
      </c>
      <c r="Q1309" s="77" t="s">
        <v>111</v>
      </c>
      <c r="T1309" s="77" t="s">
        <v>1666</v>
      </c>
      <c r="U1309" s="77" t="s">
        <v>85</v>
      </c>
      <c r="V1309" s="80" t="s">
        <v>1402</v>
      </c>
      <c r="X1309" s="77" t="s">
        <v>1403</v>
      </c>
      <c r="Y1309" s="78" t="s">
        <v>101</v>
      </c>
      <c r="AA1309" s="77" t="s">
        <v>1568</v>
      </c>
      <c r="AB1309" s="77" t="s">
        <v>1521</v>
      </c>
      <c r="AC1309" s="77" t="s">
        <v>90</v>
      </c>
      <c r="AD1309" s="77" t="s">
        <v>274</v>
      </c>
      <c r="AE1309" s="77" t="s">
        <v>1569</v>
      </c>
    </row>
    <row r="1310" spans="1:33" x14ac:dyDescent="0.3">
      <c r="A1310" s="77" t="s">
        <v>2361</v>
      </c>
      <c r="B1310" s="77" t="s">
        <v>2362</v>
      </c>
      <c r="G1310" s="77" t="s">
        <v>1566</v>
      </c>
      <c r="H1310" s="77" t="s">
        <v>77</v>
      </c>
      <c r="I1310" s="77" t="s">
        <v>1521</v>
      </c>
      <c r="J1310" s="77" t="s">
        <v>79</v>
      </c>
      <c r="K1310" s="77" t="s">
        <v>1522</v>
      </c>
      <c r="L1310" s="77" t="s">
        <v>2360</v>
      </c>
      <c r="M1310" s="77" t="s">
        <v>82</v>
      </c>
      <c r="N1310" s="77" t="s">
        <v>83</v>
      </c>
      <c r="Q1310" s="77" t="s">
        <v>111</v>
      </c>
      <c r="T1310" s="77" t="s">
        <v>1666</v>
      </c>
      <c r="U1310" s="77" t="s">
        <v>85</v>
      </c>
      <c r="V1310" s="80" t="s">
        <v>1402</v>
      </c>
      <c r="X1310" s="77" t="s">
        <v>1403</v>
      </c>
      <c r="Y1310" s="78" t="s">
        <v>101</v>
      </c>
      <c r="AA1310" s="77" t="s">
        <v>1568</v>
      </c>
      <c r="AB1310" s="77" t="s">
        <v>1521</v>
      </c>
      <c r="AC1310" s="77" t="s">
        <v>90</v>
      </c>
      <c r="AD1310" s="77" t="s">
        <v>274</v>
      </c>
      <c r="AE1310" s="77" t="s">
        <v>1569</v>
      </c>
    </row>
    <row r="1311" spans="1:33" x14ac:dyDescent="0.3">
      <c r="A1311" s="77" t="s">
        <v>2363</v>
      </c>
      <c r="B1311" s="77" t="s">
        <v>2364</v>
      </c>
      <c r="G1311" s="77" t="s">
        <v>1566</v>
      </c>
      <c r="H1311" s="77" t="s">
        <v>77</v>
      </c>
      <c r="I1311" s="77" t="s">
        <v>1521</v>
      </c>
      <c r="J1311" s="77" t="s">
        <v>79</v>
      </c>
      <c r="K1311" s="77" t="s">
        <v>1522</v>
      </c>
      <c r="L1311" s="77" t="s">
        <v>2365</v>
      </c>
      <c r="M1311" s="77" t="s">
        <v>82</v>
      </c>
      <c r="N1311" s="77" t="s">
        <v>83</v>
      </c>
      <c r="Q1311" s="77" t="s">
        <v>111</v>
      </c>
      <c r="T1311" s="77" t="s">
        <v>1666</v>
      </c>
      <c r="U1311" s="77" t="s">
        <v>85</v>
      </c>
      <c r="V1311" s="80" t="s">
        <v>1402</v>
      </c>
      <c r="X1311" s="77" t="s">
        <v>1403</v>
      </c>
      <c r="Y1311" s="78" t="s">
        <v>101</v>
      </c>
      <c r="AA1311" s="77" t="s">
        <v>1568</v>
      </c>
      <c r="AB1311" s="77" t="s">
        <v>1521</v>
      </c>
      <c r="AC1311" s="77" t="s">
        <v>90</v>
      </c>
      <c r="AD1311" s="77" t="s">
        <v>274</v>
      </c>
      <c r="AE1311" s="77" t="s">
        <v>1569</v>
      </c>
    </row>
    <row r="1312" spans="1:33" x14ac:dyDescent="0.3">
      <c r="A1312" s="77" t="s">
        <v>2366</v>
      </c>
      <c r="B1312" s="77" t="s">
        <v>2367</v>
      </c>
      <c r="G1312" s="77" t="s">
        <v>1566</v>
      </c>
      <c r="H1312" s="77" t="s">
        <v>77</v>
      </c>
      <c r="I1312" s="77" t="s">
        <v>1521</v>
      </c>
      <c r="J1312" s="77" t="s">
        <v>79</v>
      </c>
      <c r="K1312" s="77" t="s">
        <v>1522</v>
      </c>
      <c r="L1312" s="77" t="s">
        <v>2365</v>
      </c>
      <c r="M1312" s="77" t="s">
        <v>82</v>
      </c>
      <c r="N1312" s="77" t="s">
        <v>83</v>
      </c>
      <c r="Q1312" s="77" t="s">
        <v>111</v>
      </c>
      <c r="T1312" s="77" t="s">
        <v>1666</v>
      </c>
      <c r="U1312" s="77" t="s">
        <v>85</v>
      </c>
      <c r="V1312" s="80" t="s">
        <v>1402</v>
      </c>
      <c r="X1312" s="77" t="s">
        <v>1403</v>
      </c>
      <c r="Y1312" s="78" t="s">
        <v>101</v>
      </c>
      <c r="AA1312" s="77" t="s">
        <v>1568</v>
      </c>
      <c r="AB1312" s="77" t="s">
        <v>1521</v>
      </c>
      <c r="AC1312" s="77" t="s">
        <v>90</v>
      </c>
      <c r="AD1312" s="77" t="s">
        <v>274</v>
      </c>
      <c r="AE1312" s="77" t="s">
        <v>1569</v>
      </c>
    </row>
    <row r="1313" spans="1:31" x14ac:dyDescent="0.3">
      <c r="A1313" s="77" t="s">
        <v>2368</v>
      </c>
      <c r="B1313" s="77" t="s">
        <v>2369</v>
      </c>
      <c r="G1313" s="77" t="s">
        <v>1566</v>
      </c>
      <c r="H1313" s="77" t="s">
        <v>77</v>
      </c>
      <c r="I1313" s="77" t="s">
        <v>1521</v>
      </c>
      <c r="J1313" s="77" t="s">
        <v>79</v>
      </c>
      <c r="K1313" s="77" t="s">
        <v>1522</v>
      </c>
      <c r="L1313" s="77" t="s">
        <v>2370</v>
      </c>
      <c r="M1313" s="77" t="s">
        <v>82</v>
      </c>
      <c r="N1313" s="77" t="s">
        <v>83</v>
      </c>
      <c r="Q1313" s="77" t="s">
        <v>111</v>
      </c>
      <c r="T1313" s="77" t="s">
        <v>1666</v>
      </c>
      <c r="U1313" s="77" t="s">
        <v>85</v>
      </c>
      <c r="V1313" s="80" t="s">
        <v>952</v>
      </c>
      <c r="X1313" s="77" t="s">
        <v>953</v>
      </c>
      <c r="Y1313" s="78" t="s">
        <v>101</v>
      </c>
      <c r="AA1313" s="77" t="s">
        <v>1568</v>
      </c>
      <c r="AB1313" s="77" t="s">
        <v>1521</v>
      </c>
      <c r="AC1313" s="77" t="s">
        <v>90</v>
      </c>
      <c r="AD1313" s="77" t="s">
        <v>954</v>
      </c>
      <c r="AE1313" s="77" t="s">
        <v>1569</v>
      </c>
    </row>
    <row r="1314" spans="1:31" x14ac:dyDescent="0.3">
      <c r="A1314" s="77" t="s">
        <v>2371</v>
      </c>
      <c r="B1314" s="77" t="s">
        <v>2372</v>
      </c>
      <c r="G1314" s="77" t="s">
        <v>1566</v>
      </c>
      <c r="H1314" s="77" t="s">
        <v>77</v>
      </c>
      <c r="I1314" s="77" t="s">
        <v>1521</v>
      </c>
      <c r="J1314" s="77" t="s">
        <v>79</v>
      </c>
      <c r="K1314" s="77" t="s">
        <v>1522</v>
      </c>
      <c r="L1314" s="77" t="s">
        <v>2370</v>
      </c>
      <c r="M1314" s="77" t="s">
        <v>82</v>
      </c>
      <c r="N1314" s="77" t="s">
        <v>83</v>
      </c>
      <c r="Q1314" s="77" t="s">
        <v>111</v>
      </c>
      <c r="T1314" s="77" t="s">
        <v>1666</v>
      </c>
      <c r="U1314" s="77" t="s">
        <v>85</v>
      </c>
      <c r="V1314" s="80" t="s">
        <v>952</v>
      </c>
      <c r="X1314" s="77" t="s">
        <v>953</v>
      </c>
      <c r="Y1314" s="78" t="s">
        <v>101</v>
      </c>
      <c r="AA1314" s="77" t="s">
        <v>1568</v>
      </c>
      <c r="AB1314" s="77" t="s">
        <v>1521</v>
      </c>
      <c r="AC1314" s="77" t="s">
        <v>90</v>
      </c>
      <c r="AD1314" s="77" t="s">
        <v>954</v>
      </c>
      <c r="AE1314" s="77" t="s">
        <v>1569</v>
      </c>
    </row>
    <row r="1315" spans="1:31" x14ac:dyDescent="0.3">
      <c r="A1315" s="77" t="s">
        <v>2373</v>
      </c>
      <c r="B1315" s="77" t="s">
        <v>2374</v>
      </c>
      <c r="G1315" s="77" t="s">
        <v>1566</v>
      </c>
      <c r="H1315" s="77" t="s">
        <v>77</v>
      </c>
      <c r="I1315" s="77" t="s">
        <v>1521</v>
      </c>
      <c r="J1315" s="77" t="s">
        <v>79</v>
      </c>
      <c r="K1315" s="77" t="s">
        <v>1522</v>
      </c>
      <c r="L1315" s="77" t="s">
        <v>2370</v>
      </c>
      <c r="M1315" s="77" t="s">
        <v>82</v>
      </c>
      <c r="N1315" s="77" t="s">
        <v>83</v>
      </c>
      <c r="Q1315" s="77" t="s">
        <v>111</v>
      </c>
      <c r="T1315" s="77" t="s">
        <v>1666</v>
      </c>
      <c r="U1315" s="77" t="s">
        <v>85</v>
      </c>
      <c r="V1315" s="80" t="s">
        <v>952</v>
      </c>
      <c r="X1315" s="77" t="s">
        <v>953</v>
      </c>
      <c r="Y1315" s="78" t="s">
        <v>101</v>
      </c>
      <c r="AA1315" s="77" t="s">
        <v>1568</v>
      </c>
      <c r="AB1315" s="77" t="s">
        <v>1521</v>
      </c>
      <c r="AC1315" s="77" t="s">
        <v>90</v>
      </c>
      <c r="AD1315" s="77" t="s">
        <v>954</v>
      </c>
      <c r="AE1315" s="77" t="s">
        <v>1569</v>
      </c>
    </row>
    <row r="1316" spans="1:31" x14ac:dyDescent="0.3">
      <c r="A1316" s="77" t="s">
        <v>2375</v>
      </c>
      <c r="B1316" s="77" t="s">
        <v>2376</v>
      </c>
      <c r="G1316" s="77" t="s">
        <v>1566</v>
      </c>
      <c r="H1316" s="77" t="s">
        <v>77</v>
      </c>
      <c r="I1316" s="77" t="s">
        <v>1521</v>
      </c>
      <c r="J1316" s="77" t="s">
        <v>79</v>
      </c>
      <c r="K1316" s="77" t="s">
        <v>1522</v>
      </c>
      <c r="L1316" s="77" t="s">
        <v>2370</v>
      </c>
      <c r="M1316" s="77" t="s">
        <v>82</v>
      </c>
      <c r="N1316" s="77" t="s">
        <v>83</v>
      </c>
      <c r="Q1316" s="77" t="s">
        <v>111</v>
      </c>
      <c r="T1316" s="77" t="s">
        <v>1666</v>
      </c>
      <c r="U1316" s="77" t="s">
        <v>85</v>
      </c>
      <c r="V1316" s="80" t="s">
        <v>952</v>
      </c>
      <c r="X1316" s="77" t="s">
        <v>953</v>
      </c>
      <c r="Y1316" s="78" t="s">
        <v>101</v>
      </c>
      <c r="AA1316" s="77" t="s">
        <v>1568</v>
      </c>
      <c r="AB1316" s="77" t="s">
        <v>1521</v>
      </c>
      <c r="AC1316" s="77" t="s">
        <v>90</v>
      </c>
      <c r="AD1316" s="77" t="s">
        <v>954</v>
      </c>
      <c r="AE1316" s="77" t="s">
        <v>1569</v>
      </c>
    </row>
    <row r="1317" spans="1:31" x14ac:dyDescent="0.3">
      <c r="A1317" s="77" t="s">
        <v>2377</v>
      </c>
      <c r="B1317" s="77" t="s">
        <v>2378</v>
      </c>
      <c r="G1317" s="77" t="s">
        <v>1566</v>
      </c>
      <c r="H1317" s="77" t="s">
        <v>77</v>
      </c>
      <c r="I1317" s="77" t="s">
        <v>1521</v>
      </c>
      <c r="J1317" s="77" t="s">
        <v>79</v>
      </c>
      <c r="K1317" s="77" t="s">
        <v>1522</v>
      </c>
      <c r="L1317" s="77" t="s">
        <v>2379</v>
      </c>
      <c r="M1317" s="77" t="s">
        <v>82</v>
      </c>
      <c r="N1317" s="77" t="s">
        <v>83</v>
      </c>
      <c r="Q1317" s="77" t="s">
        <v>111</v>
      </c>
      <c r="T1317" s="77" t="s">
        <v>1666</v>
      </c>
      <c r="U1317" s="77" t="s">
        <v>85</v>
      </c>
      <c r="V1317" s="80" t="s">
        <v>952</v>
      </c>
      <c r="X1317" s="77" t="s">
        <v>953</v>
      </c>
      <c r="Y1317" s="78" t="s">
        <v>101</v>
      </c>
      <c r="AA1317" s="77" t="s">
        <v>1568</v>
      </c>
      <c r="AB1317" s="77" t="s">
        <v>1521</v>
      </c>
      <c r="AC1317" s="77" t="s">
        <v>90</v>
      </c>
      <c r="AD1317" s="77" t="s">
        <v>954</v>
      </c>
      <c r="AE1317" s="77" t="s">
        <v>1569</v>
      </c>
    </row>
    <row r="1318" spans="1:31" x14ac:dyDescent="0.3">
      <c r="A1318" s="77" t="s">
        <v>2380</v>
      </c>
      <c r="B1318" s="77" t="s">
        <v>2381</v>
      </c>
      <c r="G1318" s="77" t="s">
        <v>1566</v>
      </c>
      <c r="H1318" s="77" t="s">
        <v>77</v>
      </c>
      <c r="I1318" s="77" t="s">
        <v>1521</v>
      </c>
      <c r="J1318" s="77" t="s">
        <v>79</v>
      </c>
      <c r="K1318" s="77" t="s">
        <v>1522</v>
      </c>
      <c r="L1318" s="77" t="s">
        <v>2382</v>
      </c>
      <c r="M1318" s="77" t="s">
        <v>82</v>
      </c>
      <c r="N1318" s="77" t="s">
        <v>83</v>
      </c>
      <c r="Q1318" s="77" t="s">
        <v>111</v>
      </c>
      <c r="T1318" s="77" t="s">
        <v>1666</v>
      </c>
      <c r="U1318" s="77" t="s">
        <v>85</v>
      </c>
      <c r="V1318" s="80" t="s">
        <v>1402</v>
      </c>
      <c r="X1318" s="77" t="s">
        <v>1403</v>
      </c>
      <c r="Y1318" s="78" t="s">
        <v>101</v>
      </c>
      <c r="AA1318" s="77" t="s">
        <v>1568</v>
      </c>
      <c r="AB1318" s="77" t="s">
        <v>1521</v>
      </c>
      <c r="AC1318" s="77" t="s">
        <v>90</v>
      </c>
      <c r="AD1318" s="77" t="s">
        <v>274</v>
      </c>
      <c r="AE1318" s="77" t="s">
        <v>1569</v>
      </c>
    </row>
    <row r="1319" spans="1:31" x14ac:dyDescent="0.3">
      <c r="A1319" s="77" t="s">
        <v>2383</v>
      </c>
      <c r="B1319" s="77" t="s">
        <v>2384</v>
      </c>
      <c r="G1319" s="77" t="s">
        <v>1566</v>
      </c>
      <c r="H1319" s="77" t="s">
        <v>77</v>
      </c>
      <c r="I1319" s="77" t="s">
        <v>1521</v>
      </c>
      <c r="J1319" s="77" t="s">
        <v>79</v>
      </c>
      <c r="K1319" s="77" t="s">
        <v>1522</v>
      </c>
      <c r="L1319" s="77" t="s">
        <v>2382</v>
      </c>
      <c r="M1319" s="77" t="s">
        <v>82</v>
      </c>
      <c r="N1319" s="77" t="s">
        <v>83</v>
      </c>
      <c r="Q1319" s="77" t="s">
        <v>111</v>
      </c>
      <c r="T1319" s="77" t="s">
        <v>1666</v>
      </c>
      <c r="U1319" s="77" t="s">
        <v>85</v>
      </c>
      <c r="V1319" s="80" t="s">
        <v>1402</v>
      </c>
      <c r="X1319" s="77" t="s">
        <v>1403</v>
      </c>
      <c r="Y1319" s="78" t="s">
        <v>101</v>
      </c>
      <c r="AA1319" s="77" t="s">
        <v>1568</v>
      </c>
      <c r="AB1319" s="77" t="s">
        <v>1521</v>
      </c>
      <c r="AC1319" s="77" t="s">
        <v>90</v>
      </c>
      <c r="AD1319" s="77" t="s">
        <v>274</v>
      </c>
      <c r="AE1319" s="77" t="s">
        <v>1569</v>
      </c>
    </row>
    <row r="1320" spans="1:31" x14ac:dyDescent="0.3">
      <c r="A1320" s="77" t="s">
        <v>2385</v>
      </c>
      <c r="B1320" s="77" t="s">
        <v>2386</v>
      </c>
      <c r="G1320" s="77" t="s">
        <v>1566</v>
      </c>
      <c r="H1320" s="77" t="s">
        <v>77</v>
      </c>
      <c r="I1320" s="77" t="s">
        <v>1521</v>
      </c>
      <c r="J1320" s="77" t="s">
        <v>79</v>
      </c>
      <c r="K1320" s="77" t="s">
        <v>1522</v>
      </c>
      <c r="L1320" s="77" t="s">
        <v>2382</v>
      </c>
      <c r="M1320" s="77" t="s">
        <v>82</v>
      </c>
      <c r="N1320" s="77" t="s">
        <v>83</v>
      </c>
      <c r="Q1320" s="77" t="s">
        <v>111</v>
      </c>
      <c r="T1320" s="77" t="s">
        <v>1666</v>
      </c>
      <c r="U1320" s="77" t="s">
        <v>85</v>
      </c>
      <c r="V1320" s="80" t="s">
        <v>1402</v>
      </c>
      <c r="X1320" s="77" t="s">
        <v>1403</v>
      </c>
      <c r="Y1320" s="78" t="s">
        <v>101</v>
      </c>
      <c r="AA1320" s="77" t="s">
        <v>1568</v>
      </c>
      <c r="AB1320" s="77" t="s">
        <v>1521</v>
      </c>
      <c r="AC1320" s="77" t="s">
        <v>90</v>
      </c>
      <c r="AD1320" s="77" t="s">
        <v>274</v>
      </c>
      <c r="AE1320" s="77" t="s">
        <v>1569</v>
      </c>
    </row>
    <row r="1321" spans="1:31" x14ac:dyDescent="0.3">
      <c r="A1321" s="77" t="s">
        <v>2387</v>
      </c>
      <c r="B1321" s="77" t="s">
        <v>2388</v>
      </c>
      <c r="G1321" s="77" t="s">
        <v>1566</v>
      </c>
      <c r="H1321" s="77" t="s">
        <v>77</v>
      </c>
      <c r="I1321" s="77" t="s">
        <v>1521</v>
      </c>
      <c r="J1321" s="77" t="s">
        <v>79</v>
      </c>
      <c r="K1321" s="77" t="s">
        <v>1522</v>
      </c>
      <c r="L1321" s="77" t="s">
        <v>2382</v>
      </c>
      <c r="M1321" s="77" t="s">
        <v>82</v>
      </c>
      <c r="N1321" s="77" t="s">
        <v>83</v>
      </c>
      <c r="Q1321" s="77" t="s">
        <v>111</v>
      </c>
      <c r="T1321" s="77" t="s">
        <v>1666</v>
      </c>
      <c r="U1321" s="77" t="s">
        <v>85</v>
      </c>
      <c r="V1321" s="80" t="s">
        <v>1402</v>
      </c>
      <c r="X1321" s="77" t="s">
        <v>1403</v>
      </c>
      <c r="Y1321" s="78" t="s">
        <v>101</v>
      </c>
      <c r="AA1321" s="77" t="s">
        <v>1568</v>
      </c>
      <c r="AB1321" s="77" t="s">
        <v>1521</v>
      </c>
      <c r="AC1321" s="77" t="s">
        <v>90</v>
      </c>
      <c r="AD1321" s="77" t="s">
        <v>274</v>
      </c>
      <c r="AE1321" s="77" t="s">
        <v>1569</v>
      </c>
    </row>
    <row r="1322" spans="1:31" x14ac:dyDescent="0.3">
      <c r="A1322" s="77" t="s">
        <v>2389</v>
      </c>
      <c r="B1322" s="77" t="s">
        <v>2390</v>
      </c>
      <c r="G1322" s="77" t="s">
        <v>1566</v>
      </c>
      <c r="H1322" s="77" t="s">
        <v>77</v>
      </c>
      <c r="I1322" s="77" t="s">
        <v>1521</v>
      </c>
      <c r="J1322" s="77" t="s">
        <v>79</v>
      </c>
      <c r="K1322" s="77" t="s">
        <v>1522</v>
      </c>
      <c r="L1322" s="77" t="s">
        <v>2382</v>
      </c>
      <c r="M1322" s="77" t="s">
        <v>82</v>
      </c>
      <c r="N1322" s="77" t="s">
        <v>83</v>
      </c>
      <c r="Q1322" s="77" t="s">
        <v>111</v>
      </c>
      <c r="T1322" s="77" t="s">
        <v>1666</v>
      </c>
      <c r="U1322" s="77" t="s">
        <v>85</v>
      </c>
      <c r="V1322" s="80" t="s">
        <v>1402</v>
      </c>
      <c r="X1322" s="77" t="s">
        <v>1403</v>
      </c>
      <c r="Y1322" s="78" t="s">
        <v>101</v>
      </c>
      <c r="AA1322" s="77" t="s">
        <v>1568</v>
      </c>
      <c r="AB1322" s="77" t="s">
        <v>1521</v>
      </c>
      <c r="AC1322" s="77" t="s">
        <v>90</v>
      </c>
      <c r="AD1322" s="77" t="s">
        <v>274</v>
      </c>
      <c r="AE1322" s="77" t="s">
        <v>1569</v>
      </c>
    </row>
    <row r="1323" spans="1:31" x14ac:dyDescent="0.3">
      <c r="A1323" s="77" t="s">
        <v>2391</v>
      </c>
      <c r="B1323" s="77" t="s">
        <v>2392</v>
      </c>
      <c r="G1323" s="77" t="s">
        <v>1566</v>
      </c>
      <c r="H1323" s="77" t="s">
        <v>77</v>
      </c>
      <c r="I1323" s="77" t="s">
        <v>1521</v>
      </c>
      <c r="J1323" s="77" t="s">
        <v>79</v>
      </c>
      <c r="K1323" s="77" t="s">
        <v>1522</v>
      </c>
      <c r="L1323" s="77" t="s">
        <v>2393</v>
      </c>
      <c r="M1323" s="77" t="s">
        <v>82</v>
      </c>
      <c r="N1323" s="77" t="s">
        <v>83</v>
      </c>
      <c r="Q1323" s="77" t="s">
        <v>111</v>
      </c>
      <c r="T1323" s="77" t="s">
        <v>1666</v>
      </c>
      <c r="U1323" s="77" t="s">
        <v>85</v>
      </c>
      <c r="V1323" s="80" t="s">
        <v>1402</v>
      </c>
      <c r="X1323" s="77" t="s">
        <v>1403</v>
      </c>
      <c r="Y1323" s="78" t="s">
        <v>101</v>
      </c>
      <c r="AA1323" s="77" t="s">
        <v>1568</v>
      </c>
      <c r="AB1323" s="77" t="s">
        <v>1521</v>
      </c>
      <c r="AC1323" s="77" t="s">
        <v>90</v>
      </c>
      <c r="AD1323" s="77" t="s">
        <v>274</v>
      </c>
      <c r="AE1323" s="77" t="s">
        <v>1569</v>
      </c>
    </row>
    <row r="1324" spans="1:31" x14ac:dyDescent="0.3">
      <c r="A1324" s="77" t="s">
        <v>2394</v>
      </c>
      <c r="B1324" s="77" t="s">
        <v>2395</v>
      </c>
      <c r="G1324" s="77" t="s">
        <v>1566</v>
      </c>
      <c r="H1324" s="77" t="s">
        <v>77</v>
      </c>
      <c r="I1324" s="77" t="s">
        <v>1521</v>
      </c>
      <c r="J1324" s="77" t="s">
        <v>79</v>
      </c>
      <c r="K1324" s="77" t="s">
        <v>1522</v>
      </c>
      <c r="L1324" s="77" t="s">
        <v>2393</v>
      </c>
      <c r="M1324" s="77" t="s">
        <v>82</v>
      </c>
      <c r="N1324" s="77" t="s">
        <v>83</v>
      </c>
      <c r="Q1324" s="77" t="s">
        <v>111</v>
      </c>
      <c r="T1324" s="77" t="s">
        <v>1666</v>
      </c>
      <c r="U1324" s="77" t="s">
        <v>85</v>
      </c>
      <c r="V1324" s="80" t="s">
        <v>1402</v>
      </c>
      <c r="X1324" s="77" t="s">
        <v>1403</v>
      </c>
      <c r="Y1324" s="78" t="s">
        <v>101</v>
      </c>
      <c r="AA1324" s="77" t="s">
        <v>1568</v>
      </c>
      <c r="AB1324" s="77" t="s">
        <v>1521</v>
      </c>
      <c r="AC1324" s="77" t="s">
        <v>90</v>
      </c>
      <c r="AD1324" s="77" t="s">
        <v>274</v>
      </c>
      <c r="AE1324" s="77" t="s">
        <v>1569</v>
      </c>
    </row>
    <row r="1325" spans="1:31" x14ac:dyDescent="0.3">
      <c r="A1325" s="77" t="s">
        <v>2396</v>
      </c>
      <c r="B1325" s="77" t="s">
        <v>2397</v>
      </c>
      <c r="G1325" s="77" t="s">
        <v>1566</v>
      </c>
      <c r="H1325" s="77" t="s">
        <v>77</v>
      </c>
      <c r="I1325" s="77" t="s">
        <v>1521</v>
      </c>
      <c r="J1325" s="77" t="s">
        <v>79</v>
      </c>
      <c r="K1325" s="77" t="s">
        <v>1522</v>
      </c>
      <c r="L1325" s="77" t="s">
        <v>2393</v>
      </c>
      <c r="M1325" s="77" t="s">
        <v>82</v>
      </c>
      <c r="N1325" s="77" t="s">
        <v>83</v>
      </c>
      <c r="Q1325" s="77" t="s">
        <v>111</v>
      </c>
      <c r="T1325" s="77" t="s">
        <v>1666</v>
      </c>
      <c r="U1325" s="77" t="s">
        <v>85</v>
      </c>
      <c r="V1325" s="80" t="s">
        <v>1402</v>
      </c>
      <c r="X1325" s="77" t="s">
        <v>1403</v>
      </c>
      <c r="Y1325" s="78" t="s">
        <v>101</v>
      </c>
      <c r="AA1325" s="77" t="s">
        <v>1568</v>
      </c>
      <c r="AB1325" s="77" t="s">
        <v>1521</v>
      </c>
      <c r="AC1325" s="77" t="s">
        <v>90</v>
      </c>
      <c r="AD1325" s="77" t="s">
        <v>274</v>
      </c>
      <c r="AE1325" s="77" t="s">
        <v>1569</v>
      </c>
    </row>
    <row r="1326" spans="1:31" x14ac:dyDescent="0.3">
      <c r="A1326" s="77" t="s">
        <v>2398</v>
      </c>
      <c r="B1326" s="77" t="s">
        <v>2399</v>
      </c>
      <c r="G1326" s="77" t="s">
        <v>1566</v>
      </c>
      <c r="H1326" s="77" t="s">
        <v>77</v>
      </c>
      <c r="I1326" s="77" t="s">
        <v>1521</v>
      </c>
      <c r="J1326" s="77" t="s">
        <v>79</v>
      </c>
      <c r="K1326" s="77" t="s">
        <v>1522</v>
      </c>
      <c r="L1326" s="77" t="s">
        <v>2393</v>
      </c>
      <c r="M1326" s="77" t="s">
        <v>82</v>
      </c>
      <c r="N1326" s="77" t="s">
        <v>83</v>
      </c>
      <c r="Q1326" s="77" t="s">
        <v>111</v>
      </c>
      <c r="T1326" s="77" t="s">
        <v>1666</v>
      </c>
      <c r="U1326" s="77" t="s">
        <v>85</v>
      </c>
      <c r="V1326" s="80" t="s">
        <v>1402</v>
      </c>
      <c r="X1326" s="77" t="s">
        <v>1403</v>
      </c>
      <c r="Y1326" s="78" t="s">
        <v>101</v>
      </c>
      <c r="AA1326" s="77" t="s">
        <v>1568</v>
      </c>
      <c r="AB1326" s="77" t="s">
        <v>1521</v>
      </c>
      <c r="AC1326" s="77" t="s">
        <v>90</v>
      </c>
      <c r="AD1326" s="77" t="s">
        <v>274</v>
      </c>
      <c r="AE1326" s="77" t="s">
        <v>1569</v>
      </c>
    </row>
    <row r="1327" spans="1:31" x14ac:dyDescent="0.3">
      <c r="A1327" s="77" t="s">
        <v>2400</v>
      </c>
      <c r="B1327" s="77" t="s">
        <v>2401</v>
      </c>
      <c r="G1327" s="77" t="s">
        <v>1566</v>
      </c>
      <c r="H1327" s="77" t="s">
        <v>77</v>
      </c>
      <c r="I1327" s="77" t="s">
        <v>1521</v>
      </c>
      <c r="J1327" s="77" t="s">
        <v>79</v>
      </c>
      <c r="K1327" s="77" t="s">
        <v>1522</v>
      </c>
      <c r="L1327" s="77" t="s">
        <v>2393</v>
      </c>
      <c r="M1327" s="77" t="s">
        <v>82</v>
      </c>
      <c r="N1327" s="77" t="s">
        <v>83</v>
      </c>
      <c r="Q1327" s="77" t="s">
        <v>111</v>
      </c>
      <c r="T1327" s="77" t="s">
        <v>1666</v>
      </c>
      <c r="U1327" s="77" t="s">
        <v>85</v>
      </c>
      <c r="V1327" s="80" t="s">
        <v>1402</v>
      </c>
      <c r="X1327" s="77" t="s">
        <v>1403</v>
      </c>
      <c r="Y1327" s="78" t="s">
        <v>101</v>
      </c>
      <c r="AA1327" s="77" t="s">
        <v>1568</v>
      </c>
      <c r="AB1327" s="77" t="s">
        <v>1521</v>
      </c>
      <c r="AC1327" s="77" t="s">
        <v>90</v>
      </c>
      <c r="AD1327" s="77" t="s">
        <v>274</v>
      </c>
      <c r="AE1327" s="77" t="s">
        <v>1569</v>
      </c>
    </row>
    <row r="1328" spans="1:31" x14ac:dyDescent="0.3">
      <c r="A1328" s="77" t="s">
        <v>2402</v>
      </c>
      <c r="B1328" s="77" t="s">
        <v>2403</v>
      </c>
      <c r="G1328" s="77" t="s">
        <v>1566</v>
      </c>
      <c r="H1328" s="77" t="s">
        <v>77</v>
      </c>
      <c r="I1328" s="77" t="s">
        <v>1521</v>
      </c>
      <c r="J1328" s="77" t="s">
        <v>79</v>
      </c>
      <c r="K1328" s="77" t="s">
        <v>1522</v>
      </c>
      <c r="L1328" s="77" t="s">
        <v>2404</v>
      </c>
      <c r="M1328" s="77" t="s">
        <v>82</v>
      </c>
      <c r="N1328" s="77" t="s">
        <v>83</v>
      </c>
      <c r="Q1328" s="77" t="s">
        <v>111</v>
      </c>
      <c r="T1328" s="77" t="s">
        <v>1666</v>
      </c>
      <c r="U1328" s="77" t="s">
        <v>85</v>
      </c>
      <c r="V1328" s="80" t="s">
        <v>891</v>
      </c>
      <c r="X1328" s="77" t="s">
        <v>892</v>
      </c>
      <c r="Y1328" s="78" t="s">
        <v>88</v>
      </c>
      <c r="AA1328" s="77" t="s">
        <v>1568</v>
      </c>
      <c r="AB1328" s="77" t="s">
        <v>1521</v>
      </c>
      <c r="AC1328" s="77" t="s">
        <v>90</v>
      </c>
      <c r="AD1328" s="77" t="s">
        <v>91</v>
      </c>
      <c r="AE1328" s="77" t="s">
        <v>1569</v>
      </c>
    </row>
    <row r="1329" spans="1:33" x14ac:dyDescent="0.3">
      <c r="A1329" s="77" t="s">
        <v>2405</v>
      </c>
      <c r="B1329" s="77" t="s">
        <v>2406</v>
      </c>
      <c r="G1329" s="77" t="s">
        <v>1566</v>
      </c>
      <c r="H1329" s="77" t="s">
        <v>77</v>
      </c>
      <c r="I1329" s="77" t="s">
        <v>1521</v>
      </c>
      <c r="J1329" s="77" t="s">
        <v>79</v>
      </c>
      <c r="K1329" s="77" t="s">
        <v>1522</v>
      </c>
      <c r="L1329" s="77" t="s">
        <v>2407</v>
      </c>
      <c r="M1329" s="77" t="s">
        <v>82</v>
      </c>
      <c r="N1329" s="77" t="s">
        <v>83</v>
      </c>
      <c r="Q1329" s="77" t="s">
        <v>111</v>
      </c>
      <c r="T1329" s="77" t="s">
        <v>2327</v>
      </c>
      <c r="U1329" s="77" t="s">
        <v>85</v>
      </c>
      <c r="V1329" s="80" t="s">
        <v>891</v>
      </c>
      <c r="X1329" s="77" t="s">
        <v>892</v>
      </c>
      <c r="Y1329" s="78" t="s">
        <v>88</v>
      </c>
      <c r="AA1329" s="77" t="s">
        <v>1568</v>
      </c>
      <c r="AB1329" s="77" t="s">
        <v>1521</v>
      </c>
      <c r="AC1329" s="77" t="s">
        <v>90</v>
      </c>
      <c r="AD1329" s="77" t="s">
        <v>91</v>
      </c>
      <c r="AE1329" s="77" t="s">
        <v>1569</v>
      </c>
      <c r="AG1329" s="77" t="s">
        <v>2327</v>
      </c>
    </row>
    <row r="1330" spans="1:33" x14ac:dyDescent="0.3">
      <c r="A1330" s="77" t="s">
        <v>2408</v>
      </c>
      <c r="B1330" s="77" t="s">
        <v>2409</v>
      </c>
      <c r="G1330" s="77" t="s">
        <v>1566</v>
      </c>
      <c r="H1330" s="77" t="s">
        <v>77</v>
      </c>
      <c r="I1330" s="77" t="s">
        <v>1521</v>
      </c>
      <c r="J1330" s="77" t="s">
        <v>79</v>
      </c>
      <c r="K1330" s="77" t="s">
        <v>1522</v>
      </c>
      <c r="L1330" s="77" t="s">
        <v>2410</v>
      </c>
      <c r="M1330" s="77" t="s">
        <v>82</v>
      </c>
      <c r="N1330" s="77" t="s">
        <v>83</v>
      </c>
      <c r="Q1330" s="77" t="s">
        <v>111</v>
      </c>
      <c r="T1330" s="77" t="s">
        <v>2327</v>
      </c>
      <c r="U1330" s="77" t="s">
        <v>85</v>
      </c>
      <c r="V1330" s="80" t="s">
        <v>891</v>
      </c>
      <c r="X1330" s="77" t="s">
        <v>892</v>
      </c>
      <c r="Y1330" s="78" t="s">
        <v>88</v>
      </c>
      <c r="AA1330" s="77" t="s">
        <v>1568</v>
      </c>
      <c r="AB1330" s="77" t="s">
        <v>1521</v>
      </c>
      <c r="AC1330" s="77" t="s">
        <v>90</v>
      </c>
      <c r="AD1330" s="77" t="s">
        <v>91</v>
      </c>
      <c r="AE1330" s="77" t="s">
        <v>1569</v>
      </c>
      <c r="AG1330" s="77" t="s">
        <v>2327</v>
      </c>
    </row>
    <row r="1331" spans="1:33" x14ac:dyDescent="0.3">
      <c r="A1331" s="77" t="s">
        <v>2411</v>
      </c>
      <c r="B1331" s="77" t="s">
        <v>2412</v>
      </c>
      <c r="G1331" s="77" t="s">
        <v>1566</v>
      </c>
      <c r="H1331" s="77" t="s">
        <v>77</v>
      </c>
      <c r="I1331" s="77" t="s">
        <v>1521</v>
      </c>
      <c r="J1331" s="77" t="s">
        <v>79</v>
      </c>
      <c r="K1331" s="77" t="s">
        <v>1522</v>
      </c>
      <c r="L1331" s="77" t="s">
        <v>2413</v>
      </c>
      <c r="M1331" s="77" t="s">
        <v>82</v>
      </c>
      <c r="N1331" s="77" t="s">
        <v>83</v>
      </c>
      <c r="Q1331" s="77" t="s">
        <v>111</v>
      </c>
      <c r="T1331" s="77" t="s">
        <v>2327</v>
      </c>
      <c r="U1331" s="77" t="s">
        <v>85</v>
      </c>
      <c r="V1331" s="80" t="s">
        <v>891</v>
      </c>
      <c r="X1331" s="77" t="s">
        <v>892</v>
      </c>
      <c r="Y1331" s="78" t="s">
        <v>88</v>
      </c>
      <c r="AA1331" s="77" t="s">
        <v>1568</v>
      </c>
      <c r="AB1331" s="77" t="s">
        <v>1521</v>
      </c>
      <c r="AC1331" s="77" t="s">
        <v>90</v>
      </c>
      <c r="AD1331" s="77" t="s">
        <v>91</v>
      </c>
      <c r="AE1331" s="77" t="s">
        <v>1569</v>
      </c>
      <c r="AG1331" s="77" t="s">
        <v>2327</v>
      </c>
    </row>
    <row r="1332" spans="1:33" x14ac:dyDescent="0.3">
      <c r="A1332" s="77" t="s">
        <v>2414</v>
      </c>
      <c r="B1332" s="77" t="s">
        <v>2415</v>
      </c>
      <c r="G1332" s="77" t="s">
        <v>1566</v>
      </c>
      <c r="H1332" s="77" t="s">
        <v>77</v>
      </c>
      <c r="I1332" s="77" t="s">
        <v>1521</v>
      </c>
      <c r="J1332" s="77" t="s">
        <v>79</v>
      </c>
      <c r="K1332" s="77" t="s">
        <v>1522</v>
      </c>
      <c r="L1332" s="77" t="s">
        <v>2416</v>
      </c>
      <c r="M1332" s="77" t="s">
        <v>82</v>
      </c>
      <c r="N1332" s="77" t="s">
        <v>83</v>
      </c>
      <c r="Q1332" s="77" t="s">
        <v>111</v>
      </c>
      <c r="T1332" s="77" t="s">
        <v>1666</v>
      </c>
      <c r="U1332" s="77" t="s">
        <v>85</v>
      </c>
      <c r="V1332" s="80" t="s">
        <v>896</v>
      </c>
      <c r="X1332" s="77" t="s">
        <v>897</v>
      </c>
      <c r="Y1332" s="78" t="s">
        <v>88</v>
      </c>
      <c r="AA1332" s="77" t="s">
        <v>1568</v>
      </c>
      <c r="AB1332" s="77" t="s">
        <v>1521</v>
      </c>
      <c r="AC1332" s="77" t="s">
        <v>90</v>
      </c>
      <c r="AD1332" s="77" t="s">
        <v>91</v>
      </c>
      <c r="AE1332" s="77" t="s">
        <v>1569</v>
      </c>
    </row>
    <row r="1333" spans="1:33" x14ac:dyDescent="0.3">
      <c r="A1333" s="77" t="s">
        <v>2417</v>
      </c>
      <c r="B1333" s="77" t="s">
        <v>2418</v>
      </c>
      <c r="G1333" s="77" t="s">
        <v>1566</v>
      </c>
      <c r="H1333" s="77" t="s">
        <v>77</v>
      </c>
      <c r="I1333" s="77" t="s">
        <v>1521</v>
      </c>
      <c r="J1333" s="77" t="s">
        <v>79</v>
      </c>
      <c r="K1333" s="77" t="s">
        <v>1522</v>
      </c>
      <c r="L1333" s="77" t="s">
        <v>2416</v>
      </c>
      <c r="M1333" s="77" t="s">
        <v>82</v>
      </c>
      <c r="N1333" s="77" t="s">
        <v>83</v>
      </c>
      <c r="Q1333" s="77" t="s">
        <v>111</v>
      </c>
      <c r="T1333" s="77" t="s">
        <v>1666</v>
      </c>
      <c r="U1333" s="77" t="s">
        <v>85</v>
      </c>
      <c r="V1333" s="80" t="s">
        <v>896</v>
      </c>
      <c r="X1333" s="77" t="s">
        <v>897</v>
      </c>
      <c r="Y1333" s="78" t="s">
        <v>88</v>
      </c>
      <c r="AA1333" s="77" t="s">
        <v>1568</v>
      </c>
      <c r="AB1333" s="77" t="s">
        <v>1521</v>
      </c>
      <c r="AC1333" s="77" t="s">
        <v>90</v>
      </c>
      <c r="AD1333" s="77" t="s">
        <v>91</v>
      </c>
      <c r="AE1333" s="77" t="s">
        <v>1569</v>
      </c>
    </row>
    <row r="1334" spans="1:33" x14ac:dyDescent="0.3">
      <c r="A1334" s="77" t="s">
        <v>2419</v>
      </c>
      <c r="B1334" s="77" t="s">
        <v>2420</v>
      </c>
      <c r="G1334" s="77" t="s">
        <v>1566</v>
      </c>
      <c r="H1334" s="77" t="s">
        <v>77</v>
      </c>
      <c r="I1334" s="77" t="s">
        <v>1521</v>
      </c>
      <c r="J1334" s="77" t="s">
        <v>79</v>
      </c>
      <c r="K1334" s="77" t="s">
        <v>1522</v>
      </c>
      <c r="L1334" s="77" t="s">
        <v>2416</v>
      </c>
      <c r="M1334" s="77" t="s">
        <v>82</v>
      </c>
      <c r="N1334" s="77" t="s">
        <v>83</v>
      </c>
      <c r="Q1334" s="77" t="s">
        <v>111</v>
      </c>
      <c r="T1334" s="77" t="s">
        <v>1666</v>
      </c>
      <c r="U1334" s="77" t="s">
        <v>85</v>
      </c>
      <c r="V1334" s="80" t="s">
        <v>896</v>
      </c>
      <c r="X1334" s="77" t="s">
        <v>897</v>
      </c>
      <c r="Y1334" s="78" t="s">
        <v>88</v>
      </c>
      <c r="AA1334" s="77" t="s">
        <v>1568</v>
      </c>
      <c r="AB1334" s="77" t="s">
        <v>1521</v>
      </c>
      <c r="AC1334" s="77" t="s">
        <v>90</v>
      </c>
      <c r="AD1334" s="77" t="s">
        <v>91</v>
      </c>
      <c r="AE1334" s="77" t="s">
        <v>1569</v>
      </c>
    </row>
    <row r="1335" spans="1:33" x14ac:dyDescent="0.3">
      <c r="A1335" s="77" t="s">
        <v>2421</v>
      </c>
      <c r="B1335" s="77" t="s">
        <v>2422</v>
      </c>
      <c r="G1335" s="77" t="s">
        <v>1566</v>
      </c>
      <c r="H1335" s="77" t="s">
        <v>77</v>
      </c>
      <c r="I1335" s="77" t="s">
        <v>1521</v>
      </c>
      <c r="J1335" s="77" t="s">
        <v>79</v>
      </c>
      <c r="K1335" s="77" t="s">
        <v>1522</v>
      </c>
      <c r="L1335" s="77" t="s">
        <v>2416</v>
      </c>
      <c r="M1335" s="77" t="s">
        <v>82</v>
      </c>
      <c r="N1335" s="77" t="s">
        <v>83</v>
      </c>
      <c r="Q1335" s="77" t="s">
        <v>111</v>
      </c>
      <c r="T1335" s="77" t="s">
        <v>1666</v>
      </c>
      <c r="U1335" s="77" t="s">
        <v>85</v>
      </c>
      <c r="V1335" s="80" t="s">
        <v>896</v>
      </c>
      <c r="X1335" s="77" t="s">
        <v>897</v>
      </c>
      <c r="Y1335" s="78" t="s">
        <v>88</v>
      </c>
      <c r="AA1335" s="77" t="s">
        <v>1568</v>
      </c>
      <c r="AB1335" s="77" t="s">
        <v>1521</v>
      </c>
      <c r="AC1335" s="77" t="s">
        <v>90</v>
      </c>
      <c r="AD1335" s="77" t="s">
        <v>91</v>
      </c>
      <c r="AE1335" s="77" t="s">
        <v>1569</v>
      </c>
    </row>
    <row r="1336" spans="1:33" x14ac:dyDescent="0.3">
      <c r="A1336" s="77" t="s">
        <v>2423</v>
      </c>
      <c r="B1336" s="77" t="s">
        <v>2424</v>
      </c>
      <c r="G1336" s="77" t="s">
        <v>1566</v>
      </c>
      <c r="H1336" s="77" t="s">
        <v>77</v>
      </c>
      <c r="I1336" s="77" t="s">
        <v>1521</v>
      </c>
      <c r="J1336" s="77" t="s">
        <v>79</v>
      </c>
      <c r="K1336" s="77" t="s">
        <v>1522</v>
      </c>
      <c r="L1336" s="77" t="s">
        <v>1662</v>
      </c>
      <c r="M1336" s="77" t="s">
        <v>82</v>
      </c>
      <c r="N1336" s="77" t="s">
        <v>83</v>
      </c>
      <c r="Q1336" s="77" t="s">
        <v>111</v>
      </c>
      <c r="T1336" s="77" t="s">
        <v>1666</v>
      </c>
      <c r="U1336" s="77" t="s">
        <v>85</v>
      </c>
      <c r="V1336" s="80" t="s">
        <v>272</v>
      </c>
      <c r="X1336" s="77" t="s">
        <v>273</v>
      </c>
      <c r="Y1336" s="78" t="s">
        <v>101</v>
      </c>
      <c r="AA1336" s="77" t="s">
        <v>1568</v>
      </c>
      <c r="AB1336" s="77" t="s">
        <v>1521</v>
      </c>
      <c r="AC1336" s="77" t="s">
        <v>90</v>
      </c>
      <c r="AD1336" s="77" t="s">
        <v>274</v>
      </c>
      <c r="AE1336" s="77" t="s">
        <v>1569</v>
      </c>
    </row>
    <row r="1337" spans="1:33" x14ac:dyDescent="0.3">
      <c r="A1337" s="77" t="s">
        <v>2425</v>
      </c>
      <c r="B1337" s="77" t="s">
        <v>2426</v>
      </c>
      <c r="G1337" s="77" t="s">
        <v>1566</v>
      </c>
      <c r="H1337" s="77" t="s">
        <v>77</v>
      </c>
      <c r="I1337" s="77" t="s">
        <v>1521</v>
      </c>
      <c r="J1337" s="77" t="s">
        <v>79</v>
      </c>
      <c r="K1337" s="77" t="s">
        <v>1522</v>
      </c>
      <c r="L1337" s="77" t="s">
        <v>1662</v>
      </c>
      <c r="M1337" s="77" t="s">
        <v>82</v>
      </c>
      <c r="N1337" s="77" t="s">
        <v>83</v>
      </c>
      <c r="Q1337" s="77" t="s">
        <v>111</v>
      </c>
      <c r="T1337" s="77" t="s">
        <v>1666</v>
      </c>
      <c r="U1337" s="77" t="s">
        <v>85</v>
      </c>
      <c r="V1337" s="80" t="s">
        <v>272</v>
      </c>
      <c r="X1337" s="77" t="s">
        <v>273</v>
      </c>
      <c r="Y1337" s="78" t="s">
        <v>101</v>
      </c>
      <c r="AA1337" s="77" t="s">
        <v>1568</v>
      </c>
      <c r="AB1337" s="77" t="s">
        <v>1521</v>
      </c>
      <c r="AC1337" s="77" t="s">
        <v>90</v>
      </c>
      <c r="AD1337" s="77" t="s">
        <v>274</v>
      </c>
      <c r="AE1337" s="77" t="s">
        <v>1569</v>
      </c>
    </row>
    <row r="1338" spans="1:33" x14ac:dyDescent="0.3">
      <c r="A1338" s="77" t="s">
        <v>2427</v>
      </c>
      <c r="B1338" s="77" t="s">
        <v>2428</v>
      </c>
      <c r="G1338" s="77" t="s">
        <v>1566</v>
      </c>
      <c r="H1338" s="77" t="s">
        <v>77</v>
      </c>
      <c r="I1338" s="77" t="s">
        <v>1521</v>
      </c>
      <c r="J1338" s="77" t="s">
        <v>79</v>
      </c>
      <c r="K1338" s="77" t="s">
        <v>1522</v>
      </c>
      <c r="L1338" s="77" t="s">
        <v>1662</v>
      </c>
      <c r="M1338" s="77" t="s">
        <v>82</v>
      </c>
      <c r="N1338" s="77" t="s">
        <v>83</v>
      </c>
      <c r="Q1338" s="77" t="s">
        <v>111</v>
      </c>
      <c r="T1338" s="77" t="s">
        <v>1666</v>
      </c>
      <c r="U1338" s="77" t="s">
        <v>85</v>
      </c>
      <c r="V1338" s="80" t="s">
        <v>272</v>
      </c>
      <c r="X1338" s="77" t="s">
        <v>273</v>
      </c>
      <c r="Y1338" s="78" t="s">
        <v>101</v>
      </c>
      <c r="AA1338" s="77" t="s">
        <v>1568</v>
      </c>
      <c r="AB1338" s="77" t="s">
        <v>1521</v>
      </c>
      <c r="AC1338" s="77" t="s">
        <v>90</v>
      </c>
      <c r="AD1338" s="77" t="s">
        <v>274</v>
      </c>
      <c r="AE1338" s="77" t="s">
        <v>1569</v>
      </c>
    </row>
    <row r="1339" spans="1:33" x14ac:dyDescent="0.3">
      <c r="A1339" s="77" t="s">
        <v>2429</v>
      </c>
      <c r="B1339" s="77" t="s">
        <v>2430</v>
      </c>
      <c r="G1339" s="77" t="s">
        <v>1566</v>
      </c>
      <c r="H1339" s="77" t="s">
        <v>77</v>
      </c>
      <c r="I1339" s="77" t="s">
        <v>1521</v>
      </c>
      <c r="J1339" s="77" t="s">
        <v>79</v>
      </c>
      <c r="K1339" s="77" t="s">
        <v>1522</v>
      </c>
      <c r="L1339" s="77" t="s">
        <v>2431</v>
      </c>
      <c r="M1339" s="77" t="s">
        <v>82</v>
      </c>
      <c r="N1339" s="77" t="s">
        <v>83</v>
      </c>
      <c r="Q1339" s="77" t="s">
        <v>111</v>
      </c>
      <c r="T1339" s="77" t="s">
        <v>1666</v>
      </c>
      <c r="U1339" s="77" t="s">
        <v>85</v>
      </c>
      <c r="V1339" s="80" t="s">
        <v>272</v>
      </c>
      <c r="X1339" s="77" t="s">
        <v>273</v>
      </c>
      <c r="Y1339" s="78" t="s">
        <v>101</v>
      </c>
      <c r="AA1339" s="77" t="s">
        <v>1568</v>
      </c>
      <c r="AB1339" s="77" t="s">
        <v>1521</v>
      </c>
      <c r="AC1339" s="77" t="s">
        <v>90</v>
      </c>
      <c r="AD1339" s="77" t="s">
        <v>274</v>
      </c>
      <c r="AE1339" s="77" t="s">
        <v>1569</v>
      </c>
    </row>
    <row r="1340" spans="1:33" x14ac:dyDescent="0.3">
      <c r="A1340" s="77" t="s">
        <v>2432</v>
      </c>
      <c r="B1340" s="77" t="s">
        <v>2433</v>
      </c>
      <c r="G1340" s="77" t="s">
        <v>1566</v>
      </c>
      <c r="H1340" s="77" t="s">
        <v>77</v>
      </c>
      <c r="I1340" s="77" t="s">
        <v>1521</v>
      </c>
      <c r="J1340" s="77" t="s">
        <v>79</v>
      </c>
      <c r="K1340" s="77" t="s">
        <v>1522</v>
      </c>
      <c r="L1340" s="77" t="s">
        <v>2431</v>
      </c>
      <c r="M1340" s="77" t="s">
        <v>82</v>
      </c>
      <c r="N1340" s="77" t="s">
        <v>83</v>
      </c>
      <c r="Q1340" s="77" t="s">
        <v>111</v>
      </c>
      <c r="T1340" s="77" t="s">
        <v>1666</v>
      </c>
      <c r="U1340" s="77" t="s">
        <v>85</v>
      </c>
      <c r="V1340" s="80" t="s">
        <v>272</v>
      </c>
      <c r="X1340" s="77" t="s">
        <v>273</v>
      </c>
      <c r="Y1340" s="78" t="s">
        <v>101</v>
      </c>
      <c r="AA1340" s="77" t="s">
        <v>1568</v>
      </c>
      <c r="AB1340" s="77" t="s">
        <v>1521</v>
      </c>
      <c r="AC1340" s="77" t="s">
        <v>90</v>
      </c>
      <c r="AD1340" s="77" t="s">
        <v>274</v>
      </c>
      <c r="AE1340" s="77" t="s">
        <v>1569</v>
      </c>
    </row>
    <row r="1341" spans="1:33" x14ac:dyDescent="0.3">
      <c r="A1341" s="77" t="s">
        <v>2434</v>
      </c>
      <c r="B1341" s="77" t="s">
        <v>2435</v>
      </c>
      <c r="G1341" s="77" t="s">
        <v>1566</v>
      </c>
      <c r="H1341" s="77" t="s">
        <v>77</v>
      </c>
      <c r="I1341" s="77" t="s">
        <v>1521</v>
      </c>
      <c r="J1341" s="77" t="s">
        <v>79</v>
      </c>
      <c r="K1341" s="77" t="s">
        <v>1522</v>
      </c>
      <c r="L1341" s="77" t="s">
        <v>1662</v>
      </c>
      <c r="M1341" s="77" t="s">
        <v>82</v>
      </c>
      <c r="N1341" s="77" t="s">
        <v>83</v>
      </c>
      <c r="Q1341" s="77" t="s">
        <v>111</v>
      </c>
      <c r="T1341" s="77" t="s">
        <v>1666</v>
      </c>
      <c r="U1341" s="77" t="s">
        <v>85</v>
      </c>
      <c r="V1341" s="80" t="s">
        <v>272</v>
      </c>
      <c r="X1341" s="77" t="s">
        <v>273</v>
      </c>
      <c r="Y1341" s="78" t="s">
        <v>101</v>
      </c>
      <c r="AA1341" s="77" t="s">
        <v>1568</v>
      </c>
      <c r="AB1341" s="77" t="s">
        <v>1521</v>
      </c>
      <c r="AC1341" s="77" t="s">
        <v>90</v>
      </c>
      <c r="AD1341" s="77" t="s">
        <v>274</v>
      </c>
      <c r="AE1341" s="77" t="s">
        <v>1569</v>
      </c>
    </row>
    <row r="1342" spans="1:33" x14ac:dyDescent="0.3">
      <c r="A1342" s="77" t="s">
        <v>2436</v>
      </c>
      <c r="B1342" s="77" t="s">
        <v>2437</v>
      </c>
      <c r="G1342" s="77" t="s">
        <v>1566</v>
      </c>
      <c r="H1342" s="77" t="s">
        <v>77</v>
      </c>
      <c r="I1342" s="77" t="s">
        <v>1521</v>
      </c>
      <c r="J1342" s="77" t="s">
        <v>79</v>
      </c>
      <c r="K1342" s="77" t="s">
        <v>1522</v>
      </c>
      <c r="L1342" s="77" t="s">
        <v>1662</v>
      </c>
      <c r="M1342" s="77" t="s">
        <v>82</v>
      </c>
      <c r="N1342" s="77" t="s">
        <v>83</v>
      </c>
      <c r="Q1342" s="77" t="s">
        <v>111</v>
      </c>
      <c r="T1342" s="77" t="s">
        <v>1666</v>
      </c>
      <c r="U1342" s="77" t="s">
        <v>85</v>
      </c>
      <c r="V1342" s="80" t="s">
        <v>272</v>
      </c>
      <c r="X1342" s="77" t="s">
        <v>273</v>
      </c>
      <c r="Y1342" s="78" t="s">
        <v>101</v>
      </c>
      <c r="AA1342" s="77" t="s">
        <v>1568</v>
      </c>
      <c r="AB1342" s="77" t="s">
        <v>1521</v>
      </c>
      <c r="AC1342" s="77" t="s">
        <v>90</v>
      </c>
      <c r="AD1342" s="77" t="s">
        <v>274</v>
      </c>
      <c r="AE1342" s="77" t="s">
        <v>1569</v>
      </c>
    </row>
    <row r="1343" spans="1:33" x14ac:dyDescent="0.3">
      <c r="A1343" s="77" t="s">
        <v>2438</v>
      </c>
      <c r="B1343" s="77" t="s">
        <v>2439</v>
      </c>
      <c r="G1343" s="77" t="s">
        <v>1566</v>
      </c>
      <c r="H1343" s="77" t="s">
        <v>77</v>
      </c>
      <c r="I1343" s="77" t="s">
        <v>1521</v>
      </c>
      <c r="J1343" s="77" t="s">
        <v>79</v>
      </c>
      <c r="K1343" s="77" t="s">
        <v>1522</v>
      </c>
      <c r="L1343" s="77" t="s">
        <v>1662</v>
      </c>
      <c r="M1343" s="77" t="s">
        <v>82</v>
      </c>
      <c r="N1343" s="77" t="s">
        <v>83</v>
      </c>
      <c r="Q1343" s="77" t="s">
        <v>111</v>
      </c>
      <c r="T1343" s="77" t="s">
        <v>1666</v>
      </c>
      <c r="U1343" s="77" t="s">
        <v>85</v>
      </c>
      <c r="V1343" s="80" t="s">
        <v>272</v>
      </c>
      <c r="X1343" s="77" t="s">
        <v>273</v>
      </c>
      <c r="Y1343" s="78" t="s">
        <v>101</v>
      </c>
      <c r="AA1343" s="77" t="s">
        <v>1568</v>
      </c>
      <c r="AB1343" s="77" t="s">
        <v>1521</v>
      </c>
      <c r="AC1343" s="77" t="s">
        <v>90</v>
      </c>
      <c r="AD1343" s="77" t="s">
        <v>274</v>
      </c>
      <c r="AE1343" s="77" t="s">
        <v>1569</v>
      </c>
    </row>
    <row r="1344" spans="1:33" x14ac:dyDescent="0.3">
      <c r="A1344" s="77" t="s">
        <v>2440</v>
      </c>
      <c r="B1344" s="77" t="s">
        <v>2441</v>
      </c>
      <c r="G1344" s="77" t="s">
        <v>1566</v>
      </c>
      <c r="H1344" s="77" t="s">
        <v>77</v>
      </c>
      <c r="I1344" s="77" t="s">
        <v>1521</v>
      </c>
      <c r="J1344" s="77" t="s">
        <v>79</v>
      </c>
      <c r="K1344" s="77" t="s">
        <v>1522</v>
      </c>
      <c r="L1344" s="77" t="s">
        <v>2442</v>
      </c>
      <c r="M1344" s="77" t="s">
        <v>82</v>
      </c>
      <c r="N1344" s="77" t="s">
        <v>83</v>
      </c>
      <c r="Q1344" s="77" t="s">
        <v>111</v>
      </c>
      <c r="T1344" s="77" t="s">
        <v>1666</v>
      </c>
      <c r="U1344" s="77" t="s">
        <v>85</v>
      </c>
      <c r="V1344" s="80" t="s">
        <v>272</v>
      </c>
      <c r="X1344" s="77" t="s">
        <v>273</v>
      </c>
      <c r="Y1344" s="78" t="s">
        <v>101</v>
      </c>
      <c r="AA1344" s="77" t="s">
        <v>1568</v>
      </c>
      <c r="AB1344" s="77" t="s">
        <v>1521</v>
      </c>
      <c r="AC1344" s="77" t="s">
        <v>90</v>
      </c>
      <c r="AD1344" s="77" t="s">
        <v>274</v>
      </c>
      <c r="AE1344" s="77" t="s">
        <v>1569</v>
      </c>
    </row>
    <row r="1345" spans="1:33" x14ac:dyDescent="0.3">
      <c r="A1345" s="77" t="s">
        <v>2443</v>
      </c>
      <c r="B1345" s="77" t="s">
        <v>2444</v>
      </c>
      <c r="G1345" s="77" t="s">
        <v>1566</v>
      </c>
      <c r="H1345" s="77" t="s">
        <v>77</v>
      </c>
      <c r="I1345" s="77" t="s">
        <v>1521</v>
      </c>
      <c r="J1345" s="77" t="s">
        <v>79</v>
      </c>
      <c r="K1345" s="77" t="s">
        <v>1522</v>
      </c>
      <c r="L1345" s="77" t="s">
        <v>2445</v>
      </c>
      <c r="M1345" s="77" t="s">
        <v>82</v>
      </c>
      <c r="N1345" s="77" t="s">
        <v>83</v>
      </c>
      <c r="Q1345" s="77" t="s">
        <v>111</v>
      </c>
      <c r="T1345" s="77" t="s">
        <v>1666</v>
      </c>
      <c r="U1345" s="77" t="s">
        <v>85</v>
      </c>
      <c r="V1345" s="80" t="s">
        <v>272</v>
      </c>
      <c r="X1345" s="77" t="s">
        <v>273</v>
      </c>
      <c r="Y1345" s="78" t="s">
        <v>101</v>
      </c>
      <c r="AA1345" s="77" t="s">
        <v>1568</v>
      </c>
      <c r="AB1345" s="77" t="s">
        <v>1521</v>
      </c>
      <c r="AC1345" s="77" t="s">
        <v>90</v>
      </c>
      <c r="AD1345" s="77" t="s">
        <v>274</v>
      </c>
      <c r="AE1345" s="77" t="s">
        <v>1569</v>
      </c>
    </row>
    <row r="1346" spans="1:33" x14ac:dyDescent="0.3">
      <c r="A1346" s="77" t="s">
        <v>2446</v>
      </c>
      <c r="B1346" s="77" t="s">
        <v>2447</v>
      </c>
      <c r="G1346" s="77" t="s">
        <v>1566</v>
      </c>
      <c r="H1346" s="77" t="s">
        <v>77</v>
      </c>
      <c r="I1346" s="77" t="s">
        <v>1521</v>
      </c>
      <c r="J1346" s="77" t="s">
        <v>79</v>
      </c>
      <c r="K1346" s="77" t="s">
        <v>1522</v>
      </c>
      <c r="L1346" s="77" t="s">
        <v>2445</v>
      </c>
      <c r="M1346" s="77" t="s">
        <v>82</v>
      </c>
      <c r="N1346" s="77" t="s">
        <v>83</v>
      </c>
      <c r="Q1346" s="77" t="s">
        <v>111</v>
      </c>
      <c r="T1346" s="77" t="s">
        <v>1666</v>
      </c>
      <c r="U1346" s="77" t="s">
        <v>85</v>
      </c>
      <c r="V1346" s="80" t="s">
        <v>272</v>
      </c>
      <c r="X1346" s="77" t="s">
        <v>273</v>
      </c>
      <c r="Y1346" s="78" t="s">
        <v>101</v>
      </c>
      <c r="AA1346" s="77" t="s">
        <v>1568</v>
      </c>
      <c r="AB1346" s="77" t="s">
        <v>1521</v>
      </c>
      <c r="AC1346" s="77" t="s">
        <v>90</v>
      </c>
      <c r="AD1346" s="77" t="s">
        <v>274</v>
      </c>
      <c r="AE1346" s="77" t="s">
        <v>1569</v>
      </c>
    </row>
    <row r="1347" spans="1:33" x14ac:dyDescent="0.3">
      <c r="A1347" s="77" t="s">
        <v>2448</v>
      </c>
      <c r="B1347" s="77" t="s">
        <v>2449</v>
      </c>
      <c r="G1347" s="77" t="s">
        <v>1566</v>
      </c>
      <c r="H1347" s="77" t="s">
        <v>77</v>
      </c>
      <c r="I1347" s="77" t="s">
        <v>1521</v>
      </c>
      <c r="J1347" s="77" t="s">
        <v>79</v>
      </c>
      <c r="K1347" s="77" t="s">
        <v>1522</v>
      </c>
      <c r="L1347" s="77" t="s">
        <v>2445</v>
      </c>
      <c r="M1347" s="77" t="s">
        <v>82</v>
      </c>
      <c r="N1347" s="77" t="s">
        <v>83</v>
      </c>
      <c r="Q1347" s="77" t="s">
        <v>111</v>
      </c>
      <c r="T1347" s="77" t="s">
        <v>1666</v>
      </c>
      <c r="U1347" s="77" t="s">
        <v>85</v>
      </c>
      <c r="V1347" s="80" t="s">
        <v>272</v>
      </c>
      <c r="X1347" s="77" t="s">
        <v>273</v>
      </c>
      <c r="Y1347" s="78" t="s">
        <v>101</v>
      </c>
      <c r="AA1347" s="77" t="s">
        <v>1568</v>
      </c>
      <c r="AB1347" s="77" t="s">
        <v>1521</v>
      </c>
      <c r="AC1347" s="77" t="s">
        <v>90</v>
      </c>
      <c r="AD1347" s="77" t="s">
        <v>274</v>
      </c>
      <c r="AE1347" s="77" t="s">
        <v>1569</v>
      </c>
    </row>
    <row r="1348" spans="1:33" x14ac:dyDescent="0.3">
      <c r="A1348" s="77" t="s">
        <v>2450</v>
      </c>
      <c r="B1348" s="77" t="s">
        <v>2451</v>
      </c>
      <c r="G1348" s="77" t="s">
        <v>1566</v>
      </c>
      <c r="H1348" s="77" t="s">
        <v>77</v>
      </c>
      <c r="I1348" s="77" t="s">
        <v>1521</v>
      </c>
      <c r="J1348" s="77" t="s">
        <v>79</v>
      </c>
      <c r="K1348" s="77" t="s">
        <v>1522</v>
      </c>
      <c r="L1348" s="77" t="s">
        <v>2452</v>
      </c>
      <c r="M1348" s="77" t="s">
        <v>82</v>
      </c>
      <c r="N1348" s="77" t="s">
        <v>83</v>
      </c>
      <c r="Q1348" s="77" t="s">
        <v>111</v>
      </c>
      <c r="T1348" s="77" t="s">
        <v>1666</v>
      </c>
      <c r="U1348" s="77" t="s">
        <v>85</v>
      </c>
      <c r="V1348" s="80" t="s">
        <v>272</v>
      </c>
      <c r="X1348" s="77" t="s">
        <v>273</v>
      </c>
      <c r="Y1348" s="78" t="s">
        <v>101</v>
      </c>
      <c r="AA1348" s="77" t="s">
        <v>1568</v>
      </c>
      <c r="AB1348" s="77" t="s">
        <v>1521</v>
      </c>
      <c r="AC1348" s="77" t="s">
        <v>90</v>
      </c>
      <c r="AD1348" s="77" t="s">
        <v>274</v>
      </c>
      <c r="AE1348" s="77" t="s">
        <v>1569</v>
      </c>
    </row>
    <row r="1349" spans="1:33" x14ac:dyDescent="0.3">
      <c r="A1349" s="77" t="s">
        <v>2453</v>
      </c>
      <c r="B1349" s="77" t="s">
        <v>2454</v>
      </c>
      <c r="G1349" s="77" t="s">
        <v>1566</v>
      </c>
      <c r="H1349" s="77" t="s">
        <v>77</v>
      </c>
      <c r="I1349" s="77" t="s">
        <v>1521</v>
      </c>
      <c r="J1349" s="77" t="s">
        <v>79</v>
      </c>
      <c r="K1349" s="77" t="s">
        <v>1522</v>
      </c>
      <c r="L1349" s="77" t="s">
        <v>2452</v>
      </c>
      <c r="M1349" s="77" t="s">
        <v>82</v>
      </c>
      <c r="N1349" s="77" t="s">
        <v>83</v>
      </c>
      <c r="Q1349" s="77" t="s">
        <v>111</v>
      </c>
      <c r="T1349" s="77" t="s">
        <v>1666</v>
      </c>
      <c r="U1349" s="77" t="s">
        <v>85</v>
      </c>
      <c r="V1349" s="80" t="s">
        <v>272</v>
      </c>
      <c r="X1349" s="77" t="s">
        <v>273</v>
      </c>
      <c r="Y1349" s="78" t="s">
        <v>101</v>
      </c>
      <c r="AA1349" s="77" t="s">
        <v>1568</v>
      </c>
      <c r="AB1349" s="77" t="s">
        <v>1521</v>
      </c>
      <c r="AC1349" s="77" t="s">
        <v>90</v>
      </c>
      <c r="AD1349" s="77" t="s">
        <v>274</v>
      </c>
      <c r="AE1349" s="77" t="s">
        <v>1569</v>
      </c>
    </row>
    <row r="1350" spans="1:33" x14ac:dyDescent="0.3">
      <c r="A1350" s="77" t="s">
        <v>2455</v>
      </c>
      <c r="B1350" s="77" t="s">
        <v>2456</v>
      </c>
      <c r="G1350" s="77" t="s">
        <v>1566</v>
      </c>
      <c r="H1350" s="77" t="s">
        <v>77</v>
      </c>
      <c r="I1350" s="77" t="s">
        <v>1521</v>
      </c>
      <c r="J1350" s="77" t="s">
        <v>79</v>
      </c>
      <c r="K1350" s="77" t="s">
        <v>1522</v>
      </c>
      <c r="L1350" s="77" t="s">
        <v>2445</v>
      </c>
      <c r="M1350" s="77" t="s">
        <v>82</v>
      </c>
      <c r="N1350" s="77" t="s">
        <v>83</v>
      </c>
      <c r="Q1350" s="77" t="s">
        <v>111</v>
      </c>
      <c r="T1350" s="77" t="s">
        <v>1666</v>
      </c>
      <c r="U1350" s="77" t="s">
        <v>85</v>
      </c>
      <c r="V1350" s="80" t="s">
        <v>272</v>
      </c>
      <c r="X1350" s="77" t="s">
        <v>273</v>
      </c>
      <c r="Y1350" s="78" t="s">
        <v>101</v>
      </c>
      <c r="AA1350" s="77" t="s">
        <v>1568</v>
      </c>
      <c r="AB1350" s="77" t="s">
        <v>1521</v>
      </c>
      <c r="AC1350" s="77" t="s">
        <v>90</v>
      </c>
      <c r="AD1350" s="77" t="s">
        <v>274</v>
      </c>
      <c r="AE1350" s="77" t="s">
        <v>1569</v>
      </c>
    </row>
    <row r="1351" spans="1:33" x14ac:dyDescent="0.3">
      <c r="A1351" s="77" t="s">
        <v>2457</v>
      </c>
      <c r="B1351" s="77" t="s">
        <v>2458</v>
      </c>
      <c r="G1351" s="77" t="s">
        <v>1566</v>
      </c>
      <c r="H1351" s="77" t="s">
        <v>77</v>
      </c>
      <c r="I1351" s="77" t="s">
        <v>1521</v>
      </c>
      <c r="J1351" s="77" t="s">
        <v>79</v>
      </c>
      <c r="K1351" s="77" t="s">
        <v>1522</v>
      </c>
      <c r="L1351" s="77" t="s">
        <v>2445</v>
      </c>
      <c r="M1351" s="77" t="s">
        <v>82</v>
      </c>
      <c r="N1351" s="77" t="s">
        <v>83</v>
      </c>
      <c r="Q1351" s="77" t="s">
        <v>111</v>
      </c>
      <c r="T1351" s="77" t="s">
        <v>1666</v>
      </c>
      <c r="U1351" s="77" t="s">
        <v>85</v>
      </c>
      <c r="V1351" s="80" t="s">
        <v>272</v>
      </c>
      <c r="X1351" s="77" t="s">
        <v>273</v>
      </c>
      <c r="Y1351" s="78" t="s">
        <v>101</v>
      </c>
      <c r="AA1351" s="77" t="s">
        <v>1568</v>
      </c>
      <c r="AB1351" s="77" t="s">
        <v>1521</v>
      </c>
      <c r="AC1351" s="77" t="s">
        <v>90</v>
      </c>
      <c r="AD1351" s="77" t="s">
        <v>274</v>
      </c>
      <c r="AE1351" s="77" t="s">
        <v>1569</v>
      </c>
    </row>
    <row r="1352" spans="1:33" x14ac:dyDescent="0.3">
      <c r="A1352" s="77" t="s">
        <v>2459</v>
      </c>
      <c r="B1352" s="77" t="s">
        <v>2460</v>
      </c>
      <c r="G1352" s="77" t="s">
        <v>1566</v>
      </c>
      <c r="H1352" s="77" t="s">
        <v>77</v>
      </c>
      <c r="I1352" s="77" t="s">
        <v>1521</v>
      </c>
      <c r="J1352" s="77" t="s">
        <v>79</v>
      </c>
      <c r="K1352" s="77" t="s">
        <v>1522</v>
      </c>
      <c r="L1352" s="77" t="s">
        <v>2461</v>
      </c>
      <c r="M1352" s="77" t="s">
        <v>82</v>
      </c>
      <c r="N1352" s="77" t="s">
        <v>83</v>
      </c>
      <c r="Q1352" s="77" t="s">
        <v>111</v>
      </c>
      <c r="T1352" s="77" t="s">
        <v>1666</v>
      </c>
      <c r="U1352" s="77" t="s">
        <v>85</v>
      </c>
      <c r="V1352" s="80" t="s">
        <v>272</v>
      </c>
      <c r="X1352" s="77" t="s">
        <v>273</v>
      </c>
      <c r="Y1352" s="78" t="s">
        <v>101</v>
      </c>
      <c r="AA1352" s="77" t="s">
        <v>1568</v>
      </c>
      <c r="AB1352" s="77" t="s">
        <v>1521</v>
      </c>
      <c r="AC1352" s="77" t="s">
        <v>90</v>
      </c>
      <c r="AD1352" s="77" t="s">
        <v>274</v>
      </c>
      <c r="AE1352" s="77" t="s">
        <v>1569</v>
      </c>
    </row>
    <row r="1353" spans="1:33" x14ac:dyDescent="0.3">
      <c r="A1353" s="77" t="s">
        <v>2462</v>
      </c>
      <c r="B1353" s="77" t="s">
        <v>2463</v>
      </c>
      <c r="G1353" s="77" t="s">
        <v>1566</v>
      </c>
      <c r="H1353" s="77" t="s">
        <v>77</v>
      </c>
      <c r="I1353" s="77" t="s">
        <v>1521</v>
      </c>
      <c r="J1353" s="77" t="s">
        <v>79</v>
      </c>
      <c r="K1353" s="77" t="s">
        <v>1522</v>
      </c>
      <c r="L1353" s="77" t="s">
        <v>2464</v>
      </c>
      <c r="M1353" s="77" t="s">
        <v>82</v>
      </c>
      <c r="N1353" s="77" t="s">
        <v>83</v>
      </c>
      <c r="Q1353" s="77" t="s">
        <v>111</v>
      </c>
      <c r="T1353" s="77" t="s">
        <v>2327</v>
      </c>
      <c r="U1353" s="77" t="s">
        <v>85</v>
      </c>
      <c r="V1353" s="80" t="s">
        <v>947</v>
      </c>
      <c r="X1353" s="77" t="s">
        <v>948</v>
      </c>
      <c r="Y1353" s="78" t="s">
        <v>88</v>
      </c>
      <c r="AA1353" s="77" t="s">
        <v>1568</v>
      </c>
      <c r="AB1353" s="77" t="s">
        <v>1521</v>
      </c>
      <c r="AC1353" s="77" t="s">
        <v>90</v>
      </c>
      <c r="AD1353" s="77" t="s">
        <v>91</v>
      </c>
      <c r="AE1353" s="77" t="s">
        <v>1569</v>
      </c>
      <c r="AG1353" s="77" t="s">
        <v>2327</v>
      </c>
    </row>
    <row r="1354" spans="1:33" x14ac:dyDescent="0.3">
      <c r="A1354" s="77" t="s">
        <v>2465</v>
      </c>
      <c r="B1354" s="77" t="s">
        <v>2466</v>
      </c>
      <c r="G1354" s="77" t="s">
        <v>1566</v>
      </c>
      <c r="H1354" s="77" t="s">
        <v>77</v>
      </c>
      <c r="I1354" s="77" t="s">
        <v>1521</v>
      </c>
      <c r="J1354" s="77" t="s">
        <v>79</v>
      </c>
      <c r="K1354" s="77" t="s">
        <v>1522</v>
      </c>
      <c r="L1354" s="77" t="s">
        <v>2467</v>
      </c>
      <c r="M1354" s="77" t="s">
        <v>82</v>
      </c>
      <c r="N1354" s="77" t="s">
        <v>83</v>
      </c>
      <c r="Q1354" s="77" t="s">
        <v>111</v>
      </c>
      <c r="T1354" s="77" t="s">
        <v>2327</v>
      </c>
      <c r="U1354" s="77" t="s">
        <v>85</v>
      </c>
      <c r="V1354" s="80" t="s">
        <v>947</v>
      </c>
      <c r="X1354" s="77" t="s">
        <v>948</v>
      </c>
      <c r="Y1354" s="78" t="s">
        <v>88</v>
      </c>
      <c r="AA1354" s="77" t="s">
        <v>1568</v>
      </c>
      <c r="AB1354" s="77" t="s">
        <v>1521</v>
      </c>
      <c r="AC1354" s="77" t="s">
        <v>90</v>
      </c>
      <c r="AD1354" s="77" t="s">
        <v>91</v>
      </c>
      <c r="AE1354" s="77" t="s">
        <v>1569</v>
      </c>
      <c r="AG1354" s="77" t="s">
        <v>2327</v>
      </c>
    </row>
    <row r="1355" spans="1:33" x14ac:dyDescent="0.3">
      <c r="A1355" s="77" t="s">
        <v>2468</v>
      </c>
      <c r="B1355" s="77" t="s">
        <v>2469</v>
      </c>
      <c r="G1355" s="77" t="s">
        <v>1566</v>
      </c>
      <c r="H1355" s="77" t="s">
        <v>77</v>
      </c>
      <c r="I1355" s="77" t="s">
        <v>1521</v>
      </c>
      <c r="J1355" s="77" t="s">
        <v>79</v>
      </c>
      <c r="K1355" s="77" t="s">
        <v>1522</v>
      </c>
      <c r="L1355" s="77" t="s">
        <v>2470</v>
      </c>
      <c r="M1355" s="77" t="s">
        <v>82</v>
      </c>
      <c r="N1355" s="77" t="s">
        <v>83</v>
      </c>
      <c r="Q1355" s="77" t="s">
        <v>111</v>
      </c>
      <c r="T1355" s="77" t="s">
        <v>2327</v>
      </c>
      <c r="U1355" s="77" t="s">
        <v>85</v>
      </c>
      <c r="V1355" s="80" t="s">
        <v>925</v>
      </c>
      <c r="X1355" s="77" t="s">
        <v>926</v>
      </c>
      <c r="Y1355" s="78" t="s">
        <v>101</v>
      </c>
      <c r="AA1355" s="77" t="s">
        <v>1568</v>
      </c>
      <c r="AB1355" s="77" t="s">
        <v>1521</v>
      </c>
      <c r="AC1355" s="77" t="s">
        <v>90</v>
      </c>
      <c r="AD1355" s="77" t="s">
        <v>274</v>
      </c>
      <c r="AE1355" s="77" t="s">
        <v>1569</v>
      </c>
      <c r="AG1355" s="77" t="s">
        <v>2327</v>
      </c>
    </row>
    <row r="1356" spans="1:33" x14ac:dyDescent="0.3">
      <c r="A1356" s="77" t="s">
        <v>2471</v>
      </c>
      <c r="B1356" s="77" t="s">
        <v>2472</v>
      </c>
      <c r="G1356" s="77" t="s">
        <v>1566</v>
      </c>
      <c r="H1356" s="77" t="s">
        <v>77</v>
      </c>
      <c r="I1356" s="77" t="s">
        <v>1521</v>
      </c>
      <c r="J1356" s="77" t="s">
        <v>79</v>
      </c>
      <c r="K1356" s="77" t="s">
        <v>1522</v>
      </c>
      <c r="L1356" s="77" t="s">
        <v>2473</v>
      </c>
      <c r="M1356" s="77" t="s">
        <v>82</v>
      </c>
      <c r="N1356" s="77" t="s">
        <v>83</v>
      </c>
      <c r="Q1356" s="77" t="s">
        <v>111</v>
      </c>
      <c r="T1356" s="77" t="s">
        <v>2327</v>
      </c>
      <c r="U1356" s="77" t="s">
        <v>85</v>
      </c>
      <c r="V1356" s="80" t="s">
        <v>925</v>
      </c>
      <c r="X1356" s="77" t="s">
        <v>926</v>
      </c>
      <c r="Y1356" s="78" t="s">
        <v>101</v>
      </c>
      <c r="AA1356" s="77" t="s">
        <v>1568</v>
      </c>
      <c r="AB1356" s="77" t="s">
        <v>1521</v>
      </c>
      <c r="AC1356" s="77" t="s">
        <v>90</v>
      </c>
      <c r="AD1356" s="77" t="s">
        <v>274</v>
      </c>
      <c r="AE1356" s="77" t="s">
        <v>1569</v>
      </c>
      <c r="AG1356" s="77" t="s">
        <v>2327</v>
      </c>
    </row>
    <row r="1357" spans="1:33" x14ac:dyDescent="0.3">
      <c r="A1357" s="77" t="s">
        <v>2474</v>
      </c>
      <c r="B1357" s="77" t="s">
        <v>2475</v>
      </c>
      <c r="G1357" s="77" t="s">
        <v>1566</v>
      </c>
      <c r="H1357" s="77" t="s">
        <v>77</v>
      </c>
      <c r="I1357" s="77" t="s">
        <v>1521</v>
      </c>
      <c r="J1357" s="77" t="s">
        <v>79</v>
      </c>
      <c r="K1357" s="77" t="s">
        <v>1522</v>
      </c>
      <c r="L1357" s="77" t="s">
        <v>2476</v>
      </c>
      <c r="M1357" s="77" t="s">
        <v>82</v>
      </c>
      <c r="N1357" s="77" t="s">
        <v>83</v>
      </c>
      <c r="Q1357" s="77" t="s">
        <v>111</v>
      </c>
      <c r="T1357" s="77" t="s">
        <v>2327</v>
      </c>
      <c r="U1357" s="77" t="s">
        <v>85</v>
      </c>
      <c r="V1357" s="80" t="s">
        <v>930</v>
      </c>
      <c r="X1357" s="77" t="s">
        <v>931</v>
      </c>
      <c r="Y1357" s="78" t="s">
        <v>88</v>
      </c>
      <c r="AA1357" s="77" t="s">
        <v>1568</v>
      </c>
      <c r="AB1357" s="77" t="s">
        <v>1521</v>
      </c>
      <c r="AC1357" s="77" t="s">
        <v>90</v>
      </c>
      <c r="AD1357" s="77" t="s">
        <v>91</v>
      </c>
      <c r="AE1357" s="77" t="s">
        <v>1569</v>
      </c>
      <c r="AG1357" s="77" t="s">
        <v>2327</v>
      </c>
    </row>
    <row r="1358" spans="1:33" x14ac:dyDescent="0.3">
      <c r="A1358" s="77" t="s">
        <v>2477</v>
      </c>
      <c r="B1358" s="77" t="s">
        <v>2478</v>
      </c>
      <c r="G1358" s="77" t="s">
        <v>1566</v>
      </c>
      <c r="H1358" s="77" t="s">
        <v>77</v>
      </c>
      <c r="I1358" s="77" t="s">
        <v>1521</v>
      </c>
      <c r="J1358" s="77" t="s">
        <v>79</v>
      </c>
      <c r="K1358" s="77" t="s">
        <v>1522</v>
      </c>
      <c r="L1358" s="77" t="s">
        <v>2479</v>
      </c>
      <c r="M1358" s="77" t="s">
        <v>82</v>
      </c>
      <c r="N1358" s="77" t="s">
        <v>83</v>
      </c>
      <c r="Q1358" s="77" t="s">
        <v>111</v>
      </c>
      <c r="T1358" s="77" t="s">
        <v>2327</v>
      </c>
      <c r="U1358" s="77" t="s">
        <v>85</v>
      </c>
      <c r="V1358" s="80" t="s">
        <v>930</v>
      </c>
      <c r="X1358" s="77" t="s">
        <v>931</v>
      </c>
      <c r="Y1358" s="78" t="s">
        <v>88</v>
      </c>
      <c r="AA1358" s="77" t="s">
        <v>1568</v>
      </c>
      <c r="AB1358" s="77" t="s">
        <v>1521</v>
      </c>
      <c r="AC1358" s="77" t="s">
        <v>90</v>
      </c>
      <c r="AD1358" s="77" t="s">
        <v>91</v>
      </c>
      <c r="AE1358" s="77" t="s">
        <v>1569</v>
      </c>
      <c r="AG1358" s="77" t="s">
        <v>2327</v>
      </c>
    </row>
    <row r="1359" spans="1:33" x14ac:dyDescent="0.3">
      <c r="A1359" s="77" t="s">
        <v>2480</v>
      </c>
      <c r="B1359" s="77" t="s">
        <v>2481</v>
      </c>
      <c r="G1359" s="77" t="s">
        <v>1566</v>
      </c>
      <c r="H1359" s="77" t="s">
        <v>77</v>
      </c>
      <c r="I1359" s="77" t="s">
        <v>1521</v>
      </c>
      <c r="J1359" s="77" t="s">
        <v>79</v>
      </c>
      <c r="K1359" s="77" t="s">
        <v>1522</v>
      </c>
      <c r="L1359" s="77" t="s">
        <v>2482</v>
      </c>
      <c r="M1359" s="77" t="s">
        <v>82</v>
      </c>
      <c r="N1359" s="77" t="s">
        <v>83</v>
      </c>
      <c r="Q1359" s="77" t="s">
        <v>111</v>
      </c>
      <c r="T1359" s="77" t="s">
        <v>2327</v>
      </c>
      <c r="U1359" s="77" t="s">
        <v>85</v>
      </c>
      <c r="V1359" s="80" t="s">
        <v>925</v>
      </c>
      <c r="X1359" s="77" t="s">
        <v>926</v>
      </c>
      <c r="Y1359" s="78" t="s">
        <v>101</v>
      </c>
      <c r="AA1359" s="77" t="s">
        <v>1568</v>
      </c>
      <c r="AB1359" s="77" t="s">
        <v>1521</v>
      </c>
      <c r="AC1359" s="77" t="s">
        <v>90</v>
      </c>
      <c r="AD1359" s="77" t="s">
        <v>274</v>
      </c>
      <c r="AE1359" s="77" t="s">
        <v>1569</v>
      </c>
      <c r="AG1359" s="77" t="s">
        <v>2327</v>
      </c>
    </row>
    <row r="1360" spans="1:33" x14ac:dyDescent="0.3">
      <c r="A1360" s="77" t="s">
        <v>2483</v>
      </c>
      <c r="B1360" s="77" t="s">
        <v>2484</v>
      </c>
      <c r="G1360" s="77" t="s">
        <v>1566</v>
      </c>
      <c r="H1360" s="77" t="s">
        <v>77</v>
      </c>
      <c r="I1360" s="77" t="s">
        <v>1521</v>
      </c>
      <c r="J1360" s="77" t="s">
        <v>79</v>
      </c>
      <c r="K1360" s="77" t="s">
        <v>1522</v>
      </c>
      <c r="L1360" s="77" t="s">
        <v>2485</v>
      </c>
      <c r="M1360" s="77" t="s">
        <v>82</v>
      </c>
      <c r="N1360" s="77" t="s">
        <v>83</v>
      </c>
      <c r="Q1360" s="77" t="s">
        <v>111</v>
      </c>
      <c r="T1360" s="77" t="s">
        <v>2327</v>
      </c>
      <c r="U1360" s="77" t="s">
        <v>85</v>
      </c>
      <c r="V1360" s="80" t="s">
        <v>925</v>
      </c>
      <c r="X1360" s="77" t="s">
        <v>926</v>
      </c>
      <c r="Y1360" s="78" t="s">
        <v>101</v>
      </c>
      <c r="AA1360" s="77" t="s">
        <v>1568</v>
      </c>
      <c r="AB1360" s="77" t="s">
        <v>1521</v>
      </c>
      <c r="AC1360" s="77" t="s">
        <v>90</v>
      </c>
      <c r="AD1360" s="77" t="s">
        <v>274</v>
      </c>
      <c r="AE1360" s="77" t="s">
        <v>1569</v>
      </c>
      <c r="AG1360" s="77" t="s">
        <v>2327</v>
      </c>
    </row>
    <row r="1361" spans="1:33" x14ac:dyDescent="0.3">
      <c r="A1361" s="77" t="s">
        <v>2486</v>
      </c>
      <c r="B1361" s="77" t="s">
        <v>2487</v>
      </c>
      <c r="G1361" s="77" t="s">
        <v>1566</v>
      </c>
      <c r="H1361" s="77" t="s">
        <v>77</v>
      </c>
      <c r="I1361" s="77" t="s">
        <v>1521</v>
      </c>
      <c r="J1361" s="77" t="s">
        <v>79</v>
      </c>
      <c r="K1361" s="77" t="s">
        <v>1522</v>
      </c>
      <c r="L1361" s="77" t="s">
        <v>2488</v>
      </c>
      <c r="M1361" s="77" t="s">
        <v>82</v>
      </c>
      <c r="N1361" s="77" t="s">
        <v>83</v>
      </c>
      <c r="Q1361" s="77" t="s">
        <v>111</v>
      </c>
      <c r="T1361" s="77" t="s">
        <v>2327</v>
      </c>
      <c r="U1361" s="77" t="s">
        <v>85</v>
      </c>
      <c r="V1361" s="80" t="s">
        <v>930</v>
      </c>
      <c r="X1361" s="77" t="s">
        <v>931</v>
      </c>
      <c r="Y1361" s="78" t="s">
        <v>88</v>
      </c>
      <c r="AA1361" s="77" t="s">
        <v>1568</v>
      </c>
      <c r="AB1361" s="77" t="s">
        <v>1521</v>
      </c>
      <c r="AC1361" s="77" t="s">
        <v>90</v>
      </c>
      <c r="AD1361" s="77" t="s">
        <v>91</v>
      </c>
      <c r="AE1361" s="77" t="s">
        <v>1569</v>
      </c>
      <c r="AG1361" s="77" t="s">
        <v>2327</v>
      </c>
    </row>
    <row r="1362" spans="1:33" x14ac:dyDescent="0.3">
      <c r="A1362" s="77" t="s">
        <v>2489</v>
      </c>
      <c r="B1362" s="77" t="s">
        <v>2490</v>
      </c>
      <c r="G1362" s="77" t="s">
        <v>1566</v>
      </c>
      <c r="H1362" s="77" t="s">
        <v>77</v>
      </c>
      <c r="I1362" s="77" t="s">
        <v>1521</v>
      </c>
      <c r="J1362" s="77" t="s">
        <v>79</v>
      </c>
      <c r="K1362" s="77" t="s">
        <v>1522</v>
      </c>
      <c r="L1362" s="77" t="s">
        <v>2491</v>
      </c>
      <c r="M1362" s="77" t="s">
        <v>82</v>
      </c>
      <c r="N1362" s="77" t="s">
        <v>83</v>
      </c>
      <c r="Q1362" s="77" t="s">
        <v>111</v>
      </c>
      <c r="T1362" s="77" t="s">
        <v>2327</v>
      </c>
      <c r="U1362" s="77" t="s">
        <v>85</v>
      </c>
      <c r="V1362" s="80" t="s">
        <v>930</v>
      </c>
      <c r="X1362" s="77" t="s">
        <v>931</v>
      </c>
      <c r="Y1362" s="78" t="s">
        <v>88</v>
      </c>
      <c r="AA1362" s="77" t="s">
        <v>1568</v>
      </c>
      <c r="AB1362" s="77" t="s">
        <v>1521</v>
      </c>
      <c r="AC1362" s="77" t="s">
        <v>90</v>
      </c>
      <c r="AD1362" s="77" t="s">
        <v>91</v>
      </c>
      <c r="AE1362" s="77" t="s">
        <v>1569</v>
      </c>
      <c r="AG1362" s="77" t="s">
        <v>2327</v>
      </c>
    </row>
    <row r="1363" spans="1:33" x14ac:dyDescent="0.3">
      <c r="A1363" s="77" t="s">
        <v>2492</v>
      </c>
      <c r="B1363" s="77" t="s">
        <v>2493</v>
      </c>
      <c r="G1363" s="77" t="s">
        <v>1566</v>
      </c>
      <c r="H1363" s="77" t="s">
        <v>77</v>
      </c>
      <c r="I1363" s="77" t="s">
        <v>1521</v>
      </c>
      <c r="J1363" s="77" t="s">
        <v>79</v>
      </c>
      <c r="K1363" s="77" t="s">
        <v>1522</v>
      </c>
      <c r="L1363" s="77" t="s">
        <v>2494</v>
      </c>
      <c r="M1363" s="77" t="s">
        <v>82</v>
      </c>
      <c r="N1363" s="77" t="s">
        <v>83</v>
      </c>
      <c r="Q1363" s="77" t="s">
        <v>111</v>
      </c>
      <c r="T1363" s="77" t="s">
        <v>2327</v>
      </c>
      <c r="U1363" s="77" t="s">
        <v>85</v>
      </c>
      <c r="V1363" s="80" t="s">
        <v>925</v>
      </c>
      <c r="X1363" s="77" t="s">
        <v>926</v>
      </c>
      <c r="Y1363" s="78" t="s">
        <v>101</v>
      </c>
      <c r="AA1363" s="77" t="s">
        <v>1568</v>
      </c>
      <c r="AB1363" s="77" t="s">
        <v>1521</v>
      </c>
      <c r="AC1363" s="77" t="s">
        <v>90</v>
      </c>
      <c r="AD1363" s="77" t="s">
        <v>274</v>
      </c>
      <c r="AE1363" s="77" t="s">
        <v>1569</v>
      </c>
      <c r="AG1363" s="77" t="s">
        <v>2327</v>
      </c>
    </row>
    <row r="1364" spans="1:33" x14ac:dyDescent="0.3">
      <c r="A1364" s="77" t="s">
        <v>2495</v>
      </c>
      <c r="B1364" s="77" t="s">
        <v>2496</v>
      </c>
      <c r="G1364" s="77" t="s">
        <v>1566</v>
      </c>
      <c r="H1364" s="77" t="s">
        <v>77</v>
      </c>
      <c r="I1364" s="77" t="s">
        <v>1521</v>
      </c>
      <c r="J1364" s="77" t="s">
        <v>79</v>
      </c>
      <c r="K1364" s="77" t="s">
        <v>1522</v>
      </c>
      <c r="L1364" s="77" t="s">
        <v>2497</v>
      </c>
      <c r="M1364" s="77" t="s">
        <v>82</v>
      </c>
      <c r="N1364" s="77" t="s">
        <v>83</v>
      </c>
      <c r="Q1364" s="77" t="s">
        <v>111</v>
      </c>
      <c r="T1364" s="77" t="s">
        <v>2327</v>
      </c>
      <c r="U1364" s="77" t="s">
        <v>85</v>
      </c>
      <c r="V1364" s="80" t="s">
        <v>925</v>
      </c>
      <c r="X1364" s="77" t="s">
        <v>926</v>
      </c>
      <c r="Y1364" s="78" t="s">
        <v>101</v>
      </c>
      <c r="AA1364" s="77" t="s">
        <v>1568</v>
      </c>
      <c r="AB1364" s="77" t="s">
        <v>1521</v>
      </c>
      <c r="AC1364" s="77" t="s">
        <v>90</v>
      </c>
      <c r="AD1364" s="77" t="s">
        <v>274</v>
      </c>
      <c r="AE1364" s="77" t="s">
        <v>1569</v>
      </c>
      <c r="AG1364" s="77" t="s">
        <v>2327</v>
      </c>
    </row>
    <row r="1365" spans="1:33" x14ac:dyDescent="0.3">
      <c r="A1365" s="77" t="s">
        <v>2498</v>
      </c>
      <c r="B1365" s="77" t="s">
        <v>2499</v>
      </c>
      <c r="G1365" s="77" t="s">
        <v>1566</v>
      </c>
      <c r="H1365" s="77" t="s">
        <v>77</v>
      </c>
      <c r="I1365" s="77" t="s">
        <v>1521</v>
      </c>
      <c r="J1365" s="77" t="s">
        <v>79</v>
      </c>
      <c r="K1365" s="77" t="s">
        <v>1522</v>
      </c>
      <c r="L1365" s="77" t="s">
        <v>2500</v>
      </c>
      <c r="M1365" s="77" t="s">
        <v>82</v>
      </c>
      <c r="N1365" s="77" t="s">
        <v>83</v>
      </c>
      <c r="Q1365" s="77" t="s">
        <v>111</v>
      </c>
      <c r="T1365" s="77" t="s">
        <v>2327</v>
      </c>
      <c r="U1365" s="77" t="s">
        <v>85</v>
      </c>
      <c r="V1365" s="80" t="s">
        <v>930</v>
      </c>
      <c r="X1365" s="77" t="s">
        <v>931</v>
      </c>
      <c r="Y1365" s="78" t="s">
        <v>88</v>
      </c>
      <c r="AA1365" s="77" t="s">
        <v>1568</v>
      </c>
      <c r="AB1365" s="77" t="s">
        <v>1521</v>
      </c>
      <c r="AC1365" s="77" t="s">
        <v>90</v>
      </c>
      <c r="AD1365" s="77" t="s">
        <v>91</v>
      </c>
      <c r="AE1365" s="77" t="s">
        <v>1569</v>
      </c>
      <c r="AG1365" s="77" t="s">
        <v>2327</v>
      </c>
    </row>
    <row r="1366" spans="1:33" x14ac:dyDescent="0.3">
      <c r="A1366" s="77" t="s">
        <v>2501</v>
      </c>
      <c r="B1366" s="77" t="s">
        <v>2502</v>
      </c>
      <c r="G1366" s="77" t="s">
        <v>1566</v>
      </c>
      <c r="H1366" s="77" t="s">
        <v>77</v>
      </c>
      <c r="I1366" s="77" t="s">
        <v>1521</v>
      </c>
      <c r="J1366" s="77" t="s">
        <v>79</v>
      </c>
      <c r="K1366" s="77" t="s">
        <v>1522</v>
      </c>
      <c r="L1366" s="77" t="s">
        <v>2503</v>
      </c>
      <c r="M1366" s="77" t="s">
        <v>82</v>
      </c>
      <c r="N1366" s="77" t="s">
        <v>83</v>
      </c>
      <c r="Q1366" s="77" t="s">
        <v>111</v>
      </c>
      <c r="T1366" s="77" t="s">
        <v>2327</v>
      </c>
      <c r="U1366" s="77" t="s">
        <v>85</v>
      </c>
      <c r="V1366" s="80" t="s">
        <v>930</v>
      </c>
      <c r="X1366" s="77" t="s">
        <v>931</v>
      </c>
      <c r="Y1366" s="78" t="s">
        <v>88</v>
      </c>
      <c r="AA1366" s="77" t="s">
        <v>1568</v>
      </c>
      <c r="AB1366" s="77" t="s">
        <v>1521</v>
      </c>
      <c r="AC1366" s="77" t="s">
        <v>90</v>
      </c>
      <c r="AD1366" s="77" t="s">
        <v>91</v>
      </c>
      <c r="AE1366" s="77" t="s">
        <v>1569</v>
      </c>
      <c r="AG1366" s="77" t="s">
        <v>2327</v>
      </c>
    </row>
    <row r="1367" spans="1:33" x14ac:dyDescent="0.3">
      <c r="A1367" s="77" t="s">
        <v>2504</v>
      </c>
      <c r="B1367" s="77" t="s">
        <v>2505</v>
      </c>
      <c r="G1367" s="77" t="s">
        <v>1566</v>
      </c>
      <c r="H1367" s="77" t="s">
        <v>77</v>
      </c>
      <c r="I1367" s="77" t="s">
        <v>1521</v>
      </c>
      <c r="J1367" s="77" t="s">
        <v>79</v>
      </c>
      <c r="K1367" s="77" t="s">
        <v>1522</v>
      </c>
      <c r="L1367" s="77" t="s">
        <v>2506</v>
      </c>
      <c r="M1367" s="77" t="s">
        <v>82</v>
      </c>
      <c r="N1367" s="77" t="s">
        <v>83</v>
      </c>
      <c r="Q1367" s="77" t="s">
        <v>111</v>
      </c>
      <c r="T1367" s="77" t="s">
        <v>2327</v>
      </c>
      <c r="U1367" s="77" t="s">
        <v>85</v>
      </c>
      <c r="V1367" s="80" t="s">
        <v>925</v>
      </c>
      <c r="X1367" s="77" t="s">
        <v>926</v>
      </c>
      <c r="Y1367" s="78" t="s">
        <v>101</v>
      </c>
      <c r="AA1367" s="77" t="s">
        <v>1568</v>
      </c>
      <c r="AB1367" s="77" t="s">
        <v>1521</v>
      </c>
      <c r="AC1367" s="77" t="s">
        <v>90</v>
      </c>
      <c r="AD1367" s="77" t="s">
        <v>274</v>
      </c>
      <c r="AE1367" s="77" t="s">
        <v>1569</v>
      </c>
      <c r="AG1367" s="77" t="s">
        <v>2327</v>
      </c>
    </row>
    <row r="1368" spans="1:33" x14ac:dyDescent="0.3">
      <c r="A1368" s="77" t="s">
        <v>2507</v>
      </c>
      <c r="B1368" s="77" t="s">
        <v>2508</v>
      </c>
      <c r="G1368" s="77" t="s">
        <v>1566</v>
      </c>
      <c r="H1368" s="77" t="s">
        <v>77</v>
      </c>
      <c r="I1368" s="77" t="s">
        <v>1521</v>
      </c>
      <c r="J1368" s="77" t="s">
        <v>79</v>
      </c>
      <c r="K1368" s="77" t="s">
        <v>1522</v>
      </c>
      <c r="L1368" s="77" t="s">
        <v>2509</v>
      </c>
      <c r="M1368" s="77" t="s">
        <v>82</v>
      </c>
      <c r="N1368" s="77" t="s">
        <v>83</v>
      </c>
      <c r="Q1368" s="77" t="s">
        <v>111</v>
      </c>
      <c r="T1368" s="77" t="s">
        <v>2327</v>
      </c>
      <c r="U1368" s="77" t="s">
        <v>85</v>
      </c>
      <c r="V1368" s="80" t="s">
        <v>925</v>
      </c>
      <c r="X1368" s="77" t="s">
        <v>926</v>
      </c>
      <c r="Y1368" s="78" t="s">
        <v>101</v>
      </c>
      <c r="AA1368" s="77" t="s">
        <v>1568</v>
      </c>
      <c r="AB1368" s="77" t="s">
        <v>1521</v>
      </c>
      <c r="AC1368" s="77" t="s">
        <v>90</v>
      </c>
      <c r="AD1368" s="77" t="s">
        <v>274</v>
      </c>
      <c r="AE1368" s="77" t="s">
        <v>1569</v>
      </c>
      <c r="AG1368" s="77" t="s">
        <v>2327</v>
      </c>
    </row>
    <row r="1369" spans="1:33" x14ac:dyDescent="0.3">
      <c r="A1369" s="77" t="s">
        <v>2510</v>
      </c>
      <c r="B1369" s="77" t="s">
        <v>2511</v>
      </c>
      <c r="G1369" s="77" t="s">
        <v>1566</v>
      </c>
      <c r="H1369" s="77" t="s">
        <v>77</v>
      </c>
      <c r="I1369" s="77" t="s">
        <v>1521</v>
      </c>
      <c r="J1369" s="77" t="s">
        <v>79</v>
      </c>
      <c r="K1369" s="77" t="s">
        <v>1522</v>
      </c>
      <c r="L1369" s="77" t="s">
        <v>2512</v>
      </c>
      <c r="M1369" s="77" t="s">
        <v>82</v>
      </c>
      <c r="N1369" s="77" t="s">
        <v>83</v>
      </c>
      <c r="Q1369" s="77" t="s">
        <v>111</v>
      </c>
      <c r="T1369" s="77" t="s">
        <v>2327</v>
      </c>
      <c r="U1369" s="77" t="s">
        <v>85</v>
      </c>
      <c r="V1369" s="80" t="s">
        <v>930</v>
      </c>
      <c r="X1369" s="77" t="s">
        <v>931</v>
      </c>
      <c r="Y1369" s="78" t="s">
        <v>88</v>
      </c>
      <c r="AA1369" s="77" t="s">
        <v>1568</v>
      </c>
      <c r="AB1369" s="77" t="s">
        <v>1521</v>
      </c>
      <c r="AC1369" s="77" t="s">
        <v>90</v>
      </c>
      <c r="AD1369" s="77" t="s">
        <v>91</v>
      </c>
      <c r="AE1369" s="77" t="s">
        <v>1569</v>
      </c>
      <c r="AG1369" s="77" t="s">
        <v>2327</v>
      </c>
    </row>
    <row r="1370" spans="1:33" x14ac:dyDescent="0.3">
      <c r="A1370" s="77" t="s">
        <v>2513</v>
      </c>
      <c r="B1370" s="77" t="s">
        <v>2514</v>
      </c>
      <c r="G1370" s="77" t="s">
        <v>1566</v>
      </c>
      <c r="H1370" s="77" t="s">
        <v>77</v>
      </c>
      <c r="I1370" s="77" t="s">
        <v>1521</v>
      </c>
      <c r="J1370" s="77" t="s">
        <v>79</v>
      </c>
      <c r="K1370" s="77" t="s">
        <v>1522</v>
      </c>
      <c r="L1370" s="77" t="s">
        <v>2515</v>
      </c>
      <c r="M1370" s="77" t="s">
        <v>82</v>
      </c>
      <c r="N1370" s="77" t="s">
        <v>83</v>
      </c>
      <c r="Q1370" s="77" t="s">
        <v>111</v>
      </c>
      <c r="T1370" s="77" t="s">
        <v>2327</v>
      </c>
      <c r="U1370" s="77" t="s">
        <v>85</v>
      </c>
      <c r="V1370" s="80" t="s">
        <v>930</v>
      </c>
      <c r="X1370" s="77" t="s">
        <v>931</v>
      </c>
      <c r="Y1370" s="78" t="s">
        <v>88</v>
      </c>
      <c r="AA1370" s="77" t="s">
        <v>1568</v>
      </c>
      <c r="AB1370" s="77" t="s">
        <v>1521</v>
      </c>
      <c r="AC1370" s="77" t="s">
        <v>90</v>
      </c>
      <c r="AD1370" s="77" t="s">
        <v>91</v>
      </c>
      <c r="AE1370" s="77" t="s">
        <v>1569</v>
      </c>
      <c r="AG1370" s="77" t="s">
        <v>2327</v>
      </c>
    </row>
    <row r="1371" spans="1:33" x14ac:dyDescent="0.3">
      <c r="A1371" s="77" t="s">
        <v>2516</v>
      </c>
      <c r="B1371" s="77" t="s">
        <v>2517</v>
      </c>
      <c r="G1371" s="77" t="s">
        <v>1566</v>
      </c>
      <c r="H1371" s="77" t="s">
        <v>77</v>
      </c>
      <c r="I1371" s="77" t="s">
        <v>1521</v>
      </c>
      <c r="J1371" s="77" t="s">
        <v>79</v>
      </c>
      <c r="K1371" s="77" t="s">
        <v>1522</v>
      </c>
      <c r="L1371" s="77" t="s">
        <v>2518</v>
      </c>
      <c r="M1371" s="77" t="s">
        <v>82</v>
      </c>
      <c r="N1371" s="77" t="s">
        <v>83</v>
      </c>
      <c r="Q1371" s="77" t="s">
        <v>111</v>
      </c>
      <c r="T1371" s="77" t="s">
        <v>2327</v>
      </c>
      <c r="U1371" s="77" t="s">
        <v>85</v>
      </c>
      <c r="V1371" s="80" t="s">
        <v>947</v>
      </c>
      <c r="X1371" s="77" t="s">
        <v>948</v>
      </c>
      <c r="Y1371" s="78" t="s">
        <v>88</v>
      </c>
      <c r="AA1371" s="77" t="s">
        <v>1568</v>
      </c>
      <c r="AB1371" s="77" t="s">
        <v>1521</v>
      </c>
      <c r="AC1371" s="77" t="s">
        <v>90</v>
      </c>
      <c r="AD1371" s="77" t="s">
        <v>91</v>
      </c>
      <c r="AE1371" s="77" t="s">
        <v>1569</v>
      </c>
      <c r="AG1371" s="77" t="s">
        <v>2327</v>
      </c>
    </row>
    <row r="1372" spans="1:33" x14ac:dyDescent="0.3">
      <c r="A1372" s="77" t="s">
        <v>2519</v>
      </c>
      <c r="B1372" s="77" t="s">
        <v>2520</v>
      </c>
      <c r="G1372" s="77" t="s">
        <v>1566</v>
      </c>
      <c r="H1372" s="77" t="s">
        <v>77</v>
      </c>
      <c r="I1372" s="77" t="s">
        <v>1521</v>
      </c>
      <c r="J1372" s="77" t="s">
        <v>79</v>
      </c>
      <c r="K1372" s="77" t="s">
        <v>1522</v>
      </c>
      <c r="L1372" s="77" t="s">
        <v>2413</v>
      </c>
      <c r="M1372" s="77" t="s">
        <v>82</v>
      </c>
      <c r="N1372" s="77" t="s">
        <v>83</v>
      </c>
      <c r="Q1372" s="77" t="s">
        <v>111</v>
      </c>
      <c r="T1372" s="77" t="s">
        <v>2327</v>
      </c>
      <c r="U1372" s="77" t="s">
        <v>85</v>
      </c>
      <c r="V1372" s="80" t="s">
        <v>891</v>
      </c>
      <c r="X1372" s="77" t="s">
        <v>892</v>
      </c>
      <c r="Y1372" s="78" t="s">
        <v>88</v>
      </c>
      <c r="AA1372" s="77" t="s">
        <v>1568</v>
      </c>
      <c r="AB1372" s="77" t="s">
        <v>1521</v>
      </c>
      <c r="AC1372" s="77" t="s">
        <v>90</v>
      </c>
      <c r="AD1372" s="77" t="s">
        <v>91</v>
      </c>
      <c r="AE1372" s="77" t="s">
        <v>1569</v>
      </c>
      <c r="AG1372" s="77" t="s">
        <v>2327</v>
      </c>
    </row>
    <row r="1373" spans="1:33" x14ac:dyDescent="0.3">
      <c r="A1373" s="77" t="s">
        <v>2521</v>
      </c>
      <c r="B1373" s="77" t="s">
        <v>2522</v>
      </c>
      <c r="G1373" s="77" t="s">
        <v>1566</v>
      </c>
      <c r="H1373" s="77" t="s">
        <v>77</v>
      </c>
      <c r="I1373" s="77" t="s">
        <v>1521</v>
      </c>
      <c r="J1373" s="77" t="s">
        <v>79</v>
      </c>
      <c r="K1373" s="77" t="s">
        <v>1522</v>
      </c>
      <c r="L1373" s="77" t="s">
        <v>2523</v>
      </c>
      <c r="M1373" s="77" t="s">
        <v>82</v>
      </c>
      <c r="N1373" s="77" t="s">
        <v>83</v>
      </c>
      <c r="Q1373" s="77" t="s">
        <v>111</v>
      </c>
      <c r="T1373" s="77" t="s">
        <v>2327</v>
      </c>
      <c r="U1373" s="77" t="s">
        <v>85</v>
      </c>
      <c r="V1373" s="80" t="s">
        <v>952</v>
      </c>
      <c r="X1373" s="77" t="s">
        <v>953</v>
      </c>
      <c r="Y1373" s="78" t="s">
        <v>101</v>
      </c>
      <c r="AA1373" s="77" t="s">
        <v>1568</v>
      </c>
      <c r="AB1373" s="77" t="s">
        <v>1521</v>
      </c>
      <c r="AC1373" s="77" t="s">
        <v>90</v>
      </c>
      <c r="AD1373" s="77" t="s">
        <v>954</v>
      </c>
      <c r="AE1373" s="77" t="s">
        <v>1569</v>
      </c>
      <c r="AG1373" s="77" t="s">
        <v>2327</v>
      </c>
    </row>
    <row r="1374" spans="1:33" x14ac:dyDescent="0.3">
      <c r="A1374" s="77" t="s">
        <v>2524</v>
      </c>
      <c r="B1374" s="77" t="s">
        <v>2525</v>
      </c>
      <c r="G1374" s="77" t="s">
        <v>1566</v>
      </c>
      <c r="H1374" s="77" t="s">
        <v>77</v>
      </c>
      <c r="I1374" s="77" t="s">
        <v>1521</v>
      </c>
      <c r="J1374" s="77" t="s">
        <v>79</v>
      </c>
      <c r="K1374" s="77" t="s">
        <v>1522</v>
      </c>
      <c r="L1374" s="77" t="s">
        <v>2526</v>
      </c>
      <c r="M1374" s="77" t="s">
        <v>82</v>
      </c>
      <c r="N1374" s="77" t="s">
        <v>83</v>
      </c>
      <c r="Q1374" s="77" t="s">
        <v>111</v>
      </c>
      <c r="T1374" s="77" t="s">
        <v>2327</v>
      </c>
      <c r="U1374" s="77" t="s">
        <v>85</v>
      </c>
      <c r="V1374" s="80" t="s">
        <v>947</v>
      </c>
      <c r="X1374" s="77" t="s">
        <v>948</v>
      </c>
      <c r="Y1374" s="78" t="s">
        <v>88</v>
      </c>
      <c r="AA1374" s="77" t="s">
        <v>1568</v>
      </c>
      <c r="AB1374" s="77" t="s">
        <v>1521</v>
      </c>
      <c r="AC1374" s="77" t="s">
        <v>90</v>
      </c>
      <c r="AD1374" s="77" t="s">
        <v>91</v>
      </c>
      <c r="AE1374" s="77" t="s">
        <v>1569</v>
      </c>
      <c r="AG1374" s="77" t="s">
        <v>2327</v>
      </c>
    </row>
    <row r="1375" spans="1:33" x14ac:dyDescent="0.3">
      <c r="A1375" s="77" t="s">
        <v>2527</v>
      </c>
      <c r="B1375" s="77" t="s">
        <v>2528</v>
      </c>
      <c r="G1375" s="77" t="s">
        <v>1566</v>
      </c>
      <c r="H1375" s="77" t="s">
        <v>77</v>
      </c>
      <c r="I1375" s="77" t="s">
        <v>1521</v>
      </c>
      <c r="J1375" s="77" t="s">
        <v>79</v>
      </c>
      <c r="K1375" s="77" t="s">
        <v>1522</v>
      </c>
      <c r="L1375" s="77" t="s">
        <v>2529</v>
      </c>
      <c r="M1375" s="77" t="s">
        <v>82</v>
      </c>
      <c r="N1375" s="77" t="s">
        <v>83</v>
      </c>
      <c r="Q1375" s="77" t="s">
        <v>111</v>
      </c>
      <c r="T1375" s="77" t="s">
        <v>2327</v>
      </c>
      <c r="U1375" s="77" t="s">
        <v>85</v>
      </c>
      <c r="V1375" s="80" t="s">
        <v>947</v>
      </c>
      <c r="X1375" s="77" t="s">
        <v>948</v>
      </c>
      <c r="Y1375" s="78" t="s">
        <v>88</v>
      </c>
      <c r="AA1375" s="77" t="s">
        <v>1568</v>
      </c>
      <c r="AB1375" s="77" t="s">
        <v>1521</v>
      </c>
      <c r="AC1375" s="77" t="s">
        <v>90</v>
      </c>
      <c r="AD1375" s="77" t="s">
        <v>91</v>
      </c>
      <c r="AE1375" s="77" t="s">
        <v>1569</v>
      </c>
      <c r="AG1375" s="77" t="s">
        <v>2327</v>
      </c>
    </row>
    <row r="1376" spans="1:33" x14ac:dyDescent="0.3">
      <c r="A1376" s="77" t="s">
        <v>2530</v>
      </c>
      <c r="B1376" s="77" t="s">
        <v>2531</v>
      </c>
      <c r="G1376" s="77" t="s">
        <v>1566</v>
      </c>
      <c r="H1376" s="77" t="s">
        <v>77</v>
      </c>
      <c r="I1376" s="77" t="s">
        <v>1521</v>
      </c>
      <c r="J1376" s="77" t="s">
        <v>79</v>
      </c>
      <c r="K1376" s="77" t="s">
        <v>1522</v>
      </c>
      <c r="L1376" s="77" t="s">
        <v>2532</v>
      </c>
      <c r="M1376" s="77" t="s">
        <v>82</v>
      </c>
      <c r="N1376" s="77" t="s">
        <v>83</v>
      </c>
      <c r="Q1376" s="77" t="s">
        <v>111</v>
      </c>
      <c r="T1376" s="77" t="s">
        <v>2533</v>
      </c>
      <c r="U1376" s="77" t="s">
        <v>85</v>
      </c>
      <c r="V1376" s="80" t="s">
        <v>947</v>
      </c>
      <c r="X1376" s="77" t="s">
        <v>948</v>
      </c>
      <c r="Y1376" s="78" t="s">
        <v>88</v>
      </c>
      <c r="AA1376" s="77" t="s">
        <v>1568</v>
      </c>
      <c r="AB1376" s="77" t="s">
        <v>1521</v>
      </c>
      <c r="AC1376" s="77" t="s">
        <v>90</v>
      </c>
      <c r="AD1376" s="77" t="s">
        <v>91</v>
      </c>
      <c r="AE1376" s="77" t="s">
        <v>1569</v>
      </c>
      <c r="AG1376" s="77" t="s">
        <v>2533</v>
      </c>
    </row>
    <row r="1377" spans="1:33" x14ac:dyDescent="0.3">
      <c r="A1377" s="77" t="s">
        <v>2534</v>
      </c>
      <c r="B1377" s="77" t="s">
        <v>2535</v>
      </c>
      <c r="G1377" s="77" t="s">
        <v>1566</v>
      </c>
      <c r="H1377" s="77" t="s">
        <v>77</v>
      </c>
      <c r="I1377" s="77" t="s">
        <v>1521</v>
      </c>
      <c r="J1377" s="77" t="s">
        <v>79</v>
      </c>
      <c r="K1377" s="77" t="s">
        <v>1522</v>
      </c>
      <c r="L1377" s="77" t="s">
        <v>2536</v>
      </c>
      <c r="M1377" s="77" t="s">
        <v>82</v>
      </c>
      <c r="N1377" s="77" t="s">
        <v>83</v>
      </c>
      <c r="Q1377" s="77" t="s">
        <v>111</v>
      </c>
      <c r="T1377" s="77" t="s">
        <v>2327</v>
      </c>
      <c r="U1377" s="77" t="s">
        <v>85</v>
      </c>
      <c r="V1377" s="80" t="s">
        <v>947</v>
      </c>
      <c r="X1377" s="77" t="s">
        <v>948</v>
      </c>
      <c r="Y1377" s="78" t="s">
        <v>88</v>
      </c>
      <c r="AA1377" s="77" t="s">
        <v>1568</v>
      </c>
      <c r="AB1377" s="77" t="s">
        <v>1521</v>
      </c>
      <c r="AC1377" s="77" t="s">
        <v>90</v>
      </c>
      <c r="AD1377" s="77" t="s">
        <v>91</v>
      </c>
      <c r="AE1377" s="77" t="s">
        <v>1569</v>
      </c>
      <c r="AG1377" s="77" t="s">
        <v>2327</v>
      </c>
    </row>
    <row r="1378" spans="1:33" x14ac:dyDescent="0.3">
      <c r="A1378" s="77" t="s">
        <v>2537</v>
      </c>
      <c r="B1378" s="77" t="s">
        <v>2538</v>
      </c>
      <c r="G1378" s="77" t="s">
        <v>1566</v>
      </c>
      <c r="H1378" s="77" t="s">
        <v>77</v>
      </c>
      <c r="I1378" s="77" t="s">
        <v>1521</v>
      </c>
      <c r="J1378" s="77" t="s">
        <v>79</v>
      </c>
      <c r="K1378" s="77" t="s">
        <v>1522</v>
      </c>
      <c r="L1378" s="77" t="s">
        <v>2539</v>
      </c>
      <c r="M1378" s="77" t="s">
        <v>82</v>
      </c>
      <c r="N1378" s="77" t="s">
        <v>83</v>
      </c>
      <c r="Q1378" s="77" t="s">
        <v>111</v>
      </c>
      <c r="T1378" s="77" t="s">
        <v>2327</v>
      </c>
      <c r="U1378" s="77" t="s">
        <v>85</v>
      </c>
      <c r="V1378" s="80" t="s">
        <v>947</v>
      </c>
      <c r="X1378" s="77" t="s">
        <v>948</v>
      </c>
      <c r="Y1378" s="78" t="s">
        <v>88</v>
      </c>
      <c r="AA1378" s="77" t="s">
        <v>1568</v>
      </c>
      <c r="AB1378" s="77" t="s">
        <v>1521</v>
      </c>
      <c r="AC1378" s="77" t="s">
        <v>90</v>
      </c>
      <c r="AD1378" s="77" t="s">
        <v>91</v>
      </c>
      <c r="AE1378" s="77" t="s">
        <v>1569</v>
      </c>
      <c r="AG1378" s="77" t="s">
        <v>2327</v>
      </c>
    </row>
    <row r="1379" spans="1:33" x14ac:dyDescent="0.3">
      <c r="A1379" s="77" t="s">
        <v>2540</v>
      </c>
      <c r="B1379" s="77" t="s">
        <v>2541</v>
      </c>
      <c r="G1379" s="77" t="s">
        <v>1566</v>
      </c>
      <c r="H1379" s="77" t="s">
        <v>77</v>
      </c>
      <c r="I1379" s="77" t="s">
        <v>1521</v>
      </c>
      <c r="J1379" s="77" t="s">
        <v>79</v>
      </c>
      <c r="K1379" s="77" t="s">
        <v>1522</v>
      </c>
      <c r="L1379" s="77" t="s">
        <v>2542</v>
      </c>
      <c r="M1379" s="77" t="s">
        <v>82</v>
      </c>
      <c r="N1379" s="77" t="s">
        <v>83</v>
      </c>
      <c r="Q1379" s="77" t="s">
        <v>111</v>
      </c>
      <c r="T1379" s="77" t="s">
        <v>2327</v>
      </c>
      <c r="U1379" s="77" t="s">
        <v>85</v>
      </c>
      <c r="V1379" s="80" t="s">
        <v>952</v>
      </c>
      <c r="X1379" s="77" t="s">
        <v>953</v>
      </c>
      <c r="Y1379" s="78" t="s">
        <v>101</v>
      </c>
      <c r="AA1379" s="77" t="s">
        <v>1568</v>
      </c>
      <c r="AB1379" s="77" t="s">
        <v>1521</v>
      </c>
      <c r="AC1379" s="77" t="s">
        <v>90</v>
      </c>
      <c r="AD1379" s="77" t="s">
        <v>954</v>
      </c>
      <c r="AE1379" s="77" t="s">
        <v>1569</v>
      </c>
      <c r="AG1379" s="77" t="s">
        <v>2327</v>
      </c>
    </row>
    <row r="1380" spans="1:33" x14ac:dyDescent="0.3">
      <c r="A1380" s="77" t="s">
        <v>2543</v>
      </c>
      <c r="B1380" s="77" t="s">
        <v>2544</v>
      </c>
      <c r="G1380" s="77" t="s">
        <v>1566</v>
      </c>
      <c r="H1380" s="77" t="s">
        <v>77</v>
      </c>
      <c r="I1380" s="77" t="s">
        <v>1521</v>
      </c>
      <c r="J1380" s="77" t="s">
        <v>79</v>
      </c>
      <c r="K1380" s="77" t="s">
        <v>1522</v>
      </c>
      <c r="L1380" s="77" t="s">
        <v>2545</v>
      </c>
      <c r="M1380" s="77" t="s">
        <v>82</v>
      </c>
      <c r="N1380" s="77" t="s">
        <v>83</v>
      </c>
      <c r="Q1380" s="77" t="s">
        <v>111</v>
      </c>
      <c r="T1380" s="77" t="s">
        <v>2533</v>
      </c>
      <c r="U1380" s="77" t="s">
        <v>85</v>
      </c>
      <c r="V1380" s="80" t="s">
        <v>952</v>
      </c>
      <c r="X1380" s="77" t="s">
        <v>953</v>
      </c>
      <c r="Y1380" s="78" t="s">
        <v>101</v>
      </c>
      <c r="AA1380" s="77" t="s">
        <v>1568</v>
      </c>
      <c r="AB1380" s="77" t="s">
        <v>1521</v>
      </c>
      <c r="AC1380" s="77" t="s">
        <v>90</v>
      </c>
      <c r="AD1380" s="77" t="s">
        <v>954</v>
      </c>
      <c r="AE1380" s="77" t="s">
        <v>1569</v>
      </c>
      <c r="AG1380" s="77" t="s">
        <v>2533</v>
      </c>
    </row>
    <row r="1381" spans="1:33" x14ac:dyDescent="0.3">
      <c r="A1381" s="77" t="s">
        <v>2546</v>
      </c>
      <c r="B1381" s="77" t="s">
        <v>2547</v>
      </c>
      <c r="G1381" s="77" t="s">
        <v>1566</v>
      </c>
      <c r="H1381" s="77" t="s">
        <v>77</v>
      </c>
      <c r="I1381" s="77" t="s">
        <v>1521</v>
      </c>
      <c r="J1381" s="77" t="s">
        <v>79</v>
      </c>
      <c r="K1381" s="77" t="s">
        <v>1522</v>
      </c>
      <c r="L1381" s="77" t="s">
        <v>2548</v>
      </c>
      <c r="M1381" s="77" t="s">
        <v>82</v>
      </c>
      <c r="N1381" s="77" t="s">
        <v>83</v>
      </c>
      <c r="Q1381" s="77" t="s">
        <v>111</v>
      </c>
      <c r="T1381" s="77" t="s">
        <v>2327</v>
      </c>
      <c r="U1381" s="77" t="s">
        <v>85</v>
      </c>
      <c r="V1381" s="80" t="s">
        <v>947</v>
      </c>
      <c r="X1381" s="77" t="s">
        <v>948</v>
      </c>
      <c r="Y1381" s="78" t="s">
        <v>88</v>
      </c>
      <c r="AA1381" s="77" t="s">
        <v>1568</v>
      </c>
      <c r="AB1381" s="77" t="s">
        <v>1521</v>
      </c>
      <c r="AC1381" s="77" t="s">
        <v>90</v>
      </c>
      <c r="AD1381" s="77" t="s">
        <v>91</v>
      </c>
      <c r="AE1381" s="77" t="s">
        <v>1569</v>
      </c>
      <c r="AG1381" s="77" t="s">
        <v>2327</v>
      </c>
    </row>
    <row r="1382" spans="1:33" x14ac:dyDescent="0.3">
      <c r="A1382" s="77" t="s">
        <v>2549</v>
      </c>
      <c r="B1382" s="77" t="s">
        <v>2550</v>
      </c>
      <c r="G1382" s="77" t="s">
        <v>1566</v>
      </c>
      <c r="H1382" s="77" t="s">
        <v>77</v>
      </c>
      <c r="I1382" s="77" t="s">
        <v>1521</v>
      </c>
      <c r="J1382" s="77" t="s">
        <v>79</v>
      </c>
      <c r="K1382" s="77" t="s">
        <v>1522</v>
      </c>
      <c r="L1382" s="77" t="s">
        <v>2551</v>
      </c>
      <c r="M1382" s="77" t="s">
        <v>82</v>
      </c>
      <c r="N1382" s="77" t="s">
        <v>83</v>
      </c>
      <c r="Q1382" s="77" t="s">
        <v>111</v>
      </c>
      <c r="T1382" s="77" t="s">
        <v>2533</v>
      </c>
      <c r="U1382" s="77" t="s">
        <v>85</v>
      </c>
      <c r="V1382" s="80" t="s">
        <v>947</v>
      </c>
      <c r="X1382" s="77" t="s">
        <v>948</v>
      </c>
      <c r="Y1382" s="78" t="s">
        <v>88</v>
      </c>
      <c r="AA1382" s="77" t="s">
        <v>1568</v>
      </c>
      <c r="AB1382" s="77" t="s">
        <v>1521</v>
      </c>
      <c r="AC1382" s="77" t="s">
        <v>90</v>
      </c>
      <c r="AD1382" s="77" t="s">
        <v>91</v>
      </c>
      <c r="AE1382" s="77" t="s">
        <v>1569</v>
      </c>
      <c r="AG1382" s="77" t="s">
        <v>2533</v>
      </c>
    </row>
    <row r="1383" spans="1:33" x14ac:dyDescent="0.3">
      <c r="A1383" s="77" t="s">
        <v>2552</v>
      </c>
      <c r="B1383" s="77" t="s">
        <v>2553</v>
      </c>
      <c r="G1383" s="77" t="s">
        <v>1566</v>
      </c>
      <c r="H1383" s="77" t="s">
        <v>77</v>
      </c>
      <c r="I1383" s="77" t="s">
        <v>1521</v>
      </c>
      <c r="J1383" s="77" t="s">
        <v>79</v>
      </c>
      <c r="K1383" s="77" t="s">
        <v>1522</v>
      </c>
      <c r="L1383" s="77" t="s">
        <v>2554</v>
      </c>
      <c r="M1383" s="77" t="s">
        <v>82</v>
      </c>
      <c r="N1383" s="77" t="s">
        <v>83</v>
      </c>
      <c r="Q1383" s="77" t="s">
        <v>111</v>
      </c>
      <c r="T1383" s="77" t="s">
        <v>2327</v>
      </c>
      <c r="U1383" s="77" t="s">
        <v>85</v>
      </c>
      <c r="V1383" s="80" t="s">
        <v>952</v>
      </c>
      <c r="X1383" s="77" t="s">
        <v>953</v>
      </c>
      <c r="Y1383" s="78" t="s">
        <v>101</v>
      </c>
      <c r="AA1383" s="77" t="s">
        <v>1568</v>
      </c>
      <c r="AB1383" s="77" t="s">
        <v>1521</v>
      </c>
      <c r="AC1383" s="77" t="s">
        <v>90</v>
      </c>
      <c r="AD1383" s="77" t="s">
        <v>954</v>
      </c>
      <c r="AE1383" s="77" t="s">
        <v>1569</v>
      </c>
      <c r="AG1383" s="77" t="s">
        <v>2327</v>
      </c>
    </row>
    <row r="1384" spans="1:33" x14ac:dyDescent="0.3">
      <c r="A1384" s="77" t="s">
        <v>2555</v>
      </c>
      <c r="B1384" s="77" t="s">
        <v>2556</v>
      </c>
      <c r="G1384" s="77" t="s">
        <v>1566</v>
      </c>
      <c r="H1384" s="77" t="s">
        <v>77</v>
      </c>
      <c r="I1384" s="77" t="s">
        <v>1521</v>
      </c>
      <c r="J1384" s="77" t="s">
        <v>79</v>
      </c>
      <c r="K1384" s="77" t="s">
        <v>1522</v>
      </c>
      <c r="L1384" s="77" t="s">
        <v>2557</v>
      </c>
      <c r="M1384" s="77" t="s">
        <v>82</v>
      </c>
      <c r="N1384" s="77" t="s">
        <v>83</v>
      </c>
      <c r="Q1384" s="77" t="s">
        <v>111</v>
      </c>
      <c r="T1384" s="77" t="s">
        <v>2327</v>
      </c>
      <c r="U1384" s="77" t="s">
        <v>85</v>
      </c>
      <c r="V1384" s="80" t="s">
        <v>947</v>
      </c>
      <c r="X1384" s="77" t="s">
        <v>948</v>
      </c>
      <c r="Y1384" s="78" t="s">
        <v>88</v>
      </c>
      <c r="AA1384" s="77" t="s">
        <v>1568</v>
      </c>
      <c r="AB1384" s="77" t="s">
        <v>1521</v>
      </c>
      <c r="AC1384" s="77" t="s">
        <v>90</v>
      </c>
      <c r="AD1384" s="77" t="s">
        <v>91</v>
      </c>
      <c r="AE1384" s="77" t="s">
        <v>1569</v>
      </c>
      <c r="AG1384" s="77" t="s">
        <v>2327</v>
      </c>
    </row>
    <row r="1385" spans="1:33" x14ac:dyDescent="0.3">
      <c r="A1385" s="77" t="s">
        <v>2558</v>
      </c>
      <c r="B1385" s="77" t="s">
        <v>2559</v>
      </c>
      <c r="G1385" s="77" t="s">
        <v>1566</v>
      </c>
      <c r="H1385" s="77" t="s">
        <v>77</v>
      </c>
      <c r="I1385" s="77" t="s">
        <v>1521</v>
      </c>
      <c r="J1385" s="77" t="s">
        <v>79</v>
      </c>
      <c r="K1385" s="77" t="s">
        <v>1522</v>
      </c>
      <c r="L1385" s="77" t="s">
        <v>2560</v>
      </c>
      <c r="M1385" s="77" t="s">
        <v>82</v>
      </c>
      <c r="N1385" s="77" t="s">
        <v>83</v>
      </c>
      <c r="Q1385" s="77" t="s">
        <v>111</v>
      </c>
      <c r="T1385" s="77" t="s">
        <v>2327</v>
      </c>
      <c r="U1385" s="77" t="s">
        <v>85</v>
      </c>
      <c r="V1385" s="80" t="s">
        <v>952</v>
      </c>
      <c r="X1385" s="77" t="s">
        <v>953</v>
      </c>
      <c r="Y1385" s="78" t="s">
        <v>101</v>
      </c>
      <c r="AA1385" s="77" t="s">
        <v>1568</v>
      </c>
      <c r="AB1385" s="77" t="s">
        <v>1521</v>
      </c>
      <c r="AC1385" s="77" t="s">
        <v>90</v>
      </c>
      <c r="AD1385" s="77" t="s">
        <v>954</v>
      </c>
      <c r="AE1385" s="77" t="s">
        <v>1569</v>
      </c>
      <c r="AG1385" s="77" t="s">
        <v>2327</v>
      </c>
    </row>
    <row r="1386" spans="1:33" x14ac:dyDescent="0.3">
      <c r="A1386" s="77" t="s">
        <v>2561</v>
      </c>
      <c r="B1386" s="77" t="s">
        <v>2562</v>
      </c>
      <c r="G1386" s="77" t="s">
        <v>1566</v>
      </c>
      <c r="H1386" s="77" t="s">
        <v>77</v>
      </c>
      <c r="I1386" s="77" t="s">
        <v>1521</v>
      </c>
      <c r="J1386" s="77" t="s">
        <v>79</v>
      </c>
      <c r="K1386" s="77" t="s">
        <v>1522</v>
      </c>
      <c r="L1386" s="77" t="s">
        <v>2563</v>
      </c>
      <c r="M1386" s="77" t="s">
        <v>82</v>
      </c>
      <c r="N1386" s="77" t="s">
        <v>83</v>
      </c>
      <c r="Q1386" s="77" t="s">
        <v>111</v>
      </c>
      <c r="T1386" s="77" t="s">
        <v>2327</v>
      </c>
      <c r="U1386" s="77" t="s">
        <v>85</v>
      </c>
      <c r="V1386" s="80" t="s">
        <v>947</v>
      </c>
      <c r="X1386" s="77" t="s">
        <v>948</v>
      </c>
      <c r="Y1386" s="78" t="s">
        <v>88</v>
      </c>
      <c r="AA1386" s="77" t="s">
        <v>1568</v>
      </c>
      <c r="AB1386" s="77" t="s">
        <v>1521</v>
      </c>
      <c r="AC1386" s="77" t="s">
        <v>90</v>
      </c>
      <c r="AD1386" s="77" t="s">
        <v>91</v>
      </c>
      <c r="AE1386" s="77" t="s">
        <v>1569</v>
      </c>
      <c r="AG1386" s="77" t="s">
        <v>2327</v>
      </c>
    </row>
    <row r="1387" spans="1:33" x14ac:dyDescent="0.3">
      <c r="A1387" s="77" t="s">
        <v>2564</v>
      </c>
      <c r="B1387" s="77" t="s">
        <v>2565</v>
      </c>
      <c r="G1387" s="77" t="s">
        <v>1566</v>
      </c>
      <c r="H1387" s="77" t="s">
        <v>77</v>
      </c>
      <c r="I1387" s="77" t="s">
        <v>1521</v>
      </c>
      <c r="J1387" s="77" t="s">
        <v>79</v>
      </c>
      <c r="K1387" s="77" t="s">
        <v>1522</v>
      </c>
      <c r="L1387" s="77" t="s">
        <v>2566</v>
      </c>
      <c r="M1387" s="77" t="s">
        <v>82</v>
      </c>
      <c r="N1387" s="77" t="s">
        <v>83</v>
      </c>
      <c r="Q1387" s="77" t="s">
        <v>111</v>
      </c>
      <c r="U1387" s="77" t="s">
        <v>85</v>
      </c>
      <c r="V1387" s="80" t="s">
        <v>325</v>
      </c>
      <c r="X1387" s="77" t="s">
        <v>326</v>
      </c>
      <c r="Y1387" s="78" t="s">
        <v>101</v>
      </c>
      <c r="AA1387" s="77" t="s">
        <v>1568</v>
      </c>
      <c r="AB1387" s="77" t="s">
        <v>1521</v>
      </c>
      <c r="AC1387" s="77" t="s">
        <v>90</v>
      </c>
      <c r="AD1387" s="77" t="s">
        <v>327</v>
      </c>
      <c r="AE1387" s="77" t="s">
        <v>1569</v>
      </c>
    </row>
    <row r="1388" spans="1:33" x14ac:dyDescent="0.3">
      <c r="A1388" s="77" t="s">
        <v>2567</v>
      </c>
      <c r="B1388" s="77" t="s">
        <v>2568</v>
      </c>
      <c r="G1388" s="77" t="s">
        <v>2569</v>
      </c>
      <c r="H1388" s="77" t="s">
        <v>77</v>
      </c>
      <c r="I1388" s="77" t="s">
        <v>1521</v>
      </c>
      <c r="J1388" s="77" t="s">
        <v>79</v>
      </c>
      <c r="K1388" s="77" t="s">
        <v>1522</v>
      </c>
      <c r="L1388" s="77" t="s">
        <v>2570</v>
      </c>
      <c r="M1388" s="77" t="s">
        <v>82</v>
      </c>
      <c r="N1388" s="77" t="s">
        <v>83</v>
      </c>
      <c r="Q1388" s="77" t="s">
        <v>188</v>
      </c>
      <c r="T1388" s="77" t="s">
        <v>2571</v>
      </c>
      <c r="U1388" s="77" t="s">
        <v>85</v>
      </c>
      <c r="V1388" s="80" t="s">
        <v>231</v>
      </c>
      <c r="X1388" s="77" t="s">
        <v>232</v>
      </c>
      <c r="Y1388" s="78" t="s">
        <v>88</v>
      </c>
      <c r="AA1388" s="77" t="s">
        <v>2572</v>
      </c>
      <c r="AB1388" s="77" t="s">
        <v>1521</v>
      </c>
      <c r="AC1388" s="77" t="s">
        <v>90</v>
      </c>
      <c r="AD1388" s="77" t="s">
        <v>91</v>
      </c>
      <c r="AE1388" s="77" t="s">
        <v>2573</v>
      </c>
      <c r="AG1388" s="77" t="s">
        <v>2571</v>
      </c>
    </row>
    <row r="1389" spans="1:33" x14ac:dyDescent="0.3">
      <c r="A1389" s="77" t="s">
        <v>2574</v>
      </c>
      <c r="B1389" s="77" t="s">
        <v>2575</v>
      </c>
      <c r="G1389" s="77" t="s">
        <v>2569</v>
      </c>
      <c r="H1389" s="77" t="s">
        <v>77</v>
      </c>
      <c r="I1389" s="77" t="s">
        <v>1521</v>
      </c>
      <c r="J1389" s="77" t="s">
        <v>79</v>
      </c>
      <c r="K1389" s="77" t="s">
        <v>1522</v>
      </c>
      <c r="L1389" s="77" t="s">
        <v>2570</v>
      </c>
      <c r="M1389" s="77" t="s">
        <v>82</v>
      </c>
      <c r="N1389" s="77" t="s">
        <v>83</v>
      </c>
      <c r="Q1389" s="77" t="s">
        <v>188</v>
      </c>
      <c r="T1389" s="77" t="s">
        <v>2571</v>
      </c>
      <c r="U1389" s="77" t="s">
        <v>85</v>
      </c>
      <c r="V1389" s="80" t="s">
        <v>231</v>
      </c>
      <c r="X1389" s="77" t="s">
        <v>232</v>
      </c>
      <c r="Y1389" s="78" t="s">
        <v>88</v>
      </c>
      <c r="AA1389" s="77" t="s">
        <v>2572</v>
      </c>
      <c r="AB1389" s="77" t="s">
        <v>1521</v>
      </c>
      <c r="AC1389" s="77" t="s">
        <v>90</v>
      </c>
      <c r="AD1389" s="77" t="s">
        <v>91</v>
      </c>
      <c r="AE1389" s="77" t="s">
        <v>2573</v>
      </c>
      <c r="AG1389" s="77" t="s">
        <v>2571</v>
      </c>
    </row>
    <row r="1390" spans="1:33" x14ac:dyDescent="0.3">
      <c r="A1390" s="77" t="s">
        <v>2576</v>
      </c>
      <c r="B1390" s="77" t="s">
        <v>2577</v>
      </c>
      <c r="G1390" s="77" t="s">
        <v>2569</v>
      </c>
      <c r="H1390" s="77" t="s">
        <v>77</v>
      </c>
      <c r="I1390" s="77" t="s">
        <v>1521</v>
      </c>
      <c r="J1390" s="77" t="s">
        <v>79</v>
      </c>
      <c r="K1390" s="77" t="s">
        <v>1522</v>
      </c>
      <c r="L1390" s="77" t="s">
        <v>2578</v>
      </c>
      <c r="M1390" s="77" t="s">
        <v>82</v>
      </c>
      <c r="N1390" s="77" t="s">
        <v>83</v>
      </c>
      <c r="Q1390" s="77" t="s">
        <v>188</v>
      </c>
      <c r="T1390" s="77" t="s">
        <v>2571</v>
      </c>
      <c r="U1390" s="77" t="s">
        <v>85</v>
      </c>
      <c r="V1390" s="80" t="s">
        <v>231</v>
      </c>
      <c r="X1390" s="77" t="s">
        <v>232</v>
      </c>
      <c r="Y1390" s="78" t="s">
        <v>88</v>
      </c>
      <c r="AA1390" s="77" t="s">
        <v>2572</v>
      </c>
      <c r="AB1390" s="77" t="s">
        <v>1521</v>
      </c>
      <c r="AC1390" s="77" t="s">
        <v>90</v>
      </c>
      <c r="AD1390" s="77" t="s">
        <v>91</v>
      </c>
      <c r="AE1390" s="77" t="s">
        <v>2573</v>
      </c>
      <c r="AG1390" s="77" t="s">
        <v>2571</v>
      </c>
    </row>
    <row r="1391" spans="1:33" x14ac:dyDescent="0.3">
      <c r="A1391" s="77" t="s">
        <v>2579</v>
      </c>
      <c r="B1391" s="77" t="s">
        <v>2580</v>
      </c>
      <c r="G1391" s="77" t="s">
        <v>2569</v>
      </c>
      <c r="H1391" s="77" t="s">
        <v>77</v>
      </c>
      <c r="I1391" s="77" t="s">
        <v>1521</v>
      </c>
      <c r="J1391" s="77" t="s">
        <v>79</v>
      </c>
      <c r="K1391" s="77" t="s">
        <v>1522</v>
      </c>
      <c r="L1391" s="77" t="s">
        <v>2578</v>
      </c>
      <c r="M1391" s="77" t="s">
        <v>82</v>
      </c>
      <c r="N1391" s="77" t="s">
        <v>83</v>
      </c>
      <c r="Q1391" s="77" t="s">
        <v>188</v>
      </c>
      <c r="S1391" s="77" t="s">
        <v>188</v>
      </c>
      <c r="U1391" s="77" t="s">
        <v>85</v>
      </c>
      <c r="V1391" s="80" t="s">
        <v>231</v>
      </c>
      <c r="X1391" s="77" t="s">
        <v>232</v>
      </c>
      <c r="Y1391" s="78" t="s">
        <v>88</v>
      </c>
      <c r="AA1391" s="77" t="s">
        <v>2572</v>
      </c>
      <c r="AB1391" s="77" t="s">
        <v>1521</v>
      </c>
      <c r="AC1391" s="77" t="s">
        <v>90</v>
      </c>
      <c r="AD1391" s="77" t="s">
        <v>91</v>
      </c>
      <c r="AE1391" s="77" t="s">
        <v>2573</v>
      </c>
    </row>
    <row r="1392" spans="1:33" x14ac:dyDescent="0.3">
      <c r="A1392" s="77" t="s">
        <v>2581</v>
      </c>
      <c r="B1392" s="77" t="s">
        <v>2582</v>
      </c>
      <c r="G1392" s="77" t="s">
        <v>2583</v>
      </c>
      <c r="H1392" s="77" t="s">
        <v>77</v>
      </c>
      <c r="I1392" s="77" t="s">
        <v>1521</v>
      </c>
      <c r="J1392" s="77" t="s">
        <v>79</v>
      </c>
      <c r="K1392" s="77" t="s">
        <v>1522</v>
      </c>
      <c r="L1392" s="77" t="s">
        <v>2584</v>
      </c>
      <c r="M1392" s="77" t="s">
        <v>82</v>
      </c>
      <c r="N1392" s="77" t="s">
        <v>83</v>
      </c>
      <c r="Q1392" s="77" t="s">
        <v>188</v>
      </c>
      <c r="T1392" s="77" t="s">
        <v>1355</v>
      </c>
      <c r="U1392" s="77" t="s">
        <v>85</v>
      </c>
      <c r="V1392" s="80" t="s">
        <v>561</v>
      </c>
      <c r="X1392" s="77" t="s">
        <v>562</v>
      </c>
      <c r="Y1392" s="78" t="s">
        <v>101</v>
      </c>
      <c r="AA1392" s="77" t="s">
        <v>2584</v>
      </c>
      <c r="AB1392" s="77" t="s">
        <v>1521</v>
      </c>
      <c r="AC1392" s="77" t="s">
        <v>90</v>
      </c>
      <c r="AD1392" s="77" t="s">
        <v>102</v>
      </c>
      <c r="AE1392" s="77" t="s">
        <v>2585</v>
      </c>
      <c r="AG1392" s="77" t="s">
        <v>1355</v>
      </c>
    </row>
    <row r="1393" spans="1:33" x14ac:dyDescent="0.3">
      <c r="A1393" s="77" t="s">
        <v>2586</v>
      </c>
      <c r="B1393" s="77" t="s">
        <v>2587</v>
      </c>
      <c r="G1393" s="77" t="s">
        <v>2583</v>
      </c>
      <c r="H1393" s="77" t="s">
        <v>77</v>
      </c>
      <c r="I1393" s="77" t="s">
        <v>1521</v>
      </c>
      <c r="J1393" s="77" t="s">
        <v>79</v>
      </c>
      <c r="K1393" s="77" t="s">
        <v>1522</v>
      </c>
      <c r="L1393" s="77" t="s">
        <v>2584</v>
      </c>
      <c r="M1393" s="77" t="s">
        <v>82</v>
      </c>
      <c r="N1393" s="77" t="s">
        <v>83</v>
      </c>
      <c r="Q1393" s="77" t="s">
        <v>188</v>
      </c>
      <c r="T1393" s="77" t="s">
        <v>1351</v>
      </c>
      <c r="U1393" s="77" t="s">
        <v>85</v>
      </c>
      <c r="V1393" s="80" t="s">
        <v>554</v>
      </c>
      <c r="X1393" s="77" t="s">
        <v>555</v>
      </c>
      <c r="Y1393" s="78" t="s">
        <v>88</v>
      </c>
      <c r="AA1393" s="77" t="s">
        <v>2584</v>
      </c>
      <c r="AB1393" s="77" t="s">
        <v>1521</v>
      </c>
      <c r="AC1393" s="77" t="s">
        <v>90</v>
      </c>
      <c r="AD1393" s="77" t="s">
        <v>91</v>
      </c>
      <c r="AE1393" s="77" t="s">
        <v>2585</v>
      </c>
      <c r="AG1393" s="77" t="s">
        <v>1351</v>
      </c>
    </row>
    <row r="1394" spans="1:33" x14ac:dyDescent="0.3">
      <c r="A1394" s="77" t="s">
        <v>2588</v>
      </c>
      <c r="B1394" s="77" t="s">
        <v>2589</v>
      </c>
      <c r="G1394" s="77" t="s">
        <v>2583</v>
      </c>
      <c r="H1394" s="77" t="s">
        <v>77</v>
      </c>
      <c r="I1394" s="77" t="s">
        <v>1521</v>
      </c>
      <c r="J1394" s="77" t="s">
        <v>79</v>
      </c>
      <c r="K1394" s="77" t="s">
        <v>1522</v>
      </c>
      <c r="L1394" s="77" t="s">
        <v>2584</v>
      </c>
      <c r="M1394" s="77" t="s">
        <v>82</v>
      </c>
      <c r="N1394" s="77" t="s">
        <v>83</v>
      </c>
      <c r="Q1394" s="77" t="s">
        <v>188</v>
      </c>
      <c r="T1394" s="77" t="s">
        <v>1355</v>
      </c>
      <c r="U1394" s="77" t="s">
        <v>85</v>
      </c>
      <c r="V1394" s="80" t="s">
        <v>561</v>
      </c>
      <c r="X1394" s="77" t="s">
        <v>562</v>
      </c>
      <c r="Y1394" s="78" t="s">
        <v>101</v>
      </c>
      <c r="AA1394" s="77" t="s">
        <v>2584</v>
      </c>
      <c r="AB1394" s="77" t="s">
        <v>1521</v>
      </c>
      <c r="AC1394" s="77" t="s">
        <v>90</v>
      </c>
      <c r="AD1394" s="77" t="s">
        <v>102</v>
      </c>
      <c r="AE1394" s="77" t="s">
        <v>2585</v>
      </c>
      <c r="AG1394" s="77" t="s">
        <v>1355</v>
      </c>
    </row>
    <row r="1395" spans="1:33" x14ac:dyDescent="0.3">
      <c r="A1395" s="77" t="s">
        <v>2590</v>
      </c>
      <c r="B1395" s="77" t="s">
        <v>2591</v>
      </c>
      <c r="G1395" s="77" t="s">
        <v>2583</v>
      </c>
      <c r="H1395" s="77" t="s">
        <v>77</v>
      </c>
      <c r="I1395" s="77" t="s">
        <v>1521</v>
      </c>
      <c r="J1395" s="77" t="s">
        <v>79</v>
      </c>
      <c r="K1395" s="77" t="s">
        <v>1522</v>
      </c>
      <c r="L1395" s="77" t="s">
        <v>2584</v>
      </c>
      <c r="M1395" s="77" t="s">
        <v>82</v>
      </c>
      <c r="N1395" s="77" t="s">
        <v>83</v>
      </c>
      <c r="Q1395" s="77" t="s">
        <v>188</v>
      </c>
      <c r="T1395" s="77" t="s">
        <v>1344</v>
      </c>
      <c r="U1395" s="77" t="s">
        <v>85</v>
      </c>
      <c r="V1395" s="80" t="s">
        <v>547</v>
      </c>
      <c r="X1395" s="77" t="s">
        <v>548</v>
      </c>
      <c r="Y1395" s="78" t="s">
        <v>88</v>
      </c>
      <c r="AA1395" s="77" t="s">
        <v>2584</v>
      </c>
      <c r="AB1395" s="77" t="s">
        <v>1521</v>
      </c>
      <c r="AC1395" s="77" t="s">
        <v>90</v>
      </c>
      <c r="AD1395" s="77" t="s">
        <v>91</v>
      </c>
      <c r="AE1395" s="77" t="s">
        <v>2585</v>
      </c>
      <c r="AG1395" s="77" t="s">
        <v>1344</v>
      </c>
    </row>
    <row r="1396" spans="1:33" x14ac:dyDescent="0.3">
      <c r="A1396" s="77" t="s">
        <v>2592</v>
      </c>
      <c r="B1396" s="77" t="s">
        <v>2593</v>
      </c>
      <c r="G1396" s="77" t="s">
        <v>2583</v>
      </c>
      <c r="H1396" s="77" t="s">
        <v>77</v>
      </c>
      <c r="I1396" s="77" t="s">
        <v>1521</v>
      </c>
      <c r="J1396" s="77" t="s">
        <v>79</v>
      </c>
      <c r="K1396" s="77" t="s">
        <v>1522</v>
      </c>
      <c r="L1396" s="77" t="s">
        <v>2584</v>
      </c>
      <c r="M1396" s="77" t="s">
        <v>82</v>
      </c>
      <c r="N1396" s="77" t="s">
        <v>83</v>
      </c>
      <c r="Q1396" s="77" t="s">
        <v>188</v>
      </c>
      <c r="T1396" s="77" t="s">
        <v>1359</v>
      </c>
      <c r="U1396" s="77" t="s">
        <v>85</v>
      </c>
      <c r="V1396" s="80" t="s">
        <v>568</v>
      </c>
      <c r="X1396" s="77" t="s">
        <v>569</v>
      </c>
      <c r="Y1396" s="78" t="s">
        <v>101</v>
      </c>
      <c r="AA1396" s="77" t="s">
        <v>2584</v>
      </c>
      <c r="AB1396" s="77" t="s">
        <v>1521</v>
      </c>
      <c r="AC1396" s="77" t="s">
        <v>90</v>
      </c>
      <c r="AD1396" s="77" t="s">
        <v>102</v>
      </c>
      <c r="AE1396" s="77" t="s">
        <v>2585</v>
      </c>
      <c r="AG1396" s="77" t="s">
        <v>1359</v>
      </c>
    </row>
    <row r="1397" spans="1:33" x14ac:dyDescent="0.3">
      <c r="A1397" s="77" t="s">
        <v>2594</v>
      </c>
      <c r="B1397" s="77" t="s">
        <v>2595</v>
      </c>
      <c r="G1397" s="77" t="s">
        <v>2583</v>
      </c>
      <c r="H1397" s="77" t="s">
        <v>77</v>
      </c>
      <c r="I1397" s="77" t="s">
        <v>1521</v>
      </c>
      <c r="J1397" s="77" t="s">
        <v>79</v>
      </c>
      <c r="K1397" s="77" t="s">
        <v>1522</v>
      </c>
      <c r="L1397" s="77" t="s">
        <v>2584</v>
      </c>
      <c r="M1397" s="77" t="s">
        <v>82</v>
      </c>
      <c r="N1397" s="77" t="s">
        <v>83</v>
      </c>
      <c r="Q1397" s="77" t="s">
        <v>188</v>
      </c>
      <c r="T1397" s="77" t="s">
        <v>1355</v>
      </c>
      <c r="U1397" s="77" t="s">
        <v>85</v>
      </c>
      <c r="V1397" s="80" t="s">
        <v>561</v>
      </c>
      <c r="X1397" s="77" t="s">
        <v>562</v>
      </c>
      <c r="Y1397" s="78" t="s">
        <v>101</v>
      </c>
      <c r="AA1397" s="77" t="s">
        <v>2584</v>
      </c>
      <c r="AB1397" s="77" t="s">
        <v>1521</v>
      </c>
      <c r="AC1397" s="77" t="s">
        <v>90</v>
      </c>
      <c r="AD1397" s="77" t="s">
        <v>102</v>
      </c>
      <c r="AE1397" s="77" t="s">
        <v>2585</v>
      </c>
      <c r="AG1397" s="77" t="s">
        <v>1355</v>
      </c>
    </row>
    <row r="1398" spans="1:33" x14ac:dyDescent="0.3">
      <c r="A1398" s="77" t="s">
        <v>2596</v>
      </c>
      <c r="B1398" s="77" t="s">
        <v>2597</v>
      </c>
      <c r="G1398" s="77" t="s">
        <v>2583</v>
      </c>
      <c r="H1398" s="77" t="s">
        <v>77</v>
      </c>
      <c r="I1398" s="77" t="s">
        <v>1521</v>
      </c>
      <c r="J1398" s="77" t="s">
        <v>79</v>
      </c>
      <c r="K1398" s="77" t="s">
        <v>1522</v>
      </c>
      <c r="L1398" s="77" t="s">
        <v>2584</v>
      </c>
      <c r="M1398" s="77" t="s">
        <v>82</v>
      </c>
      <c r="N1398" s="77" t="s">
        <v>83</v>
      </c>
      <c r="Q1398" s="77" t="s">
        <v>188</v>
      </c>
      <c r="T1398" s="77" t="s">
        <v>1344</v>
      </c>
      <c r="U1398" s="77" t="s">
        <v>85</v>
      </c>
      <c r="V1398" s="80" t="s">
        <v>547</v>
      </c>
      <c r="X1398" s="77" t="s">
        <v>548</v>
      </c>
      <c r="Y1398" s="78" t="s">
        <v>88</v>
      </c>
      <c r="AA1398" s="77" t="s">
        <v>2584</v>
      </c>
      <c r="AB1398" s="77" t="s">
        <v>1521</v>
      </c>
      <c r="AC1398" s="77" t="s">
        <v>90</v>
      </c>
      <c r="AD1398" s="77" t="s">
        <v>91</v>
      </c>
      <c r="AE1398" s="77" t="s">
        <v>2585</v>
      </c>
      <c r="AG1398" s="77" t="s">
        <v>1344</v>
      </c>
    </row>
    <row r="1399" spans="1:33" x14ac:dyDescent="0.3">
      <c r="A1399" s="77" t="s">
        <v>2598</v>
      </c>
      <c r="B1399" s="77" t="s">
        <v>2599</v>
      </c>
      <c r="G1399" s="77" t="s">
        <v>2583</v>
      </c>
      <c r="H1399" s="77" t="s">
        <v>77</v>
      </c>
      <c r="I1399" s="77" t="s">
        <v>1521</v>
      </c>
      <c r="J1399" s="77" t="s">
        <v>79</v>
      </c>
      <c r="K1399" s="77" t="s">
        <v>1522</v>
      </c>
      <c r="L1399" s="77" t="s">
        <v>2584</v>
      </c>
      <c r="M1399" s="77" t="s">
        <v>82</v>
      </c>
      <c r="N1399" s="77" t="s">
        <v>83</v>
      </c>
      <c r="Q1399" s="77" t="s">
        <v>188</v>
      </c>
      <c r="T1399" s="77" t="s">
        <v>1359</v>
      </c>
      <c r="U1399" s="77" t="s">
        <v>85</v>
      </c>
      <c r="V1399" s="80" t="s">
        <v>568</v>
      </c>
      <c r="X1399" s="77" t="s">
        <v>569</v>
      </c>
      <c r="Y1399" s="78" t="s">
        <v>101</v>
      </c>
      <c r="AA1399" s="77" t="s">
        <v>2584</v>
      </c>
      <c r="AB1399" s="77" t="s">
        <v>1521</v>
      </c>
      <c r="AC1399" s="77" t="s">
        <v>90</v>
      </c>
      <c r="AD1399" s="77" t="s">
        <v>102</v>
      </c>
      <c r="AE1399" s="77" t="s">
        <v>2585</v>
      </c>
      <c r="AG1399" s="77" t="s">
        <v>1359</v>
      </c>
    </row>
    <row r="1400" spans="1:33" x14ac:dyDescent="0.3">
      <c r="A1400" s="77" t="s">
        <v>2600</v>
      </c>
      <c r="B1400" s="77" t="s">
        <v>2601</v>
      </c>
      <c r="G1400" s="77" t="s">
        <v>2583</v>
      </c>
      <c r="H1400" s="77" t="s">
        <v>77</v>
      </c>
      <c r="I1400" s="77" t="s">
        <v>1521</v>
      </c>
      <c r="J1400" s="77" t="s">
        <v>79</v>
      </c>
      <c r="K1400" s="77" t="s">
        <v>1522</v>
      </c>
      <c r="L1400" s="77" t="s">
        <v>2584</v>
      </c>
      <c r="M1400" s="77" t="s">
        <v>82</v>
      </c>
      <c r="N1400" s="77" t="s">
        <v>83</v>
      </c>
      <c r="Q1400" s="77" t="s">
        <v>188</v>
      </c>
      <c r="T1400" s="77" t="s">
        <v>1351</v>
      </c>
      <c r="U1400" s="77" t="s">
        <v>85</v>
      </c>
      <c r="V1400" s="80" t="s">
        <v>554</v>
      </c>
      <c r="X1400" s="77" t="s">
        <v>555</v>
      </c>
      <c r="Y1400" s="78" t="s">
        <v>88</v>
      </c>
      <c r="AA1400" s="77" t="s">
        <v>2584</v>
      </c>
      <c r="AB1400" s="77" t="s">
        <v>1521</v>
      </c>
      <c r="AC1400" s="77" t="s">
        <v>90</v>
      </c>
      <c r="AD1400" s="77" t="s">
        <v>91</v>
      </c>
      <c r="AE1400" s="77" t="s">
        <v>2585</v>
      </c>
      <c r="AG1400" s="77" t="s">
        <v>1351</v>
      </c>
    </row>
    <row r="1401" spans="1:33" x14ac:dyDescent="0.3">
      <c r="A1401" s="77" t="s">
        <v>2602</v>
      </c>
      <c r="B1401" s="77" t="s">
        <v>2603</v>
      </c>
      <c r="G1401" s="77" t="s">
        <v>2583</v>
      </c>
      <c r="H1401" s="77" t="s">
        <v>77</v>
      </c>
      <c r="I1401" s="77" t="s">
        <v>1521</v>
      </c>
      <c r="J1401" s="77" t="s">
        <v>79</v>
      </c>
      <c r="K1401" s="77" t="s">
        <v>1522</v>
      </c>
      <c r="L1401" s="77" t="s">
        <v>2584</v>
      </c>
      <c r="M1401" s="77" t="s">
        <v>82</v>
      </c>
      <c r="N1401" s="77" t="s">
        <v>83</v>
      </c>
      <c r="Q1401" s="77" t="s">
        <v>188</v>
      </c>
      <c r="T1401" s="77" t="s">
        <v>1359</v>
      </c>
      <c r="U1401" s="77" t="s">
        <v>85</v>
      </c>
      <c r="V1401" s="80" t="s">
        <v>568</v>
      </c>
      <c r="X1401" s="77" t="s">
        <v>569</v>
      </c>
      <c r="Y1401" s="78" t="s">
        <v>101</v>
      </c>
      <c r="AA1401" s="77" t="s">
        <v>2584</v>
      </c>
      <c r="AB1401" s="77" t="s">
        <v>1521</v>
      </c>
      <c r="AC1401" s="77" t="s">
        <v>90</v>
      </c>
      <c r="AD1401" s="77" t="s">
        <v>102</v>
      </c>
      <c r="AE1401" s="77" t="s">
        <v>2585</v>
      </c>
      <c r="AG1401" s="77" t="s">
        <v>1359</v>
      </c>
    </row>
    <row r="1402" spans="1:33" x14ac:dyDescent="0.3">
      <c r="A1402" s="77" t="s">
        <v>2604</v>
      </c>
      <c r="B1402" s="77" t="s">
        <v>2605</v>
      </c>
      <c r="G1402" s="77" t="s">
        <v>2583</v>
      </c>
      <c r="H1402" s="77" t="s">
        <v>77</v>
      </c>
      <c r="I1402" s="77" t="s">
        <v>1521</v>
      </c>
      <c r="J1402" s="77" t="s">
        <v>79</v>
      </c>
      <c r="K1402" s="77" t="s">
        <v>1522</v>
      </c>
      <c r="L1402" s="77" t="s">
        <v>2584</v>
      </c>
      <c r="M1402" s="77" t="s">
        <v>82</v>
      </c>
      <c r="N1402" s="77" t="s">
        <v>83</v>
      </c>
      <c r="Q1402" s="77" t="s">
        <v>188</v>
      </c>
      <c r="T1402" s="77" t="s">
        <v>1351</v>
      </c>
      <c r="U1402" s="77" t="s">
        <v>85</v>
      </c>
      <c r="V1402" s="80" t="s">
        <v>554</v>
      </c>
      <c r="X1402" s="77" t="s">
        <v>555</v>
      </c>
      <c r="Y1402" s="78" t="s">
        <v>88</v>
      </c>
      <c r="AA1402" s="77" t="s">
        <v>2584</v>
      </c>
      <c r="AB1402" s="77" t="s">
        <v>1521</v>
      </c>
      <c r="AC1402" s="77" t="s">
        <v>90</v>
      </c>
      <c r="AD1402" s="77" t="s">
        <v>91</v>
      </c>
      <c r="AE1402" s="77" t="s">
        <v>2585</v>
      </c>
      <c r="AG1402" s="77" t="s">
        <v>1351</v>
      </c>
    </row>
    <row r="1403" spans="1:33" x14ac:dyDescent="0.3">
      <c r="A1403" s="77" t="s">
        <v>2606</v>
      </c>
      <c r="B1403" s="77" t="s">
        <v>2607</v>
      </c>
      <c r="G1403" s="77" t="s">
        <v>2583</v>
      </c>
      <c r="H1403" s="77" t="s">
        <v>77</v>
      </c>
      <c r="I1403" s="77" t="s">
        <v>1521</v>
      </c>
      <c r="J1403" s="77" t="s">
        <v>79</v>
      </c>
      <c r="K1403" s="77" t="s">
        <v>1522</v>
      </c>
      <c r="L1403" s="77" t="s">
        <v>2584</v>
      </c>
      <c r="M1403" s="77" t="s">
        <v>82</v>
      </c>
      <c r="N1403" s="77" t="s">
        <v>83</v>
      </c>
      <c r="Q1403" s="77" t="s">
        <v>188</v>
      </c>
      <c r="T1403" s="77" t="s">
        <v>1344</v>
      </c>
      <c r="U1403" s="77" t="s">
        <v>85</v>
      </c>
      <c r="V1403" s="80" t="s">
        <v>547</v>
      </c>
      <c r="X1403" s="77" t="s">
        <v>548</v>
      </c>
      <c r="Y1403" s="78" t="s">
        <v>88</v>
      </c>
      <c r="AA1403" s="77" t="s">
        <v>2584</v>
      </c>
      <c r="AB1403" s="77" t="s">
        <v>1521</v>
      </c>
      <c r="AC1403" s="77" t="s">
        <v>90</v>
      </c>
      <c r="AD1403" s="77" t="s">
        <v>91</v>
      </c>
      <c r="AE1403" s="77" t="s">
        <v>2585</v>
      </c>
      <c r="AG1403" s="77" t="s">
        <v>1344</v>
      </c>
    </row>
    <row r="1404" spans="1:33" x14ac:dyDescent="0.3">
      <c r="A1404" s="77" t="s">
        <v>2608</v>
      </c>
      <c r="B1404" s="77" t="s">
        <v>2609</v>
      </c>
      <c r="G1404" s="77" t="s">
        <v>2583</v>
      </c>
      <c r="H1404" s="77" t="s">
        <v>77</v>
      </c>
      <c r="I1404" s="77" t="s">
        <v>1521</v>
      </c>
      <c r="J1404" s="77" t="s">
        <v>79</v>
      </c>
      <c r="K1404" s="77" t="s">
        <v>1522</v>
      </c>
      <c r="L1404" s="77" t="s">
        <v>2584</v>
      </c>
      <c r="M1404" s="77" t="s">
        <v>82</v>
      </c>
      <c r="N1404" s="77" t="s">
        <v>83</v>
      </c>
      <c r="Q1404" s="77" t="s">
        <v>188</v>
      </c>
      <c r="T1404" s="77" t="s">
        <v>1344</v>
      </c>
      <c r="U1404" s="77" t="s">
        <v>85</v>
      </c>
      <c r="V1404" s="80" t="s">
        <v>547</v>
      </c>
      <c r="X1404" s="77" t="s">
        <v>548</v>
      </c>
      <c r="Y1404" s="78" t="s">
        <v>88</v>
      </c>
      <c r="AA1404" s="77" t="s">
        <v>2584</v>
      </c>
      <c r="AB1404" s="77" t="s">
        <v>1521</v>
      </c>
      <c r="AC1404" s="77" t="s">
        <v>90</v>
      </c>
      <c r="AD1404" s="77" t="s">
        <v>91</v>
      </c>
      <c r="AE1404" s="77" t="s">
        <v>2585</v>
      </c>
      <c r="AG1404" s="77" t="s">
        <v>1344</v>
      </c>
    </row>
    <row r="1405" spans="1:33" x14ac:dyDescent="0.3">
      <c r="A1405" s="77" t="s">
        <v>2610</v>
      </c>
      <c r="B1405" s="77" t="s">
        <v>2611</v>
      </c>
      <c r="G1405" s="77" t="s">
        <v>2583</v>
      </c>
      <c r="H1405" s="77" t="s">
        <v>77</v>
      </c>
      <c r="I1405" s="77" t="s">
        <v>1521</v>
      </c>
      <c r="J1405" s="77" t="s">
        <v>79</v>
      </c>
      <c r="K1405" s="77" t="s">
        <v>1522</v>
      </c>
      <c r="L1405" s="77" t="s">
        <v>2584</v>
      </c>
      <c r="M1405" s="77" t="s">
        <v>82</v>
      </c>
      <c r="N1405" s="77" t="s">
        <v>83</v>
      </c>
      <c r="Q1405" s="77" t="s">
        <v>188</v>
      </c>
      <c r="T1405" s="77" t="s">
        <v>1351</v>
      </c>
      <c r="U1405" s="77" t="s">
        <v>85</v>
      </c>
      <c r="V1405" s="80" t="s">
        <v>554</v>
      </c>
      <c r="X1405" s="77" t="s">
        <v>555</v>
      </c>
      <c r="Y1405" s="78" t="s">
        <v>88</v>
      </c>
      <c r="AA1405" s="77" t="s">
        <v>2584</v>
      </c>
      <c r="AB1405" s="77" t="s">
        <v>1521</v>
      </c>
      <c r="AC1405" s="77" t="s">
        <v>90</v>
      </c>
      <c r="AD1405" s="77" t="s">
        <v>91</v>
      </c>
      <c r="AE1405" s="77" t="s">
        <v>2585</v>
      </c>
      <c r="AG1405" s="77" t="s">
        <v>1351</v>
      </c>
    </row>
    <row r="1406" spans="1:33" x14ac:dyDescent="0.3">
      <c r="A1406" s="77" t="s">
        <v>2612</v>
      </c>
      <c r="B1406" s="77" t="s">
        <v>2613</v>
      </c>
      <c r="G1406" s="77" t="s">
        <v>2583</v>
      </c>
      <c r="H1406" s="77" t="s">
        <v>77</v>
      </c>
      <c r="I1406" s="77" t="s">
        <v>1521</v>
      </c>
      <c r="J1406" s="77" t="s">
        <v>79</v>
      </c>
      <c r="K1406" s="77" t="s">
        <v>1522</v>
      </c>
      <c r="L1406" s="77" t="s">
        <v>2584</v>
      </c>
      <c r="M1406" s="77" t="s">
        <v>82</v>
      </c>
      <c r="N1406" s="77" t="s">
        <v>83</v>
      </c>
      <c r="Q1406" s="77" t="s">
        <v>188</v>
      </c>
      <c r="T1406" s="77" t="s">
        <v>1355</v>
      </c>
      <c r="U1406" s="77" t="s">
        <v>85</v>
      </c>
      <c r="V1406" s="80" t="s">
        <v>561</v>
      </c>
      <c r="X1406" s="77" t="s">
        <v>562</v>
      </c>
      <c r="Y1406" s="78" t="s">
        <v>101</v>
      </c>
      <c r="AA1406" s="77" t="s">
        <v>2584</v>
      </c>
      <c r="AB1406" s="77" t="s">
        <v>1521</v>
      </c>
      <c r="AC1406" s="77" t="s">
        <v>90</v>
      </c>
      <c r="AD1406" s="77" t="s">
        <v>102</v>
      </c>
      <c r="AE1406" s="77" t="s">
        <v>2585</v>
      </c>
      <c r="AG1406" s="77" t="s">
        <v>1355</v>
      </c>
    </row>
    <row r="1407" spans="1:33" x14ac:dyDescent="0.3">
      <c r="A1407" s="77" t="s">
        <v>2614</v>
      </c>
      <c r="B1407" s="77" t="s">
        <v>2615</v>
      </c>
      <c r="G1407" s="77" t="s">
        <v>2583</v>
      </c>
      <c r="H1407" s="77" t="s">
        <v>77</v>
      </c>
      <c r="I1407" s="77" t="s">
        <v>1521</v>
      </c>
      <c r="J1407" s="77" t="s">
        <v>79</v>
      </c>
      <c r="K1407" s="77" t="s">
        <v>1522</v>
      </c>
      <c r="L1407" s="77" t="s">
        <v>2584</v>
      </c>
      <c r="M1407" s="77" t="s">
        <v>82</v>
      </c>
      <c r="N1407" s="77" t="s">
        <v>83</v>
      </c>
      <c r="Q1407" s="77" t="s">
        <v>188</v>
      </c>
      <c r="T1407" s="77" t="s">
        <v>1359</v>
      </c>
      <c r="U1407" s="77" t="s">
        <v>85</v>
      </c>
      <c r="V1407" s="80" t="s">
        <v>568</v>
      </c>
      <c r="X1407" s="77" t="s">
        <v>569</v>
      </c>
      <c r="Y1407" s="78" t="s">
        <v>101</v>
      </c>
      <c r="AA1407" s="77" t="s">
        <v>2584</v>
      </c>
      <c r="AB1407" s="77" t="s">
        <v>1521</v>
      </c>
      <c r="AC1407" s="77" t="s">
        <v>90</v>
      </c>
      <c r="AD1407" s="77" t="s">
        <v>102</v>
      </c>
      <c r="AE1407" s="77" t="s">
        <v>2585</v>
      </c>
      <c r="AG1407" s="77" t="s">
        <v>1359</v>
      </c>
    </row>
    <row r="1408" spans="1:33" x14ac:dyDescent="0.3">
      <c r="A1408" s="77" t="s">
        <v>2616</v>
      </c>
      <c r="B1408" s="77" t="s">
        <v>2617</v>
      </c>
      <c r="G1408" s="77" t="s">
        <v>2618</v>
      </c>
      <c r="H1408" s="77" t="s">
        <v>77</v>
      </c>
      <c r="I1408" s="77" t="s">
        <v>1521</v>
      </c>
      <c r="J1408" s="77" t="s">
        <v>79</v>
      </c>
      <c r="K1408" s="77" t="s">
        <v>1522</v>
      </c>
      <c r="L1408" s="77" t="s">
        <v>2619</v>
      </c>
      <c r="M1408" s="77" t="s">
        <v>82</v>
      </c>
      <c r="N1408" s="77" t="s">
        <v>83</v>
      </c>
      <c r="Q1408" s="77" t="s">
        <v>188</v>
      </c>
      <c r="T1408" s="77" t="s">
        <v>1355</v>
      </c>
      <c r="U1408" s="77" t="s">
        <v>85</v>
      </c>
      <c r="V1408" s="80" t="s">
        <v>561</v>
      </c>
      <c r="X1408" s="77" t="s">
        <v>562</v>
      </c>
      <c r="Y1408" s="78" t="s">
        <v>101</v>
      </c>
      <c r="AA1408" s="77" t="s">
        <v>2620</v>
      </c>
      <c r="AB1408" s="77" t="s">
        <v>1521</v>
      </c>
      <c r="AC1408" s="77" t="s">
        <v>90</v>
      </c>
      <c r="AD1408" s="77" t="s">
        <v>102</v>
      </c>
      <c r="AE1408" s="77" t="s">
        <v>2621</v>
      </c>
      <c r="AG1408" s="77" t="s">
        <v>1355</v>
      </c>
    </row>
    <row r="1409" spans="1:33" x14ac:dyDescent="0.3">
      <c r="A1409" s="77" t="s">
        <v>2622</v>
      </c>
      <c r="B1409" s="77" t="s">
        <v>2623</v>
      </c>
      <c r="G1409" s="77" t="s">
        <v>2618</v>
      </c>
      <c r="H1409" s="77" t="s">
        <v>77</v>
      </c>
      <c r="I1409" s="77" t="s">
        <v>1521</v>
      </c>
      <c r="J1409" s="77" t="s">
        <v>79</v>
      </c>
      <c r="K1409" s="77" t="s">
        <v>1522</v>
      </c>
      <c r="L1409" s="77" t="s">
        <v>2619</v>
      </c>
      <c r="M1409" s="77" t="s">
        <v>82</v>
      </c>
      <c r="N1409" s="77" t="s">
        <v>83</v>
      </c>
      <c r="Q1409" s="77" t="s">
        <v>188</v>
      </c>
      <c r="T1409" s="77" t="s">
        <v>1359</v>
      </c>
      <c r="U1409" s="77" t="s">
        <v>85</v>
      </c>
      <c r="V1409" s="80" t="s">
        <v>568</v>
      </c>
      <c r="X1409" s="77" t="s">
        <v>569</v>
      </c>
      <c r="Y1409" s="78" t="s">
        <v>101</v>
      </c>
      <c r="AA1409" s="77" t="s">
        <v>2620</v>
      </c>
      <c r="AB1409" s="77" t="s">
        <v>1521</v>
      </c>
      <c r="AC1409" s="77" t="s">
        <v>90</v>
      </c>
      <c r="AD1409" s="77" t="s">
        <v>102</v>
      </c>
      <c r="AE1409" s="77" t="s">
        <v>2621</v>
      </c>
      <c r="AG1409" s="77" t="s">
        <v>1359</v>
      </c>
    </row>
    <row r="1410" spans="1:33" x14ac:dyDescent="0.3">
      <c r="A1410" s="77" t="s">
        <v>2624</v>
      </c>
      <c r="B1410" s="77" t="s">
        <v>2625</v>
      </c>
      <c r="G1410" s="77" t="s">
        <v>2618</v>
      </c>
      <c r="H1410" s="77" t="s">
        <v>77</v>
      </c>
      <c r="I1410" s="77" t="s">
        <v>1521</v>
      </c>
      <c r="J1410" s="77" t="s">
        <v>79</v>
      </c>
      <c r="K1410" s="77" t="s">
        <v>1522</v>
      </c>
      <c r="L1410" s="77" t="s">
        <v>2626</v>
      </c>
      <c r="M1410" s="77" t="s">
        <v>82</v>
      </c>
      <c r="N1410" s="77" t="s">
        <v>83</v>
      </c>
      <c r="Q1410" s="77" t="s">
        <v>188</v>
      </c>
      <c r="T1410" s="77" t="s">
        <v>1547</v>
      </c>
      <c r="U1410" s="77" t="s">
        <v>85</v>
      </c>
      <c r="V1410" s="80" t="s">
        <v>891</v>
      </c>
      <c r="X1410" s="77" t="s">
        <v>892</v>
      </c>
      <c r="Y1410" s="78" t="s">
        <v>88</v>
      </c>
      <c r="AA1410" s="77" t="s">
        <v>2620</v>
      </c>
      <c r="AB1410" s="77" t="s">
        <v>1521</v>
      </c>
      <c r="AC1410" s="77" t="s">
        <v>90</v>
      </c>
      <c r="AD1410" s="77" t="s">
        <v>91</v>
      </c>
      <c r="AE1410" s="77" t="s">
        <v>2621</v>
      </c>
      <c r="AG1410" s="77" t="s">
        <v>1547</v>
      </c>
    </row>
    <row r="1411" spans="1:33" x14ac:dyDescent="0.3">
      <c r="A1411" s="77" t="s">
        <v>2627</v>
      </c>
      <c r="B1411" s="77" t="s">
        <v>2628</v>
      </c>
      <c r="G1411" s="77" t="s">
        <v>2618</v>
      </c>
      <c r="H1411" s="77" t="s">
        <v>77</v>
      </c>
      <c r="I1411" s="77" t="s">
        <v>1521</v>
      </c>
      <c r="J1411" s="77" t="s">
        <v>79</v>
      </c>
      <c r="K1411" s="77" t="s">
        <v>1522</v>
      </c>
      <c r="L1411" s="77" t="s">
        <v>2626</v>
      </c>
      <c r="M1411" s="77" t="s">
        <v>82</v>
      </c>
      <c r="N1411" s="77" t="s">
        <v>83</v>
      </c>
      <c r="Q1411" s="77" t="s">
        <v>188</v>
      </c>
      <c r="T1411" s="77" t="s">
        <v>1547</v>
      </c>
      <c r="U1411" s="77" t="s">
        <v>85</v>
      </c>
      <c r="V1411" s="80" t="s">
        <v>891</v>
      </c>
      <c r="X1411" s="77" t="s">
        <v>892</v>
      </c>
      <c r="Y1411" s="78" t="s">
        <v>88</v>
      </c>
      <c r="AA1411" s="77" t="s">
        <v>2620</v>
      </c>
      <c r="AB1411" s="77" t="s">
        <v>1521</v>
      </c>
      <c r="AC1411" s="77" t="s">
        <v>90</v>
      </c>
      <c r="AD1411" s="77" t="s">
        <v>91</v>
      </c>
      <c r="AE1411" s="77" t="s">
        <v>2621</v>
      </c>
      <c r="AG1411" s="77" t="s">
        <v>1547</v>
      </c>
    </row>
    <row r="1412" spans="1:33" x14ac:dyDescent="0.3">
      <c r="A1412" s="77" t="s">
        <v>2629</v>
      </c>
      <c r="B1412" s="77" t="s">
        <v>2630</v>
      </c>
      <c r="G1412" s="77" t="s">
        <v>2618</v>
      </c>
      <c r="H1412" s="77" t="s">
        <v>77</v>
      </c>
      <c r="I1412" s="77" t="s">
        <v>1521</v>
      </c>
      <c r="J1412" s="77" t="s">
        <v>79</v>
      </c>
      <c r="K1412" s="77" t="s">
        <v>1522</v>
      </c>
      <c r="L1412" s="77" t="s">
        <v>2619</v>
      </c>
      <c r="M1412" s="77" t="s">
        <v>82</v>
      </c>
      <c r="N1412" s="77" t="s">
        <v>83</v>
      </c>
      <c r="Q1412" s="77" t="s">
        <v>188</v>
      </c>
      <c r="T1412" s="77" t="s">
        <v>1344</v>
      </c>
      <c r="U1412" s="77" t="s">
        <v>85</v>
      </c>
      <c r="V1412" s="80" t="s">
        <v>547</v>
      </c>
      <c r="X1412" s="77" t="s">
        <v>548</v>
      </c>
      <c r="Y1412" s="78" t="s">
        <v>88</v>
      </c>
      <c r="AA1412" s="77" t="s">
        <v>2620</v>
      </c>
      <c r="AB1412" s="77" t="s">
        <v>1521</v>
      </c>
      <c r="AC1412" s="77" t="s">
        <v>90</v>
      </c>
      <c r="AD1412" s="77" t="s">
        <v>91</v>
      </c>
      <c r="AE1412" s="77" t="s">
        <v>2621</v>
      </c>
      <c r="AG1412" s="77" t="s">
        <v>1344</v>
      </c>
    </row>
    <row r="1413" spans="1:33" x14ac:dyDescent="0.3">
      <c r="A1413" s="77" t="s">
        <v>2631</v>
      </c>
      <c r="B1413" s="77" t="s">
        <v>2632</v>
      </c>
      <c r="G1413" s="77" t="s">
        <v>2618</v>
      </c>
      <c r="H1413" s="77" t="s">
        <v>77</v>
      </c>
      <c r="I1413" s="77" t="s">
        <v>1521</v>
      </c>
      <c r="J1413" s="77" t="s">
        <v>79</v>
      </c>
      <c r="K1413" s="77" t="s">
        <v>1522</v>
      </c>
      <c r="L1413" s="77" t="s">
        <v>2619</v>
      </c>
      <c r="M1413" s="77" t="s">
        <v>82</v>
      </c>
      <c r="N1413" s="77" t="s">
        <v>83</v>
      </c>
      <c r="Q1413" s="77" t="s">
        <v>188</v>
      </c>
      <c r="T1413" s="77" t="s">
        <v>1344</v>
      </c>
      <c r="U1413" s="77" t="s">
        <v>85</v>
      </c>
      <c r="V1413" s="80" t="s">
        <v>547</v>
      </c>
      <c r="X1413" s="77" t="s">
        <v>548</v>
      </c>
      <c r="Y1413" s="78" t="s">
        <v>88</v>
      </c>
      <c r="AA1413" s="77" t="s">
        <v>2620</v>
      </c>
      <c r="AB1413" s="77" t="s">
        <v>1521</v>
      </c>
      <c r="AC1413" s="77" t="s">
        <v>90</v>
      </c>
      <c r="AD1413" s="77" t="s">
        <v>91</v>
      </c>
      <c r="AE1413" s="77" t="s">
        <v>2621</v>
      </c>
      <c r="AG1413" s="77" t="s">
        <v>1344</v>
      </c>
    </row>
    <row r="1414" spans="1:33" x14ac:dyDescent="0.3">
      <c r="A1414" s="77" t="s">
        <v>2633</v>
      </c>
      <c r="B1414" s="77" t="s">
        <v>2634</v>
      </c>
      <c r="G1414" s="77" t="s">
        <v>2618</v>
      </c>
      <c r="H1414" s="77" t="s">
        <v>77</v>
      </c>
      <c r="I1414" s="77" t="s">
        <v>1521</v>
      </c>
      <c r="J1414" s="77" t="s">
        <v>79</v>
      </c>
      <c r="K1414" s="77" t="s">
        <v>1522</v>
      </c>
      <c r="L1414" s="77" t="s">
        <v>2619</v>
      </c>
      <c r="M1414" s="77" t="s">
        <v>82</v>
      </c>
      <c r="N1414" s="77" t="s">
        <v>83</v>
      </c>
      <c r="Q1414" s="77" t="s">
        <v>188</v>
      </c>
      <c r="T1414" s="77" t="s">
        <v>1355</v>
      </c>
      <c r="U1414" s="77" t="s">
        <v>85</v>
      </c>
      <c r="V1414" s="80" t="s">
        <v>561</v>
      </c>
      <c r="X1414" s="77" t="s">
        <v>562</v>
      </c>
      <c r="Y1414" s="78" t="s">
        <v>101</v>
      </c>
      <c r="AA1414" s="77" t="s">
        <v>2620</v>
      </c>
      <c r="AB1414" s="77" t="s">
        <v>1521</v>
      </c>
      <c r="AC1414" s="77" t="s">
        <v>90</v>
      </c>
      <c r="AD1414" s="77" t="s">
        <v>102</v>
      </c>
      <c r="AE1414" s="77" t="s">
        <v>2621</v>
      </c>
      <c r="AG1414" s="77" t="s">
        <v>1355</v>
      </c>
    </row>
    <row r="1415" spans="1:33" x14ac:dyDescent="0.3">
      <c r="A1415" s="77" t="s">
        <v>2635</v>
      </c>
      <c r="B1415" s="77" t="s">
        <v>2636</v>
      </c>
      <c r="G1415" s="77" t="s">
        <v>2618</v>
      </c>
      <c r="H1415" s="77" t="s">
        <v>77</v>
      </c>
      <c r="I1415" s="77" t="s">
        <v>1521</v>
      </c>
      <c r="J1415" s="77" t="s">
        <v>79</v>
      </c>
      <c r="K1415" s="77" t="s">
        <v>1522</v>
      </c>
      <c r="L1415" s="77" t="s">
        <v>2619</v>
      </c>
      <c r="M1415" s="77" t="s">
        <v>82</v>
      </c>
      <c r="N1415" s="77" t="s">
        <v>83</v>
      </c>
      <c r="Q1415" s="77" t="s">
        <v>188</v>
      </c>
      <c r="T1415" s="77" t="s">
        <v>1359</v>
      </c>
      <c r="U1415" s="77" t="s">
        <v>85</v>
      </c>
      <c r="V1415" s="80" t="s">
        <v>568</v>
      </c>
      <c r="X1415" s="77" t="s">
        <v>569</v>
      </c>
      <c r="Y1415" s="78" t="s">
        <v>101</v>
      </c>
      <c r="AA1415" s="77" t="s">
        <v>2620</v>
      </c>
      <c r="AB1415" s="77" t="s">
        <v>1521</v>
      </c>
      <c r="AC1415" s="77" t="s">
        <v>90</v>
      </c>
      <c r="AD1415" s="77" t="s">
        <v>102</v>
      </c>
      <c r="AE1415" s="77" t="s">
        <v>2621</v>
      </c>
      <c r="AG1415" s="77" t="s">
        <v>1359</v>
      </c>
    </row>
    <row r="1416" spans="1:33" x14ac:dyDescent="0.3">
      <c r="A1416" s="77" t="s">
        <v>2637</v>
      </c>
      <c r="B1416" s="77" t="s">
        <v>2638</v>
      </c>
      <c r="G1416" s="77" t="s">
        <v>2618</v>
      </c>
      <c r="H1416" s="77" t="s">
        <v>77</v>
      </c>
      <c r="I1416" s="77" t="s">
        <v>1521</v>
      </c>
      <c r="J1416" s="77" t="s">
        <v>79</v>
      </c>
      <c r="K1416" s="77" t="s">
        <v>1522</v>
      </c>
      <c r="L1416" s="77" t="s">
        <v>2619</v>
      </c>
      <c r="M1416" s="77" t="s">
        <v>82</v>
      </c>
      <c r="N1416" s="77" t="s">
        <v>83</v>
      </c>
      <c r="Q1416" s="77" t="s">
        <v>188</v>
      </c>
      <c r="T1416" s="77" t="s">
        <v>1344</v>
      </c>
      <c r="U1416" s="77" t="s">
        <v>85</v>
      </c>
      <c r="V1416" s="80" t="s">
        <v>547</v>
      </c>
      <c r="X1416" s="77" t="s">
        <v>548</v>
      </c>
      <c r="Y1416" s="78" t="s">
        <v>88</v>
      </c>
      <c r="AA1416" s="77" t="s">
        <v>2620</v>
      </c>
      <c r="AB1416" s="77" t="s">
        <v>1521</v>
      </c>
      <c r="AC1416" s="77" t="s">
        <v>90</v>
      </c>
      <c r="AD1416" s="77" t="s">
        <v>91</v>
      </c>
      <c r="AE1416" s="77" t="s">
        <v>2621</v>
      </c>
      <c r="AG1416" s="77" t="s">
        <v>1344</v>
      </c>
    </row>
    <row r="1417" spans="1:33" x14ac:dyDescent="0.3">
      <c r="A1417" s="77" t="s">
        <v>2639</v>
      </c>
      <c r="B1417" s="77" t="s">
        <v>2640</v>
      </c>
      <c r="G1417" s="77" t="s">
        <v>2618</v>
      </c>
      <c r="H1417" s="77" t="s">
        <v>77</v>
      </c>
      <c r="I1417" s="77" t="s">
        <v>1521</v>
      </c>
      <c r="J1417" s="77" t="s">
        <v>79</v>
      </c>
      <c r="K1417" s="77" t="s">
        <v>1522</v>
      </c>
      <c r="L1417" s="77" t="s">
        <v>2641</v>
      </c>
      <c r="M1417" s="77" t="s">
        <v>82</v>
      </c>
      <c r="N1417" s="77" t="s">
        <v>83</v>
      </c>
      <c r="Q1417" s="77" t="s">
        <v>188</v>
      </c>
      <c r="T1417" s="77" t="s">
        <v>1547</v>
      </c>
      <c r="U1417" s="77" t="s">
        <v>85</v>
      </c>
      <c r="V1417" s="80" t="s">
        <v>891</v>
      </c>
      <c r="X1417" s="77" t="s">
        <v>892</v>
      </c>
      <c r="Y1417" s="78" t="s">
        <v>88</v>
      </c>
      <c r="AA1417" s="77" t="s">
        <v>2620</v>
      </c>
      <c r="AB1417" s="77" t="s">
        <v>1521</v>
      </c>
      <c r="AC1417" s="77" t="s">
        <v>90</v>
      </c>
      <c r="AD1417" s="77" t="s">
        <v>91</v>
      </c>
      <c r="AE1417" s="77" t="s">
        <v>2621</v>
      </c>
      <c r="AG1417" s="77" t="s">
        <v>1547</v>
      </c>
    </row>
    <row r="1418" spans="1:33" x14ac:dyDescent="0.3">
      <c r="A1418" s="77" t="s">
        <v>2642</v>
      </c>
      <c r="B1418" s="77" t="s">
        <v>2643</v>
      </c>
      <c r="G1418" s="77" t="s">
        <v>2618</v>
      </c>
      <c r="H1418" s="77" t="s">
        <v>77</v>
      </c>
      <c r="I1418" s="77" t="s">
        <v>1521</v>
      </c>
      <c r="J1418" s="77" t="s">
        <v>79</v>
      </c>
      <c r="K1418" s="77" t="s">
        <v>1522</v>
      </c>
      <c r="L1418" s="77" t="s">
        <v>2619</v>
      </c>
      <c r="M1418" s="77" t="s">
        <v>82</v>
      </c>
      <c r="N1418" s="77" t="s">
        <v>83</v>
      </c>
      <c r="Q1418" s="77" t="s">
        <v>188</v>
      </c>
      <c r="T1418" s="77" t="s">
        <v>1355</v>
      </c>
      <c r="U1418" s="77" t="s">
        <v>85</v>
      </c>
      <c r="V1418" s="80" t="s">
        <v>561</v>
      </c>
      <c r="X1418" s="77" t="s">
        <v>562</v>
      </c>
      <c r="Y1418" s="78" t="s">
        <v>101</v>
      </c>
      <c r="AA1418" s="77" t="s">
        <v>2620</v>
      </c>
      <c r="AB1418" s="77" t="s">
        <v>1521</v>
      </c>
      <c r="AC1418" s="77" t="s">
        <v>90</v>
      </c>
      <c r="AD1418" s="77" t="s">
        <v>102</v>
      </c>
      <c r="AE1418" s="77" t="s">
        <v>2621</v>
      </c>
      <c r="AG1418" s="77" t="s">
        <v>1355</v>
      </c>
    </row>
    <row r="1419" spans="1:33" x14ac:dyDescent="0.3">
      <c r="A1419" s="77" t="s">
        <v>2644</v>
      </c>
      <c r="B1419" s="77" t="s">
        <v>2645</v>
      </c>
      <c r="G1419" s="77" t="s">
        <v>2618</v>
      </c>
      <c r="H1419" s="77" t="s">
        <v>77</v>
      </c>
      <c r="I1419" s="77" t="s">
        <v>1521</v>
      </c>
      <c r="J1419" s="77" t="s">
        <v>79</v>
      </c>
      <c r="K1419" s="77" t="s">
        <v>1522</v>
      </c>
      <c r="L1419" s="77" t="s">
        <v>2619</v>
      </c>
      <c r="M1419" s="77" t="s">
        <v>82</v>
      </c>
      <c r="N1419" s="77" t="s">
        <v>83</v>
      </c>
      <c r="Q1419" s="77" t="s">
        <v>188</v>
      </c>
      <c r="T1419" s="77" t="s">
        <v>1359</v>
      </c>
      <c r="U1419" s="77" t="s">
        <v>85</v>
      </c>
      <c r="V1419" s="80" t="s">
        <v>568</v>
      </c>
      <c r="X1419" s="77" t="s">
        <v>569</v>
      </c>
      <c r="Y1419" s="78" t="s">
        <v>101</v>
      </c>
      <c r="AA1419" s="77" t="s">
        <v>2620</v>
      </c>
      <c r="AB1419" s="77" t="s">
        <v>1521</v>
      </c>
      <c r="AC1419" s="77" t="s">
        <v>90</v>
      </c>
      <c r="AD1419" s="77" t="s">
        <v>102</v>
      </c>
      <c r="AE1419" s="77" t="s">
        <v>2621</v>
      </c>
      <c r="AG1419" s="77" t="s">
        <v>1359</v>
      </c>
    </row>
    <row r="1420" spans="1:33" x14ac:dyDescent="0.3">
      <c r="A1420" s="77" t="s">
        <v>2646</v>
      </c>
      <c r="B1420" s="77" t="s">
        <v>2647</v>
      </c>
      <c r="G1420" s="77" t="s">
        <v>2618</v>
      </c>
      <c r="H1420" s="77" t="s">
        <v>77</v>
      </c>
      <c r="I1420" s="77" t="s">
        <v>1521</v>
      </c>
      <c r="J1420" s="77" t="s">
        <v>79</v>
      </c>
      <c r="K1420" s="77" t="s">
        <v>1522</v>
      </c>
      <c r="L1420" s="77" t="s">
        <v>2641</v>
      </c>
      <c r="M1420" s="77" t="s">
        <v>82</v>
      </c>
      <c r="N1420" s="77" t="s">
        <v>83</v>
      </c>
      <c r="Q1420" s="77" t="s">
        <v>188</v>
      </c>
      <c r="T1420" s="77" t="s">
        <v>1547</v>
      </c>
      <c r="U1420" s="77" t="s">
        <v>85</v>
      </c>
      <c r="V1420" s="80" t="s">
        <v>891</v>
      </c>
      <c r="X1420" s="77" t="s">
        <v>892</v>
      </c>
      <c r="Y1420" s="78" t="s">
        <v>88</v>
      </c>
      <c r="AA1420" s="77" t="s">
        <v>2620</v>
      </c>
      <c r="AB1420" s="77" t="s">
        <v>1521</v>
      </c>
      <c r="AC1420" s="77" t="s">
        <v>90</v>
      </c>
      <c r="AD1420" s="77" t="s">
        <v>91</v>
      </c>
      <c r="AE1420" s="77" t="s">
        <v>2621</v>
      </c>
      <c r="AG1420" s="77" t="s">
        <v>1547</v>
      </c>
    </row>
    <row r="1421" spans="1:33" x14ac:dyDescent="0.3">
      <c r="A1421" s="77" t="s">
        <v>2648</v>
      </c>
      <c r="B1421" s="77" t="s">
        <v>2649</v>
      </c>
      <c r="G1421" s="77" t="s">
        <v>2618</v>
      </c>
      <c r="H1421" s="77" t="s">
        <v>77</v>
      </c>
      <c r="I1421" s="77" t="s">
        <v>1521</v>
      </c>
      <c r="J1421" s="77" t="s">
        <v>79</v>
      </c>
      <c r="K1421" s="77" t="s">
        <v>1522</v>
      </c>
      <c r="L1421" s="77" t="s">
        <v>2619</v>
      </c>
      <c r="M1421" s="77" t="s">
        <v>82</v>
      </c>
      <c r="N1421" s="77" t="s">
        <v>83</v>
      </c>
      <c r="Q1421" s="77" t="s">
        <v>188</v>
      </c>
      <c r="T1421" s="77" t="s">
        <v>1359</v>
      </c>
      <c r="U1421" s="77" t="s">
        <v>85</v>
      </c>
      <c r="V1421" s="80" t="s">
        <v>568</v>
      </c>
      <c r="X1421" s="77" t="s">
        <v>569</v>
      </c>
      <c r="Y1421" s="78" t="s">
        <v>101</v>
      </c>
      <c r="AA1421" s="77" t="s">
        <v>2620</v>
      </c>
      <c r="AB1421" s="77" t="s">
        <v>1521</v>
      </c>
      <c r="AC1421" s="77" t="s">
        <v>90</v>
      </c>
      <c r="AD1421" s="77" t="s">
        <v>102</v>
      </c>
      <c r="AE1421" s="77" t="s">
        <v>2621</v>
      </c>
      <c r="AG1421" s="77" t="s">
        <v>1359</v>
      </c>
    </row>
    <row r="1422" spans="1:33" x14ac:dyDescent="0.3">
      <c r="A1422" s="77" t="s">
        <v>2650</v>
      </c>
      <c r="B1422" s="77" t="s">
        <v>2651</v>
      </c>
      <c r="G1422" s="77" t="s">
        <v>2618</v>
      </c>
      <c r="H1422" s="77" t="s">
        <v>77</v>
      </c>
      <c r="I1422" s="77" t="s">
        <v>1521</v>
      </c>
      <c r="J1422" s="77" t="s">
        <v>79</v>
      </c>
      <c r="K1422" s="77" t="s">
        <v>1522</v>
      </c>
      <c r="L1422" s="77" t="s">
        <v>2619</v>
      </c>
      <c r="M1422" s="77" t="s">
        <v>82</v>
      </c>
      <c r="N1422" s="77" t="s">
        <v>83</v>
      </c>
      <c r="Q1422" s="77" t="s">
        <v>188</v>
      </c>
      <c r="T1422" s="77" t="s">
        <v>1344</v>
      </c>
      <c r="U1422" s="77" t="s">
        <v>85</v>
      </c>
      <c r="V1422" s="80" t="s">
        <v>547</v>
      </c>
      <c r="X1422" s="77" t="s">
        <v>548</v>
      </c>
      <c r="Y1422" s="78" t="s">
        <v>88</v>
      </c>
      <c r="AA1422" s="77" t="s">
        <v>2620</v>
      </c>
      <c r="AB1422" s="77" t="s">
        <v>1521</v>
      </c>
      <c r="AC1422" s="77" t="s">
        <v>90</v>
      </c>
      <c r="AD1422" s="77" t="s">
        <v>91</v>
      </c>
      <c r="AE1422" s="77" t="s">
        <v>2621</v>
      </c>
      <c r="AG1422" s="77" t="s">
        <v>1344</v>
      </c>
    </row>
    <row r="1423" spans="1:33" x14ac:dyDescent="0.3">
      <c r="A1423" s="77" t="s">
        <v>2652</v>
      </c>
      <c r="B1423" s="77" t="s">
        <v>2653</v>
      </c>
      <c r="G1423" s="77" t="s">
        <v>2618</v>
      </c>
      <c r="H1423" s="77" t="s">
        <v>77</v>
      </c>
      <c r="I1423" s="77" t="s">
        <v>1521</v>
      </c>
      <c r="J1423" s="77" t="s">
        <v>79</v>
      </c>
      <c r="K1423" s="77" t="s">
        <v>1522</v>
      </c>
      <c r="L1423" s="77" t="s">
        <v>2619</v>
      </c>
      <c r="M1423" s="77" t="s">
        <v>82</v>
      </c>
      <c r="N1423" s="77" t="s">
        <v>83</v>
      </c>
      <c r="Q1423" s="77" t="s">
        <v>188</v>
      </c>
      <c r="T1423" s="77" t="s">
        <v>1355</v>
      </c>
      <c r="U1423" s="77" t="s">
        <v>85</v>
      </c>
      <c r="V1423" s="80" t="s">
        <v>561</v>
      </c>
      <c r="X1423" s="77" t="s">
        <v>562</v>
      </c>
      <c r="Y1423" s="78" t="s">
        <v>101</v>
      </c>
      <c r="AA1423" s="77" t="s">
        <v>2620</v>
      </c>
      <c r="AB1423" s="77" t="s">
        <v>1521</v>
      </c>
      <c r="AC1423" s="77" t="s">
        <v>90</v>
      </c>
      <c r="AD1423" s="77" t="s">
        <v>102</v>
      </c>
      <c r="AE1423" s="77" t="s">
        <v>2621</v>
      </c>
      <c r="AG1423" s="77" t="s">
        <v>1355</v>
      </c>
    </row>
    <row r="1424" spans="1:33" x14ac:dyDescent="0.3">
      <c r="A1424" s="77" t="s">
        <v>2654</v>
      </c>
      <c r="B1424" s="77" t="s">
        <v>2655</v>
      </c>
      <c r="G1424" s="77" t="s">
        <v>2618</v>
      </c>
      <c r="H1424" s="77" t="s">
        <v>77</v>
      </c>
      <c r="I1424" s="77" t="s">
        <v>1521</v>
      </c>
      <c r="J1424" s="77" t="s">
        <v>79</v>
      </c>
      <c r="K1424" s="77" t="s">
        <v>1522</v>
      </c>
      <c r="L1424" s="77" t="s">
        <v>2619</v>
      </c>
      <c r="M1424" s="77" t="s">
        <v>82</v>
      </c>
      <c r="N1424" s="77" t="s">
        <v>83</v>
      </c>
      <c r="Q1424" s="77" t="s">
        <v>188</v>
      </c>
      <c r="T1424" s="77" t="s">
        <v>1351</v>
      </c>
      <c r="U1424" s="77" t="s">
        <v>85</v>
      </c>
      <c r="V1424" s="80" t="s">
        <v>554</v>
      </c>
      <c r="X1424" s="77" t="s">
        <v>555</v>
      </c>
      <c r="Y1424" s="78" t="s">
        <v>88</v>
      </c>
      <c r="AA1424" s="77" t="s">
        <v>2620</v>
      </c>
      <c r="AB1424" s="77" t="s">
        <v>1521</v>
      </c>
      <c r="AC1424" s="77" t="s">
        <v>90</v>
      </c>
      <c r="AD1424" s="77" t="s">
        <v>91</v>
      </c>
      <c r="AE1424" s="77" t="s">
        <v>2621</v>
      </c>
      <c r="AG1424" s="77" t="s">
        <v>1351</v>
      </c>
    </row>
    <row r="1425" spans="1:33" x14ac:dyDescent="0.3">
      <c r="A1425" s="77" t="s">
        <v>2656</v>
      </c>
      <c r="B1425" s="77" t="s">
        <v>2657</v>
      </c>
      <c r="G1425" s="77" t="s">
        <v>2618</v>
      </c>
      <c r="H1425" s="77" t="s">
        <v>77</v>
      </c>
      <c r="I1425" s="77" t="s">
        <v>1521</v>
      </c>
      <c r="J1425" s="77" t="s">
        <v>79</v>
      </c>
      <c r="K1425" s="77" t="s">
        <v>1522</v>
      </c>
      <c r="L1425" s="77" t="s">
        <v>2619</v>
      </c>
      <c r="M1425" s="77" t="s">
        <v>82</v>
      </c>
      <c r="N1425" s="77" t="s">
        <v>83</v>
      </c>
      <c r="Q1425" s="77" t="s">
        <v>188</v>
      </c>
      <c r="T1425" s="77" t="s">
        <v>1351</v>
      </c>
      <c r="U1425" s="77" t="s">
        <v>85</v>
      </c>
      <c r="V1425" s="80" t="s">
        <v>554</v>
      </c>
      <c r="X1425" s="77" t="s">
        <v>555</v>
      </c>
      <c r="Y1425" s="78" t="s">
        <v>88</v>
      </c>
      <c r="AA1425" s="77" t="s">
        <v>2620</v>
      </c>
      <c r="AB1425" s="77" t="s">
        <v>1521</v>
      </c>
      <c r="AC1425" s="77" t="s">
        <v>90</v>
      </c>
      <c r="AD1425" s="77" t="s">
        <v>91</v>
      </c>
      <c r="AE1425" s="77" t="s">
        <v>2621</v>
      </c>
      <c r="AG1425" s="77" t="s">
        <v>1351</v>
      </c>
    </row>
    <row r="1426" spans="1:33" x14ac:dyDescent="0.3">
      <c r="A1426" s="77" t="s">
        <v>2658</v>
      </c>
      <c r="B1426" s="77" t="s">
        <v>2659</v>
      </c>
      <c r="G1426" s="77" t="s">
        <v>2618</v>
      </c>
      <c r="H1426" s="77" t="s">
        <v>77</v>
      </c>
      <c r="I1426" s="77" t="s">
        <v>1521</v>
      </c>
      <c r="J1426" s="77" t="s">
        <v>79</v>
      </c>
      <c r="K1426" s="77" t="s">
        <v>1522</v>
      </c>
      <c r="L1426" s="77" t="s">
        <v>2619</v>
      </c>
      <c r="M1426" s="77" t="s">
        <v>82</v>
      </c>
      <c r="N1426" s="77" t="s">
        <v>83</v>
      </c>
      <c r="Q1426" s="77" t="s">
        <v>188</v>
      </c>
      <c r="T1426" s="77" t="s">
        <v>1351</v>
      </c>
      <c r="U1426" s="77" t="s">
        <v>85</v>
      </c>
      <c r="V1426" s="80" t="s">
        <v>554</v>
      </c>
      <c r="X1426" s="77" t="s">
        <v>555</v>
      </c>
      <c r="Y1426" s="78" t="s">
        <v>88</v>
      </c>
      <c r="AA1426" s="77" t="s">
        <v>2620</v>
      </c>
      <c r="AB1426" s="77" t="s">
        <v>1521</v>
      </c>
      <c r="AC1426" s="77" t="s">
        <v>90</v>
      </c>
      <c r="AD1426" s="77" t="s">
        <v>91</v>
      </c>
      <c r="AE1426" s="77" t="s">
        <v>2621</v>
      </c>
      <c r="AG1426" s="77" t="s">
        <v>1351</v>
      </c>
    </row>
    <row r="1427" spans="1:33" x14ac:dyDescent="0.3">
      <c r="A1427" s="77" t="s">
        <v>2660</v>
      </c>
      <c r="B1427" s="77" t="s">
        <v>2661</v>
      </c>
      <c r="G1427" s="77" t="s">
        <v>2618</v>
      </c>
      <c r="H1427" s="77" t="s">
        <v>77</v>
      </c>
      <c r="I1427" s="77" t="s">
        <v>1521</v>
      </c>
      <c r="J1427" s="77" t="s">
        <v>79</v>
      </c>
      <c r="K1427" s="77" t="s">
        <v>1522</v>
      </c>
      <c r="L1427" s="77" t="s">
        <v>2619</v>
      </c>
      <c r="M1427" s="77" t="s">
        <v>82</v>
      </c>
      <c r="N1427" s="77" t="s">
        <v>83</v>
      </c>
      <c r="Q1427" s="77" t="s">
        <v>188</v>
      </c>
      <c r="T1427" s="77" t="s">
        <v>1351</v>
      </c>
      <c r="U1427" s="77" t="s">
        <v>85</v>
      </c>
      <c r="V1427" s="80" t="s">
        <v>554</v>
      </c>
      <c r="X1427" s="77" t="s">
        <v>555</v>
      </c>
      <c r="Y1427" s="78" t="s">
        <v>88</v>
      </c>
      <c r="AA1427" s="77" t="s">
        <v>2620</v>
      </c>
      <c r="AB1427" s="77" t="s">
        <v>1521</v>
      </c>
      <c r="AC1427" s="77" t="s">
        <v>90</v>
      </c>
      <c r="AD1427" s="77" t="s">
        <v>91</v>
      </c>
      <c r="AE1427" s="77" t="s">
        <v>2621</v>
      </c>
      <c r="AG1427" s="77" t="s">
        <v>1351</v>
      </c>
    </row>
    <row r="1428" spans="1:33" x14ac:dyDescent="0.3">
      <c r="A1428" s="77" t="s">
        <v>2662</v>
      </c>
      <c r="B1428" s="77" t="s">
        <v>2663</v>
      </c>
      <c r="G1428" s="77" t="s">
        <v>2664</v>
      </c>
      <c r="H1428" s="77" t="s">
        <v>77</v>
      </c>
      <c r="I1428" s="77" t="s">
        <v>1521</v>
      </c>
      <c r="J1428" s="77" t="s">
        <v>79</v>
      </c>
      <c r="K1428" s="77" t="s">
        <v>1522</v>
      </c>
      <c r="L1428" s="77" t="s">
        <v>2665</v>
      </c>
      <c r="M1428" s="77" t="s">
        <v>82</v>
      </c>
      <c r="N1428" s="77" t="s">
        <v>83</v>
      </c>
      <c r="Q1428" s="77" t="s">
        <v>188</v>
      </c>
      <c r="T1428" s="77" t="s">
        <v>1551</v>
      </c>
      <c r="U1428" s="77" t="s">
        <v>85</v>
      </c>
      <c r="V1428" s="80" t="s">
        <v>952</v>
      </c>
      <c r="X1428" s="77" t="s">
        <v>953</v>
      </c>
      <c r="Y1428" s="78" t="s">
        <v>101</v>
      </c>
      <c r="AA1428" s="77" t="s">
        <v>2666</v>
      </c>
      <c r="AB1428" s="77" t="s">
        <v>1521</v>
      </c>
      <c r="AC1428" s="77" t="s">
        <v>90</v>
      </c>
      <c r="AD1428" s="77" t="s">
        <v>954</v>
      </c>
      <c r="AE1428" s="77" t="s">
        <v>2667</v>
      </c>
      <c r="AG1428" s="77" t="s">
        <v>1551</v>
      </c>
    </row>
    <row r="1429" spans="1:33" x14ac:dyDescent="0.3">
      <c r="A1429" s="77" t="s">
        <v>2668</v>
      </c>
      <c r="B1429" s="77" t="s">
        <v>2669</v>
      </c>
      <c r="G1429" s="77" t="s">
        <v>2664</v>
      </c>
      <c r="H1429" s="77" t="s">
        <v>77</v>
      </c>
      <c r="I1429" s="77" t="s">
        <v>1521</v>
      </c>
      <c r="J1429" s="77" t="s">
        <v>79</v>
      </c>
      <c r="K1429" s="77" t="s">
        <v>1522</v>
      </c>
      <c r="L1429" s="77" t="s">
        <v>2665</v>
      </c>
      <c r="M1429" s="77" t="s">
        <v>82</v>
      </c>
      <c r="N1429" s="77" t="s">
        <v>83</v>
      </c>
      <c r="Q1429" s="77" t="s">
        <v>188</v>
      </c>
      <c r="T1429" s="77" t="s">
        <v>1551</v>
      </c>
      <c r="U1429" s="77" t="s">
        <v>85</v>
      </c>
      <c r="V1429" s="80" t="s">
        <v>947</v>
      </c>
      <c r="X1429" s="77" t="s">
        <v>948</v>
      </c>
      <c r="Y1429" s="78" t="s">
        <v>88</v>
      </c>
      <c r="AA1429" s="77" t="s">
        <v>2666</v>
      </c>
      <c r="AB1429" s="77" t="s">
        <v>1521</v>
      </c>
      <c r="AC1429" s="77" t="s">
        <v>90</v>
      </c>
      <c r="AD1429" s="77" t="s">
        <v>91</v>
      </c>
      <c r="AE1429" s="77" t="s">
        <v>2667</v>
      </c>
      <c r="AG1429" s="77" t="s">
        <v>1551</v>
      </c>
    </row>
    <row r="1430" spans="1:33" x14ac:dyDescent="0.3">
      <c r="A1430" s="77" t="s">
        <v>2670</v>
      </c>
      <c r="B1430" s="77" t="s">
        <v>2671</v>
      </c>
      <c r="G1430" s="77" t="s">
        <v>2664</v>
      </c>
      <c r="H1430" s="77" t="s">
        <v>77</v>
      </c>
      <c r="I1430" s="77" t="s">
        <v>1521</v>
      </c>
      <c r="J1430" s="77" t="s">
        <v>79</v>
      </c>
      <c r="K1430" s="77" t="s">
        <v>1522</v>
      </c>
      <c r="L1430" s="77" t="s">
        <v>2672</v>
      </c>
      <c r="M1430" s="77" t="s">
        <v>82</v>
      </c>
      <c r="N1430" s="77" t="s">
        <v>83</v>
      </c>
      <c r="Q1430" s="77" t="s">
        <v>188</v>
      </c>
      <c r="T1430" s="77" t="s">
        <v>1551</v>
      </c>
      <c r="U1430" s="77" t="s">
        <v>85</v>
      </c>
      <c r="V1430" s="80" t="s">
        <v>947</v>
      </c>
      <c r="X1430" s="77" t="s">
        <v>948</v>
      </c>
      <c r="Y1430" s="78" t="s">
        <v>88</v>
      </c>
      <c r="AA1430" s="77" t="s">
        <v>2666</v>
      </c>
      <c r="AB1430" s="77" t="s">
        <v>1521</v>
      </c>
      <c r="AC1430" s="77" t="s">
        <v>90</v>
      </c>
      <c r="AD1430" s="77" t="s">
        <v>91</v>
      </c>
      <c r="AE1430" s="77" t="s">
        <v>2667</v>
      </c>
      <c r="AG1430" s="77" t="s">
        <v>1551</v>
      </c>
    </row>
    <row r="1431" spans="1:33" x14ac:dyDescent="0.3">
      <c r="A1431" s="77" t="s">
        <v>2673</v>
      </c>
      <c r="B1431" s="77" t="s">
        <v>2674</v>
      </c>
      <c r="G1431" s="77" t="s">
        <v>2675</v>
      </c>
      <c r="H1431" s="77" t="s">
        <v>77</v>
      </c>
      <c r="I1431" s="77" t="s">
        <v>1521</v>
      </c>
      <c r="J1431" s="77" t="s">
        <v>79</v>
      </c>
      <c r="K1431" s="77" t="s">
        <v>1522</v>
      </c>
      <c r="L1431" s="77" t="s">
        <v>2676</v>
      </c>
      <c r="M1431" s="77" t="s">
        <v>82</v>
      </c>
      <c r="N1431" s="77" t="s">
        <v>83</v>
      </c>
      <c r="Q1431" s="77" t="s">
        <v>188</v>
      </c>
      <c r="T1431" s="77" t="s">
        <v>2677</v>
      </c>
      <c r="U1431" s="77" t="s">
        <v>85</v>
      </c>
      <c r="V1431" s="80" t="s">
        <v>925</v>
      </c>
      <c r="X1431" s="77" t="s">
        <v>926</v>
      </c>
      <c r="Y1431" s="78" t="s">
        <v>101</v>
      </c>
      <c r="AA1431" s="77" t="s">
        <v>2678</v>
      </c>
      <c r="AB1431" s="77" t="s">
        <v>1521</v>
      </c>
      <c r="AC1431" s="77" t="s">
        <v>90</v>
      </c>
      <c r="AD1431" s="77" t="s">
        <v>274</v>
      </c>
      <c r="AE1431" s="77" t="s">
        <v>2679</v>
      </c>
      <c r="AG1431" s="77" t="s">
        <v>2677</v>
      </c>
    </row>
    <row r="1432" spans="1:33" x14ac:dyDescent="0.3">
      <c r="A1432" s="77" t="s">
        <v>2680</v>
      </c>
      <c r="B1432" s="77" t="s">
        <v>2681</v>
      </c>
      <c r="G1432" s="77" t="s">
        <v>2675</v>
      </c>
      <c r="H1432" s="77" t="s">
        <v>77</v>
      </c>
      <c r="I1432" s="77" t="s">
        <v>1521</v>
      </c>
      <c r="J1432" s="77" t="s">
        <v>79</v>
      </c>
      <c r="K1432" s="77" t="s">
        <v>1522</v>
      </c>
      <c r="L1432" s="77" t="s">
        <v>2676</v>
      </c>
      <c r="M1432" s="77" t="s">
        <v>82</v>
      </c>
      <c r="N1432" s="77" t="s">
        <v>83</v>
      </c>
      <c r="Q1432" s="77" t="s">
        <v>188</v>
      </c>
      <c r="T1432" s="77" t="s">
        <v>2677</v>
      </c>
      <c r="U1432" s="77" t="s">
        <v>85</v>
      </c>
      <c r="V1432" s="80" t="s">
        <v>930</v>
      </c>
      <c r="X1432" s="77" t="s">
        <v>931</v>
      </c>
      <c r="Y1432" s="78" t="s">
        <v>88</v>
      </c>
      <c r="AA1432" s="77" t="s">
        <v>2678</v>
      </c>
      <c r="AB1432" s="77" t="s">
        <v>1521</v>
      </c>
      <c r="AC1432" s="77" t="s">
        <v>90</v>
      </c>
      <c r="AD1432" s="77" t="s">
        <v>91</v>
      </c>
      <c r="AE1432" s="77" t="s">
        <v>2679</v>
      </c>
      <c r="AG1432" s="77" t="s">
        <v>2677</v>
      </c>
    </row>
    <row r="1433" spans="1:33" x14ac:dyDescent="0.3">
      <c r="A1433" s="77" t="s">
        <v>2682</v>
      </c>
      <c r="B1433" s="77" t="s">
        <v>2683</v>
      </c>
      <c r="G1433" s="77" t="s">
        <v>2675</v>
      </c>
      <c r="H1433" s="77" t="s">
        <v>77</v>
      </c>
      <c r="I1433" s="77" t="s">
        <v>1521</v>
      </c>
      <c r="J1433" s="77" t="s">
        <v>79</v>
      </c>
      <c r="K1433" s="77" t="s">
        <v>1522</v>
      </c>
      <c r="L1433" s="77" t="s">
        <v>2676</v>
      </c>
      <c r="M1433" s="77" t="s">
        <v>82</v>
      </c>
      <c r="N1433" s="77" t="s">
        <v>83</v>
      </c>
      <c r="Q1433" s="77" t="s">
        <v>188</v>
      </c>
      <c r="T1433" s="77" t="s">
        <v>1453</v>
      </c>
      <c r="U1433" s="77" t="s">
        <v>85</v>
      </c>
      <c r="V1433" s="80" t="s">
        <v>925</v>
      </c>
      <c r="X1433" s="77" t="s">
        <v>926</v>
      </c>
      <c r="Y1433" s="78" t="s">
        <v>101</v>
      </c>
      <c r="AA1433" s="77" t="s">
        <v>2678</v>
      </c>
      <c r="AB1433" s="77" t="s">
        <v>1521</v>
      </c>
      <c r="AC1433" s="77" t="s">
        <v>90</v>
      </c>
      <c r="AD1433" s="77" t="s">
        <v>274</v>
      </c>
      <c r="AE1433" s="77" t="s">
        <v>2679</v>
      </c>
      <c r="AG1433" s="77" t="s">
        <v>1453</v>
      </c>
    </row>
    <row r="1434" spans="1:33" x14ac:dyDescent="0.3">
      <c r="A1434" s="77" t="s">
        <v>2684</v>
      </c>
      <c r="B1434" s="77" t="s">
        <v>2685</v>
      </c>
      <c r="G1434" s="77" t="s">
        <v>2675</v>
      </c>
      <c r="H1434" s="77" t="s">
        <v>77</v>
      </c>
      <c r="I1434" s="77" t="s">
        <v>1521</v>
      </c>
      <c r="J1434" s="77" t="s">
        <v>79</v>
      </c>
      <c r="K1434" s="77" t="s">
        <v>1522</v>
      </c>
      <c r="L1434" s="77" t="s">
        <v>2676</v>
      </c>
      <c r="M1434" s="77" t="s">
        <v>82</v>
      </c>
      <c r="N1434" s="77" t="s">
        <v>83</v>
      </c>
      <c r="Q1434" s="77" t="s">
        <v>188</v>
      </c>
      <c r="T1434" s="77" t="s">
        <v>1453</v>
      </c>
      <c r="U1434" s="77" t="s">
        <v>85</v>
      </c>
      <c r="V1434" s="80" t="s">
        <v>930</v>
      </c>
      <c r="X1434" s="77" t="s">
        <v>931</v>
      </c>
      <c r="Y1434" s="78" t="s">
        <v>88</v>
      </c>
      <c r="AA1434" s="77" t="s">
        <v>2678</v>
      </c>
      <c r="AB1434" s="77" t="s">
        <v>1521</v>
      </c>
      <c r="AC1434" s="77" t="s">
        <v>90</v>
      </c>
      <c r="AD1434" s="77" t="s">
        <v>91</v>
      </c>
      <c r="AE1434" s="77" t="s">
        <v>2679</v>
      </c>
      <c r="AG1434" s="77" t="s">
        <v>1453</v>
      </c>
    </row>
    <row r="1435" spans="1:33" x14ac:dyDescent="0.3">
      <c r="A1435" s="77" t="s">
        <v>2686</v>
      </c>
      <c r="B1435" s="77" t="s">
        <v>2687</v>
      </c>
      <c r="G1435" s="77" t="s">
        <v>2675</v>
      </c>
      <c r="H1435" s="77" t="s">
        <v>77</v>
      </c>
      <c r="I1435" s="77" t="s">
        <v>1521</v>
      </c>
      <c r="J1435" s="77" t="s">
        <v>79</v>
      </c>
      <c r="K1435" s="77" t="s">
        <v>1522</v>
      </c>
      <c r="L1435" s="77" t="s">
        <v>2676</v>
      </c>
      <c r="M1435" s="77" t="s">
        <v>82</v>
      </c>
      <c r="N1435" s="77" t="s">
        <v>83</v>
      </c>
      <c r="Q1435" s="77" t="s">
        <v>188</v>
      </c>
      <c r="T1435" s="77" t="s">
        <v>1453</v>
      </c>
      <c r="U1435" s="77" t="s">
        <v>85</v>
      </c>
      <c r="V1435" s="80" t="s">
        <v>925</v>
      </c>
      <c r="X1435" s="77" t="s">
        <v>926</v>
      </c>
      <c r="Y1435" s="78" t="s">
        <v>101</v>
      </c>
      <c r="AA1435" s="77" t="s">
        <v>2678</v>
      </c>
      <c r="AB1435" s="77" t="s">
        <v>1521</v>
      </c>
      <c r="AC1435" s="77" t="s">
        <v>90</v>
      </c>
      <c r="AD1435" s="77" t="s">
        <v>274</v>
      </c>
      <c r="AE1435" s="77" t="s">
        <v>2679</v>
      </c>
      <c r="AG1435" s="77" t="s">
        <v>1453</v>
      </c>
    </row>
    <row r="1436" spans="1:33" x14ac:dyDescent="0.3">
      <c r="A1436" s="77" t="s">
        <v>2688</v>
      </c>
      <c r="B1436" s="77" t="s">
        <v>2689</v>
      </c>
      <c r="G1436" s="77" t="s">
        <v>2675</v>
      </c>
      <c r="H1436" s="77" t="s">
        <v>77</v>
      </c>
      <c r="I1436" s="77" t="s">
        <v>1521</v>
      </c>
      <c r="J1436" s="77" t="s">
        <v>79</v>
      </c>
      <c r="K1436" s="77" t="s">
        <v>1522</v>
      </c>
      <c r="L1436" s="77" t="s">
        <v>2676</v>
      </c>
      <c r="M1436" s="77" t="s">
        <v>82</v>
      </c>
      <c r="N1436" s="77" t="s">
        <v>83</v>
      </c>
      <c r="Q1436" s="77" t="s">
        <v>188</v>
      </c>
      <c r="T1436" s="77" t="s">
        <v>1453</v>
      </c>
      <c r="U1436" s="77" t="s">
        <v>85</v>
      </c>
      <c r="V1436" s="80" t="s">
        <v>930</v>
      </c>
      <c r="X1436" s="77" t="s">
        <v>931</v>
      </c>
      <c r="Y1436" s="78" t="s">
        <v>88</v>
      </c>
      <c r="AA1436" s="77" t="s">
        <v>2678</v>
      </c>
      <c r="AB1436" s="77" t="s">
        <v>1521</v>
      </c>
      <c r="AC1436" s="77" t="s">
        <v>90</v>
      </c>
      <c r="AD1436" s="77" t="s">
        <v>91</v>
      </c>
      <c r="AE1436" s="77" t="s">
        <v>2679</v>
      </c>
      <c r="AG1436" s="77" t="s">
        <v>1453</v>
      </c>
    </row>
    <row r="1437" spans="1:33" x14ac:dyDescent="0.3">
      <c r="A1437" s="77" t="s">
        <v>2690</v>
      </c>
      <c r="B1437" s="77" t="s">
        <v>2691</v>
      </c>
      <c r="G1437" s="77" t="s">
        <v>2675</v>
      </c>
      <c r="H1437" s="77" t="s">
        <v>77</v>
      </c>
      <c r="I1437" s="77" t="s">
        <v>1521</v>
      </c>
      <c r="J1437" s="77" t="s">
        <v>79</v>
      </c>
      <c r="K1437" s="77" t="s">
        <v>1522</v>
      </c>
      <c r="L1437" s="77" t="s">
        <v>2676</v>
      </c>
      <c r="M1437" s="77" t="s">
        <v>82</v>
      </c>
      <c r="N1437" s="77" t="s">
        <v>83</v>
      </c>
      <c r="Q1437" s="77" t="s">
        <v>188</v>
      </c>
      <c r="T1437" s="77" t="s">
        <v>2677</v>
      </c>
      <c r="U1437" s="77" t="s">
        <v>85</v>
      </c>
      <c r="V1437" s="80" t="s">
        <v>930</v>
      </c>
      <c r="X1437" s="77" t="s">
        <v>931</v>
      </c>
      <c r="Y1437" s="78" t="s">
        <v>88</v>
      </c>
      <c r="AA1437" s="77" t="s">
        <v>2678</v>
      </c>
      <c r="AB1437" s="77" t="s">
        <v>1521</v>
      </c>
      <c r="AC1437" s="77" t="s">
        <v>90</v>
      </c>
      <c r="AD1437" s="77" t="s">
        <v>91</v>
      </c>
      <c r="AE1437" s="77" t="s">
        <v>2679</v>
      </c>
      <c r="AG1437" s="77" t="s">
        <v>2677</v>
      </c>
    </row>
    <row r="1438" spans="1:33" x14ac:dyDescent="0.3">
      <c r="A1438" s="77" t="s">
        <v>2692</v>
      </c>
      <c r="B1438" s="77" t="s">
        <v>2693</v>
      </c>
      <c r="G1438" s="77" t="s">
        <v>2675</v>
      </c>
      <c r="H1438" s="77" t="s">
        <v>77</v>
      </c>
      <c r="I1438" s="77" t="s">
        <v>1521</v>
      </c>
      <c r="J1438" s="77" t="s">
        <v>79</v>
      </c>
      <c r="K1438" s="77" t="s">
        <v>1522</v>
      </c>
      <c r="L1438" s="77" t="s">
        <v>2676</v>
      </c>
      <c r="M1438" s="77" t="s">
        <v>82</v>
      </c>
      <c r="N1438" s="77" t="s">
        <v>83</v>
      </c>
      <c r="Q1438" s="77" t="s">
        <v>188</v>
      </c>
      <c r="T1438" s="77" t="s">
        <v>2677</v>
      </c>
      <c r="U1438" s="77" t="s">
        <v>85</v>
      </c>
      <c r="V1438" s="80" t="s">
        <v>925</v>
      </c>
      <c r="X1438" s="77" t="s">
        <v>926</v>
      </c>
      <c r="Y1438" s="78" t="s">
        <v>101</v>
      </c>
      <c r="AA1438" s="77" t="s">
        <v>2678</v>
      </c>
      <c r="AB1438" s="77" t="s">
        <v>1521</v>
      </c>
      <c r="AC1438" s="77" t="s">
        <v>90</v>
      </c>
      <c r="AD1438" s="77" t="s">
        <v>274</v>
      </c>
      <c r="AE1438" s="77" t="s">
        <v>2679</v>
      </c>
      <c r="AG1438" s="77" t="s">
        <v>2677</v>
      </c>
    </row>
    <row r="1439" spans="1:33" x14ac:dyDescent="0.3">
      <c r="A1439" s="77" t="s">
        <v>2694</v>
      </c>
      <c r="B1439" s="77" t="s">
        <v>1519</v>
      </c>
      <c r="G1439" s="77" t="s">
        <v>2695</v>
      </c>
      <c r="H1439" s="77" t="s">
        <v>77</v>
      </c>
      <c r="I1439" s="77" t="s">
        <v>1521</v>
      </c>
      <c r="J1439" s="77" t="s">
        <v>79</v>
      </c>
      <c r="K1439" s="77" t="s">
        <v>1522</v>
      </c>
      <c r="L1439" s="77" t="s">
        <v>1523</v>
      </c>
      <c r="M1439" s="77" t="s">
        <v>82</v>
      </c>
      <c r="N1439" s="77" t="s">
        <v>83</v>
      </c>
      <c r="Q1439" s="77" t="s">
        <v>188</v>
      </c>
      <c r="T1439" s="77" t="s">
        <v>1547</v>
      </c>
      <c r="U1439" s="77" t="s">
        <v>85</v>
      </c>
      <c r="V1439" s="80" t="s">
        <v>891</v>
      </c>
      <c r="X1439" s="77" t="s">
        <v>892</v>
      </c>
      <c r="Y1439" s="78" t="s">
        <v>88</v>
      </c>
      <c r="AA1439" s="77" t="s">
        <v>2696</v>
      </c>
      <c r="AB1439" s="77" t="s">
        <v>1521</v>
      </c>
      <c r="AC1439" s="77" t="s">
        <v>90</v>
      </c>
      <c r="AD1439" s="77" t="s">
        <v>91</v>
      </c>
      <c r="AE1439" s="77" t="s">
        <v>2697</v>
      </c>
      <c r="AG1439" s="77" t="s">
        <v>1547</v>
      </c>
    </row>
    <row r="1440" spans="1:33" hidden="1" x14ac:dyDescent="0.3">
      <c r="A1440" s="77" t="s">
        <v>2698</v>
      </c>
      <c r="B1440" s="77" t="s">
        <v>2699</v>
      </c>
      <c r="G1440" s="77" t="s">
        <v>2700</v>
      </c>
      <c r="H1440" s="77" t="s">
        <v>77</v>
      </c>
      <c r="I1440" s="77" t="s">
        <v>1521</v>
      </c>
      <c r="J1440" s="77" t="s">
        <v>79</v>
      </c>
      <c r="K1440" s="77" t="s">
        <v>1522</v>
      </c>
      <c r="L1440" s="77" t="s">
        <v>2701</v>
      </c>
      <c r="M1440" s="77" t="s">
        <v>82</v>
      </c>
      <c r="N1440" s="77" t="s">
        <v>83</v>
      </c>
      <c r="Q1440" s="77" t="s">
        <v>188</v>
      </c>
      <c r="T1440" s="77" t="s">
        <v>1666</v>
      </c>
      <c r="U1440" s="77" t="s">
        <v>85</v>
      </c>
      <c r="V1440" s="77" t="s">
        <v>2702</v>
      </c>
      <c r="W1440" s="79">
        <v>46185.330037037034</v>
      </c>
      <c r="X1440" s="77" t="s">
        <v>2703</v>
      </c>
      <c r="Y1440" s="78" t="s">
        <v>88</v>
      </c>
      <c r="AA1440" s="77" t="s">
        <v>2704</v>
      </c>
      <c r="AB1440" s="77" t="s">
        <v>1521</v>
      </c>
      <c r="AC1440" s="77" t="s">
        <v>114</v>
      </c>
      <c r="AD1440" s="77" t="s">
        <v>1258</v>
      </c>
      <c r="AE1440" s="77" t="s">
        <v>2705</v>
      </c>
      <c r="AF1440" s="77" t="s">
        <v>2706</v>
      </c>
    </row>
    <row r="1441" spans="1:32" hidden="1" x14ac:dyDescent="0.3">
      <c r="A1441" s="77" t="s">
        <v>2707</v>
      </c>
      <c r="B1441" s="77" t="s">
        <v>2708</v>
      </c>
      <c r="G1441" s="77" t="s">
        <v>2700</v>
      </c>
      <c r="H1441" s="77" t="s">
        <v>77</v>
      </c>
      <c r="I1441" s="77" t="s">
        <v>1521</v>
      </c>
      <c r="J1441" s="77" t="s">
        <v>79</v>
      </c>
      <c r="K1441" s="77" t="s">
        <v>1522</v>
      </c>
      <c r="L1441" s="77" t="s">
        <v>2701</v>
      </c>
      <c r="M1441" s="77" t="s">
        <v>82</v>
      </c>
      <c r="N1441" s="77" t="s">
        <v>83</v>
      </c>
      <c r="Q1441" s="77" t="s">
        <v>188</v>
      </c>
      <c r="T1441" s="77" t="s">
        <v>1666</v>
      </c>
      <c r="U1441" s="77" t="s">
        <v>85</v>
      </c>
      <c r="V1441" s="77" t="s">
        <v>2702</v>
      </c>
      <c r="W1441" s="79">
        <v>46185.330452395836</v>
      </c>
      <c r="X1441" s="77" t="s">
        <v>2703</v>
      </c>
      <c r="Y1441" s="78" t="s">
        <v>88</v>
      </c>
      <c r="AA1441" s="77" t="s">
        <v>2704</v>
      </c>
      <c r="AB1441" s="77" t="s">
        <v>1521</v>
      </c>
      <c r="AC1441" s="77" t="s">
        <v>114</v>
      </c>
      <c r="AD1441" s="77" t="s">
        <v>1258</v>
      </c>
      <c r="AE1441" s="77" t="s">
        <v>2705</v>
      </c>
      <c r="AF1441" s="77" t="s">
        <v>2706</v>
      </c>
    </row>
    <row r="1442" spans="1:32" hidden="1" x14ac:dyDescent="0.3">
      <c r="A1442" s="77" t="s">
        <v>2709</v>
      </c>
      <c r="B1442" s="77" t="s">
        <v>2710</v>
      </c>
      <c r="G1442" s="77" t="s">
        <v>2700</v>
      </c>
      <c r="H1442" s="77" t="s">
        <v>77</v>
      </c>
      <c r="I1442" s="77" t="s">
        <v>1521</v>
      </c>
      <c r="J1442" s="77" t="s">
        <v>79</v>
      </c>
      <c r="K1442" s="77" t="s">
        <v>1522</v>
      </c>
      <c r="L1442" s="77" t="s">
        <v>2701</v>
      </c>
      <c r="M1442" s="77" t="s">
        <v>82</v>
      </c>
      <c r="N1442" s="77" t="s">
        <v>83</v>
      </c>
      <c r="Q1442" s="77" t="s">
        <v>188</v>
      </c>
      <c r="T1442" s="77" t="s">
        <v>1666</v>
      </c>
      <c r="U1442" s="77" t="s">
        <v>85</v>
      </c>
      <c r="V1442" s="77" t="s">
        <v>2702</v>
      </c>
      <c r="W1442" s="79">
        <v>46185.331291006944</v>
      </c>
      <c r="X1442" s="77" t="s">
        <v>2703</v>
      </c>
      <c r="Y1442" s="78" t="s">
        <v>88</v>
      </c>
      <c r="AA1442" s="77" t="s">
        <v>2704</v>
      </c>
      <c r="AB1442" s="77" t="s">
        <v>1521</v>
      </c>
      <c r="AC1442" s="77" t="s">
        <v>114</v>
      </c>
      <c r="AD1442" s="77" t="s">
        <v>1258</v>
      </c>
      <c r="AE1442" s="77" t="s">
        <v>2705</v>
      </c>
      <c r="AF1442" s="77" t="s">
        <v>2706</v>
      </c>
    </row>
    <row r="1443" spans="1:32" hidden="1" x14ac:dyDescent="0.3">
      <c r="A1443" s="77" t="s">
        <v>2711</v>
      </c>
      <c r="B1443" s="77" t="s">
        <v>2712</v>
      </c>
      <c r="G1443" s="77" t="s">
        <v>2700</v>
      </c>
      <c r="H1443" s="77" t="s">
        <v>77</v>
      </c>
      <c r="I1443" s="77" t="s">
        <v>1521</v>
      </c>
      <c r="J1443" s="77" t="s">
        <v>79</v>
      </c>
      <c r="K1443" s="77" t="s">
        <v>1522</v>
      </c>
      <c r="L1443" s="77" t="s">
        <v>2701</v>
      </c>
      <c r="M1443" s="77" t="s">
        <v>82</v>
      </c>
      <c r="N1443" s="77" t="s">
        <v>83</v>
      </c>
      <c r="Q1443" s="77" t="s">
        <v>188</v>
      </c>
      <c r="T1443" s="77" t="s">
        <v>1666</v>
      </c>
      <c r="U1443" s="77" t="s">
        <v>85</v>
      </c>
      <c r="V1443" s="77" t="s">
        <v>2702</v>
      </c>
      <c r="W1443" s="79">
        <v>46185.331662881945</v>
      </c>
      <c r="X1443" s="77" t="s">
        <v>2703</v>
      </c>
      <c r="Y1443" s="78" t="s">
        <v>88</v>
      </c>
      <c r="AA1443" s="77" t="s">
        <v>2704</v>
      </c>
      <c r="AB1443" s="77" t="s">
        <v>1521</v>
      </c>
      <c r="AC1443" s="77" t="s">
        <v>114</v>
      </c>
      <c r="AD1443" s="77" t="s">
        <v>1258</v>
      </c>
      <c r="AE1443" s="77" t="s">
        <v>2705</v>
      </c>
      <c r="AF1443" s="77" t="s">
        <v>2706</v>
      </c>
    </row>
    <row r="1444" spans="1:32" hidden="1" x14ac:dyDescent="0.3">
      <c r="A1444" s="77" t="s">
        <v>2713</v>
      </c>
      <c r="B1444" s="77" t="s">
        <v>2714</v>
      </c>
      <c r="G1444" s="77" t="s">
        <v>2700</v>
      </c>
      <c r="H1444" s="77" t="s">
        <v>77</v>
      </c>
      <c r="I1444" s="77" t="s">
        <v>1521</v>
      </c>
      <c r="J1444" s="77" t="s">
        <v>79</v>
      </c>
      <c r="K1444" s="77" t="s">
        <v>1522</v>
      </c>
      <c r="L1444" s="77" t="s">
        <v>2701</v>
      </c>
      <c r="M1444" s="77" t="s">
        <v>82</v>
      </c>
      <c r="N1444" s="77" t="s">
        <v>83</v>
      </c>
      <c r="Q1444" s="77" t="s">
        <v>188</v>
      </c>
      <c r="T1444" s="77" t="s">
        <v>1666</v>
      </c>
      <c r="U1444" s="77" t="s">
        <v>85</v>
      </c>
      <c r="V1444" s="77" t="s">
        <v>2702</v>
      </c>
      <c r="W1444" s="79">
        <v>46192.207471099537</v>
      </c>
      <c r="X1444" s="77" t="s">
        <v>2703</v>
      </c>
      <c r="Y1444" s="78" t="s">
        <v>88</v>
      </c>
      <c r="AA1444" s="77" t="s">
        <v>2704</v>
      </c>
      <c r="AB1444" s="77" t="s">
        <v>1521</v>
      </c>
      <c r="AC1444" s="77" t="s">
        <v>114</v>
      </c>
      <c r="AD1444" s="77" t="s">
        <v>1258</v>
      </c>
      <c r="AE1444" s="77" t="s">
        <v>2705</v>
      </c>
      <c r="AF1444" s="77" t="s">
        <v>2706</v>
      </c>
    </row>
    <row r="1445" spans="1:32" hidden="1" x14ac:dyDescent="0.3">
      <c r="A1445" s="77" t="s">
        <v>2715</v>
      </c>
      <c r="B1445" s="77" t="s">
        <v>2716</v>
      </c>
      <c r="G1445" s="77" t="s">
        <v>2700</v>
      </c>
      <c r="H1445" s="77" t="s">
        <v>77</v>
      </c>
      <c r="I1445" s="77" t="s">
        <v>1521</v>
      </c>
      <c r="J1445" s="77" t="s">
        <v>79</v>
      </c>
      <c r="K1445" s="77" t="s">
        <v>1522</v>
      </c>
      <c r="L1445" s="77" t="s">
        <v>2701</v>
      </c>
      <c r="M1445" s="77" t="s">
        <v>82</v>
      </c>
      <c r="N1445" s="77" t="s">
        <v>83</v>
      </c>
      <c r="Q1445" s="77" t="s">
        <v>188</v>
      </c>
      <c r="S1445" s="77" t="s">
        <v>188</v>
      </c>
      <c r="T1445" s="77" t="s">
        <v>1666</v>
      </c>
      <c r="U1445" s="77" t="s">
        <v>85</v>
      </c>
      <c r="V1445" s="77" t="s">
        <v>2702</v>
      </c>
      <c r="W1445" s="79">
        <v>46192.210094409726</v>
      </c>
      <c r="X1445" s="77" t="s">
        <v>2703</v>
      </c>
      <c r="Y1445" s="78" t="s">
        <v>88</v>
      </c>
      <c r="AA1445" s="77" t="s">
        <v>2704</v>
      </c>
      <c r="AB1445" s="77" t="s">
        <v>1521</v>
      </c>
      <c r="AC1445" s="77" t="s">
        <v>114</v>
      </c>
      <c r="AD1445" s="77" t="s">
        <v>1258</v>
      </c>
      <c r="AE1445" s="77" t="s">
        <v>2705</v>
      </c>
      <c r="AF1445" s="77" t="s">
        <v>2706</v>
      </c>
    </row>
    <row r="1446" spans="1:32" hidden="1" x14ac:dyDescent="0.3">
      <c r="A1446" s="77" t="s">
        <v>2717</v>
      </c>
      <c r="B1446" s="77" t="s">
        <v>2718</v>
      </c>
      <c r="G1446" s="77" t="s">
        <v>2700</v>
      </c>
      <c r="H1446" s="77" t="s">
        <v>77</v>
      </c>
      <c r="I1446" s="77" t="s">
        <v>1521</v>
      </c>
      <c r="J1446" s="77" t="s">
        <v>79</v>
      </c>
      <c r="K1446" s="77" t="s">
        <v>1522</v>
      </c>
      <c r="L1446" s="77" t="s">
        <v>2701</v>
      </c>
      <c r="M1446" s="77" t="s">
        <v>82</v>
      </c>
      <c r="N1446" s="77" t="s">
        <v>83</v>
      </c>
      <c r="Q1446" s="77" t="s">
        <v>188</v>
      </c>
      <c r="T1446" s="77" t="s">
        <v>1666</v>
      </c>
      <c r="U1446" s="77" t="s">
        <v>85</v>
      </c>
      <c r="V1446" s="77" t="s">
        <v>2702</v>
      </c>
      <c r="W1446" s="79">
        <v>46185.333673460649</v>
      </c>
      <c r="X1446" s="77" t="s">
        <v>2703</v>
      </c>
      <c r="Y1446" s="78" t="s">
        <v>88</v>
      </c>
      <c r="AA1446" s="77" t="s">
        <v>2704</v>
      </c>
      <c r="AB1446" s="77" t="s">
        <v>1521</v>
      </c>
      <c r="AC1446" s="77" t="s">
        <v>114</v>
      </c>
      <c r="AD1446" s="77" t="s">
        <v>1258</v>
      </c>
      <c r="AE1446" s="77" t="s">
        <v>2705</v>
      </c>
      <c r="AF1446" s="77" t="s">
        <v>2706</v>
      </c>
    </row>
    <row r="1447" spans="1:32" hidden="1" x14ac:dyDescent="0.3">
      <c r="A1447" s="77" t="s">
        <v>2719</v>
      </c>
      <c r="B1447" s="77" t="s">
        <v>2720</v>
      </c>
      <c r="G1447" s="77" t="s">
        <v>2700</v>
      </c>
      <c r="H1447" s="77" t="s">
        <v>77</v>
      </c>
      <c r="I1447" s="77" t="s">
        <v>1521</v>
      </c>
      <c r="J1447" s="77" t="s">
        <v>79</v>
      </c>
      <c r="K1447" s="77" t="s">
        <v>1522</v>
      </c>
      <c r="L1447" s="77" t="s">
        <v>2701</v>
      </c>
      <c r="M1447" s="77" t="s">
        <v>82</v>
      </c>
      <c r="N1447" s="77" t="s">
        <v>83</v>
      </c>
      <c r="Q1447" s="77" t="s">
        <v>188</v>
      </c>
      <c r="T1447" s="77" t="s">
        <v>1666</v>
      </c>
      <c r="U1447" s="77" t="s">
        <v>85</v>
      </c>
      <c r="V1447" s="77" t="s">
        <v>2702</v>
      </c>
      <c r="W1447" s="79">
        <v>46192.211218252312</v>
      </c>
      <c r="X1447" s="77" t="s">
        <v>2703</v>
      </c>
      <c r="Y1447" s="78" t="s">
        <v>88</v>
      </c>
      <c r="AA1447" s="77" t="s">
        <v>2704</v>
      </c>
      <c r="AB1447" s="77" t="s">
        <v>1521</v>
      </c>
      <c r="AC1447" s="77" t="s">
        <v>114</v>
      </c>
      <c r="AD1447" s="77" t="s">
        <v>1258</v>
      </c>
      <c r="AE1447" s="77" t="s">
        <v>2705</v>
      </c>
      <c r="AF1447" s="77" t="s">
        <v>2706</v>
      </c>
    </row>
    <row r="1448" spans="1:32" hidden="1" x14ac:dyDescent="0.3">
      <c r="A1448" s="77" t="s">
        <v>2721</v>
      </c>
      <c r="B1448" s="77" t="s">
        <v>2722</v>
      </c>
      <c r="G1448" s="77" t="s">
        <v>2700</v>
      </c>
      <c r="H1448" s="77" t="s">
        <v>77</v>
      </c>
      <c r="I1448" s="77" t="s">
        <v>1521</v>
      </c>
      <c r="J1448" s="77" t="s">
        <v>79</v>
      </c>
      <c r="K1448" s="77" t="s">
        <v>1522</v>
      </c>
      <c r="L1448" s="77" t="s">
        <v>2701</v>
      </c>
      <c r="M1448" s="77" t="s">
        <v>82</v>
      </c>
      <c r="N1448" s="77" t="s">
        <v>83</v>
      </c>
      <c r="Q1448" s="77" t="s">
        <v>188</v>
      </c>
      <c r="T1448" s="77" t="s">
        <v>1666</v>
      </c>
      <c r="U1448" s="77" t="s">
        <v>85</v>
      </c>
      <c r="V1448" s="77" t="s">
        <v>2702</v>
      </c>
      <c r="W1448" s="79">
        <v>46185.334042939816</v>
      </c>
      <c r="X1448" s="77" t="s">
        <v>2703</v>
      </c>
      <c r="Y1448" s="78" t="s">
        <v>88</v>
      </c>
      <c r="AA1448" s="77" t="s">
        <v>2704</v>
      </c>
      <c r="AB1448" s="77" t="s">
        <v>1521</v>
      </c>
      <c r="AC1448" s="77" t="s">
        <v>114</v>
      </c>
      <c r="AD1448" s="77" t="s">
        <v>1258</v>
      </c>
      <c r="AE1448" s="77" t="s">
        <v>2705</v>
      </c>
      <c r="AF1448" s="77" t="s">
        <v>2706</v>
      </c>
    </row>
    <row r="1449" spans="1:32" hidden="1" x14ac:dyDescent="0.3">
      <c r="A1449" s="77" t="s">
        <v>2723</v>
      </c>
      <c r="B1449" s="77" t="s">
        <v>2724</v>
      </c>
      <c r="G1449" s="77" t="s">
        <v>2700</v>
      </c>
      <c r="H1449" s="77" t="s">
        <v>77</v>
      </c>
      <c r="I1449" s="77" t="s">
        <v>1521</v>
      </c>
      <c r="J1449" s="77" t="s">
        <v>79</v>
      </c>
      <c r="K1449" s="77" t="s">
        <v>1522</v>
      </c>
      <c r="L1449" s="77" t="s">
        <v>2701</v>
      </c>
      <c r="M1449" s="77" t="s">
        <v>82</v>
      </c>
      <c r="N1449" s="77" t="s">
        <v>83</v>
      </c>
      <c r="Q1449" s="77" t="s">
        <v>188</v>
      </c>
      <c r="T1449" s="77" t="s">
        <v>1666</v>
      </c>
      <c r="U1449" s="77" t="s">
        <v>85</v>
      </c>
      <c r="V1449" s="77" t="s">
        <v>2702</v>
      </c>
      <c r="W1449" s="79">
        <v>46185.33432577546</v>
      </c>
      <c r="X1449" s="77" t="s">
        <v>2703</v>
      </c>
      <c r="Y1449" s="78" t="s">
        <v>88</v>
      </c>
      <c r="AA1449" s="77" t="s">
        <v>2704</v>
      </c>
      <c r="AB1449" s="77" t="s">
        <v>1521</v>
      </c>
      <c r="AC1449" s="77" t="s">
        <v>114</v>
      </c>
      <c r="AD1449" s="77" t="s">
        <v>1258</v>
      </c>
      <c r="AE1449" s="77" t="s">
        <v>2705</v>
      </c>
      <c r="AF1449" s="77" t="s">
        <v>2706</v>
      </c>
    </row>
    <row r="1450" spans="1:32" hidden="1" x14ac:dyDescent="0.3">
      <c r="A1450" s="77" t="s">
        <v>2725</v>
      </c>
      <c r="B1450" s="77" t="s">
        <v>2726</v>
      </c>
      <c r="G1450" s="77" t="s">
        <v>2700</v>
      </c>
      <c r="H1450" s="77" t="s">
        <v>77</v>
      </c>
      <c r="I1450" s="77" t="s">
        <v>1521</v>
      </c>
      <c r="J1450" s="77" t="s">
        <v>79</v>
      </c>
      <c r="K1450" s="77" t="s">
        <v>1522</v>
      </c>
      <c r="L1450" s="77" t="s">
        <v>2701</v>
      </c>
      <c r="M1450" s="77" t="s">
        <v>82</v>
      </c>
      <c r="N1450" s="77" t="s">
        <v>83</v>
      </c>
      <c r="Q1450" s="77" t="s">
        <v>188</v>
      </c>
      <c r="T1450" s="77" t="s">
        <v>1666</v>
      </c>
      <c r="U1450" s="77" t="s">
        <v>85</v>
      </c>
      <c r="V1450" s="77" t="s">
        <v>2702</v>
      </c>
      <c r="W1450" s="79">
        <v>46185.334653935184</v>
      </c>
      <c r="X1450" s="77" t="s">
        <v>2703</v>
      </c>
      <c r="Y1450" s="78" t="s">
        <v>88</v>
      </c>
      <c r="AA1450" s="77" t="s">
        <v>2704</v>
      </c>
      <c r="AB1450" s="77" t="s">
        <v>1521</v>
      </c>
      <c r="AC1450" s="77" t="s">
        <v>114</v>
      </c>
      <c r="AD1450" s="77" t="s">
        <v>1258</v>
      </c>
      <c r="AE1450" s="77" t="s">
        <v>2705</v>
      </c>
      <c r="AF1450" s="77" t="s">
        <v>2706</v>
      </c>
    </row>
    <row r="1451" spans="1:32" hidden="1" x14ac:dyDescent="0.3">
      <c r="A1451" s="77" t="s">
        <v>2727</v>
      </c>
      <c r="B1451" s="77" t="s">
        <v>2728</v>
      </c>
      <c r="G1451" s="77" t="s">
        <v>2700</v>
      </c>
      <c r="H1451" s="77" t="s">
        <v>77</v>
      </c>
      <c r="I1451" s="77" t="s">
        <v>1521</v>
      </c>
      <c r="J1451" s="77" t="s">
        <v>79</v>
      </c>
      <c r="K1451" s="77" t="s">
        <v>1522</v>
      </c>
      <c r="L1451" s="77" t="s">
        <v>2701</v>
      </c>
      <c r="M1451" s="77" t="s">
        <v>82</v>
      </c>
      <c r="N1451" s="77" t="s">
        <v>83</v>
      </c>
      <c r="Q1451" s="77" t="s">
        <v>188</v>
      </c>
      <c r="T1451" s="77" t="s">
        <v>1666</v>
      </c>
      <c r="U1451" s="77" t="s">
        <v>85</v>
      </c>
      <c r="V1451" s="77" t="s">
        <v>2702</v>
      </c>
      <c r="W1451" s="79">
        <v>46177.734911805557</v>
      </c>
      <c r="X1451" s="77" t="s">
        <v>2703</v>
      </c>
      <c r="Y1451" s="78" t="s">
        <v>88</v>
      </c>
      <c r="AA1451" s="77" t="s">
        <v>2704</v>
      </c>
      <c r="AB1451" s="77" t="s">
        <v>1521</v>
      </c>
      <c r="AC1451" s="77" t="s">
        <v>114</v>
      </c>
      <c r="AD1451" s="77" t="s">
        <v>1258</v>
      </c>
      <c r="AE1451" s="77" t="s">
        <v>2705</v>
      </c>
      <c r="AF1451" s="77" t="s">
        <v>2706</v>
      </c>
    </row>
    <row r="1452" spans="1:32" hidden="1" x14ac:dyDescent="0.3">
      <c r="A1452" s="77" t="s">
        <v>2729</v>
      </c>
      <c r="B1452" s="77" t="s">
        <v>2730</v>
      </c>
      <c r="G1452" s="77" t="s">
        <v>2700</v>
      </c>
      <c r="H1452" s="77" t="s">
        <v>77</v>
      </c>
      <c r="I1452" s="77" t="s">
        <v>1521</v>
      </c>
      <c r="J1452" s="77" t="s">
        <v>79</v>
      </c>
      <c r="K1452" s="77" t="s">
        <v>1522</v>
      </c>
      <c r="L1452" s="77" t="s">
        <v>2701</v>
      </c>
      <c r="M1452" s="77" t="s">
        <v>82</v>
      </c>
      <c r="N1452" s="77" t="s">
        <v>83</v>
      </c>
      <c r="Q1452" s="77" t="s">
        <v>188</v>
      </c>
      <c r="T1452" s="77" t="s">
        <v>1666</v>
      </c>
      <c r="U1452" s="77" t="s">
        <v>85</v>
      </c>
      <c r="V1452" s="77" t="s">
        <v>2702</v>
      </c>
      <c r="W1452" s="79">
        <v>46174.552553622685</v>
      </c>
      <c r="X1452" s="77" t="s">
        <v>2703</v>
      </c>
      <c r="Y1452" s="78" t="s">
        <v>88</v>
      </c>
      <c r="AA1452" s="77" t="s">
        <v>2704</v>
      </c>
      <c r="AB1452" s="77" t="s">
        <v>1521</v>
      </c>
      <c r="AC1452" s="77" t="s">
        <v>114</v>
      </c>
      <c r="AD1452" s="77" t="s">
        <v>1258</v>
      </c>
      <c r="AE1452" s="77" t="s">
        <v>2705</v>
      </c>
      <c r="AF1452" s="77" t="s">
        <v>2706</v>
      </c>
    </row>
    <row r="1453" spans="1:32" hidden="1" x14ac:dyDescent="0.3">
      <c r="A1453" s="77" t="s">
        <v>2731</v>
      </c>
      <c r="B1453" s="77" t="s">
        <v>2732</v>
      </c>
      <c r="G1453" s="77" t="s">
        <v>2700</v>
      </c>
      <c r="H1453" s="77" t="s">
        <v>77</v>
      </c>
      <c r="I1453" s="77" t="s">
        <v>1521</v>
      </c>
      <c r="J1453" s="77" t="s">
        <v>79</v>
      </c>
      <c r="K1453" s="77" t="s">
        <v>1522</v>
      </c>
      <c r="L1453" s="77" t="s">
        <v>2701</v>
      </c>
      <c r="M1453" s="77" t="s">
        <v>82</v>
      </c>
      <c r="N1453" s="77" t="s">
        <v>83</v>
      </c>
      <c r="Q1453" s="77" t="s">
        <v>188</v>
      </c>
      <c r="T1453" s="77" t="s">
        <v>1666</v>
      </c>
      <c r="U1453" s="77" t="s">
        <v>85</v>
      </c>
      <c r="V1453" s="77" t="s">
        <v>2702</v>
      </c>
      <c r="W1453" s="79">
        <v>46177.73651234954</v>
      </c>
      <c r="X1453" s="77" t="s">
        <v>2703</v>
      </c>
      <c r="Y1453" s="78" t="s">
        <v>88</v>
      </c>
      <c r="AA1453" s="77" t="s">
        <v>2704</v>
      </c>
      <c r="AB1453" s="77" t="s">
        <v>1521</v>
      </c>
      <c r="AC1453" s="77" t="s">
        <v>114</v>
      </c>
      <c r="AD1453" s="77" t="s">
        <v>1258</v>
      </c>
      <c r="AE1453" s="77" t="s">
        <v>2705</v>
      </c>
      <c r="AF1453" s="77" t="s">
        <v>2706</v>
      </c>
    </row>
    <row r="1454" spans="1:32" hidden="1" x14ac:dyDescent="0.3">
      <c r="A1454" s="77" t="s">
        <v>2733</v>
      </c>
      <c r="B1454" s="77" t="s">
        <v>2734</v>
      </c>
      <c r="G1454" s="77" t="s">
        <v>2700</v>
      </c>
      <c r="H1454" s="77" t="s">
        <v>77</v>
      </c>
      <c r="I1454" s="77" t="s">
        <v>1521</v>
      </c>
      <c r="J1454" s="77" t="s">
        <v>79</v>
      </c>
      <c r="K1454" s="77" t="s">
        <v>1522</v>
      </c>
      <c r="L1454" s="77" t="s">
        <v>2701</v>
      </c>
      <c r="M1454" s="77" t="s">
        <v>82</v>
      </c>
      <c r="N1454" s="77" t="s">
        <v>83</v>
      </c>
      <c r="Q1454" s="77" t="s">
        <v>188</v>
      </c>
      <c r="T1454" s="77" t="s">
        <v>1666</v>
      </c>
      <c r="U1454" s="77" t="s">
        <v>85</v>
      </c>
      <c r="V1454" s="77" t="s">
        <v>2702</v>
      </c>
      <c r="W1454" s="79">
        <v>46177.73692797454</v>
      </c>
      <c r="X1454" s="77" t="s">
        <v>2703</v>
      </c>
      <c r="Y1454" s="78" t="s">
        <v>88</v>
      </c>
      <c r="AA1454" s="77" t="s">
        <v>2704</v>
      </c>
      <c r="AB1454" s="77" t="s">
        <v>1521</v>
      </c>
      <c r="AC1454" s="77" t="s">
        <v>114</v>
      </c>
      <c r="AD1454" s="77" t="s">
        <v>1258</v>
      </c>
      <c r="AE1454" s="77" t="s">
        <v>2705</v>
      </c>
      <c r="AF1454" s="77" t="s">
        <v>2706</v>
      </c>
    </row>
    <row r="1455" spans="1:32" hidden="1" x14ac:dyDescent="0.3">
      <c r="A1455" s="77" t="s">
        <v>2735</v>
      </c>
      <c r="B1455" s="77" t="s">
        <v>2736</v>
      </c>
      <c r="G1455" s="77" t="s">
        <v>2700</v>
      </c>
      <c r="H1455" s="77" t="s">
        <v>77</v>
      </c>
      <c r="I1455" s="77" t="s">
        <v>1521</v>
      </c>
      <c r="J1455" s="77" t="s">
        <v>79</v>
      </c>
      <c r="K1455" s="77" t="s">
        <v>1522</v>
      </c>
      <c r="L1455" s="77" t="s">
        <v>2701</v>
      </c>
      <c r="M1455" s="77" t="s">
        <v>82</v>
      </c>
      <c r="N1455" s="77" t="s">
        <v>83</v>
      </c>
      <c r="Q1455" s="77" t="s">
        <v>188</v>
      </c>
      <c r="T1455" s="77" t="s">
        <v>1666</v>
      </c>
      <c r="U1455" s="77" t="s">
        <v>85</v>
      </c>
      <c r="V1455" s="77" t="s">
        <v>2702</v>
      </c>
      <c r="W1455" s="79">
        <v>46177.737410879628</v>
      </c>
      <c r="X1455" s="77" t="s">
        <v>2703</v>
      </c>
      <c r="Y1455" s="78" t="s">
        <v>88</v>
      </c>
      <c r="AA1455" s="77" t="s">
        <v>2704</v>
      </c>
      <c r="AB1455" s="77" t="s">
        <v>1521</v>
      </c>
      <c r="AC1455" s="77" t="s">
        <v>114</v>
      </c>
      <c r="AD1455" s="77" t="s">
        <v>1258</v>
      </c>
      <c r="AE1455" s="77" t="s">
        <v>2705</v>
      </c>
      <c r="AF1455" s="77" t="s">
        <v>2706</v>
      </c>
    </row>
    <row r="1456" spans="1:32" hidden="1" x14ac:dyDescent="0.3">
      <c r="A1456" s="77" t="s">
        <v>2737</v>
      </c>
      <c r="B1456" s="77" t="s">
        <v>2738</v>
      </c>
      <c r="G1456" s="77" t="s">
        <v>2700</v>
      </c>
      <c r="H1456" s="77" t="s">
        <v>77</v>
      </c>
      <c r="I1456" s="77" t="s">
        <v>1521</v>
      </c>
      <c r="J1456" s="77" t="s">
        <v>79</v>
      </c>
      <c r="K1456" s="77" t="s">
        <v>1522</v>
      </c>
      <c r="L1456" s="77" t="s">
        <v>2701</v>
      </c>
      <c r="M1456" s="77" t="s">
        <v>82</v>
      </c>
      <c r="N1456" s="77" t="s">
        <v>83</v>
      </c>
      <c r="Q1456" s="77" t="s">
        <v>188</v>
      </c>
      <c r="T1456" s="77" t="s">
        <v>1666</v>
      </c>
      <c r="U1456" s="77" t="s">
        <v>85</v>
      </c>
      <c r="V1456" s="77" t="s">
        <v>2702</v>
      </c>
      <c r="W1456" s="79">
        <v>46174.553034143515</v>
      </c>
      <c r="X1456" s="77" t="s">
        <v>2703</v>
      </c>
      <c r="Y1456" s="78" t="s">
        <v>88</v>
      </c>
      <c r="AA1456" s="77" t="s">
        <v>2704</v>
      </c>
      <c r="AB1456" s="77" t="s">
        <v>1521</v>
      </c>
      <c r="AC1456" s="77" t="s">
        <v>114</v>
      </c>
      <c r="AD1456" s="77" t="s">
        <v>1258</v>
      </c>
      <c r="AE1456" s="77" t="s">
        <v>2705</v>
      </c>
      <c r="AF1456" s="77" t="s">
        <v>2706</v>
      </c>
    </row>
    <row r="1457" spans="1:32" hidden="1" x14ac:dyDescent="0.3">
      <c r="A1457" s="77" t="s">
        <v>2739</v>
      </c>
      <c r="B1457" s="77" t="s">
        <v>2740</v>
      </c>
      <c r="G1457" s="77" t="s">
        <v>2700</v>
      </c>
      <c r="H1457" s="77" t="s">
        <v>77</v>
      </c>
      <c r="I1457" s="77" t="s">
        <v>1521</v>
      </c>
      <c r="J1457" s="77" t="s">
        <v>79</v>
      </c>
      <c r="K1457" s="77" t="s">
        <v>1522</v>
      </c>
      <c r="L1457" s="77" t="s">
        <v>2701</v>
      </c>
      <c r="M1457" s="77" t="s">
        <v>82</v>
      </c>
      <c r="N1457" s="77" t="s">
        <v>83</v>
      </c>
      <c r="Q1457" s="77" t="s">
        <v>188</v>
      </c>
      <c r="T1457" s="77" t="s">
        <v>1666</v>
      </c>
      <c r="U1457" s="77" t="s">
        <v>85</v>
      </c>
      <c r="V1457" s="77" t="s">
        <v>2702</v>
      </c>
      <c r="W1457" s="79">
        <v>46174.553749687497</v>
      </c>
      <c r="X1457" s="77" t="s">
        <v>2703</v>
      </c>
      <c r="Y1457" s="78" t="s">
        <v>88</v>
      </c>
      <c r="AA1457" s="77" t="s">
        <v>2704</v>
      </c>
      <c r="AB1457" s="77" t="s">
        <v>1521</v>
      </c>
      <c r="AC1457" s="77" t="s">
        <v>114</v>
      </c>
      <c r="AD1457" s="77" t="s">
        <v>1258</v>
      </c>
      <c r="AE1457" s="77" t="s">
        <v>2705</v>
      </c>
      <c r="AF1457" s="77" t="s">
        <v>2706</v>
      </c>
    </row>
    <row r="1458" spans="1:32" hidden="1" x14ac:dyDescent="0.3">
      <c r="A1458" s="77" t="s">
        <v>2741</v>
      </c>
      <c r="B1458" s="77" t="s">
        <v>2742</v>
      </c>
      <c r="G1458" s="77" t="s">
        <v>2700</v>
      </c>
      <c r="H1458" s="77" t="s">
        <v>77</v>
      </c>
      <c r="I1458" s="77" t="s">
        <v>1521</v>
      </c>
      <c r="J1458" s="77" t="s">
        <v>79</v>
      </c>
      <c r="K1458" s="77" t="s">
        <v>1522</v>
      </c>
      <c r="L1458" s="77" t="s">
        <v>2701</v>
      </c>
      <c r="M1458" s="77" t="s">
        <v>82</v>
      </c>
      <c r="N1458" s="77" t="s">
        <v>83</v>
      </c>
      <c r="Q1458" s="77" t="s">
        <v>188</v>
      </c>
      <c r="T1458" s="77" t="s">
        <v>1666</v>
      </c>
      <c r="U1458" s="77" t="s">
        <v>85</v>
      </c>
      <c r="V1458" s="77" t="s">
        <v>2702</v>
      </c>
      <c r="W1458" s="79">
        <v>46185.33560327546</v>
      </c>
      <c r="X1458" s="77" t="s">
        <v>2703</v>
      </c>
      <c r="Y1458" s="78" t="s">
        <v>88</v>
      </c>
      <c r="AA1458" s="77" t="s">
        <v>2704</v>
      </c>
      <c r="AB1458" s="77" t="s">
        <v>1521</v>
      </c>
      <c r="AC1458" s="77" t="s">
        <v>114</v>
      </c>
      <c r="AD1458" s="77" t="s">
        <v>1258</v>
      </c>
      <c r="AE1458" s="77" t="s">
        <v>2705</v>
      </c>
      <c r="AF1458" s="77" t="s">
        <v>2706</v>
      </c>
    </row>
    <row r="1459" spans="1:32" hidden="1" x14ac:dyDescent="0.3">
      <c r="A1459" s="77" t="s">
        <v>2743</v>
      </c>
      <c r="B1459" s="77" t="s">
        <v>2744</v>
      </c>
      <c r="G1459" s="77" t="s">
        <v>2700</v>
      </c>
      <c r="H1459" s="77" t="s">
        <v>77</v>
      </c>
      <c r="I1459" s="77" t="s">
        <v>1521</v>
      </c>
      <c r="J1459" s="77" t="s">
        <v>79</v>
      </c>
      <c r="K1459" s="77" t="s">
        <v>1522</v>
      </c>
      <c r="L1459" s="77" t="s">
        <v>2701</v>
      </c>
      <c r="M1459" s="77" t="s">
        <v>82</v>
      </c>
      <c r="N1459" s="77" t="s">
        <v>83</v>
      </c>
      <c r="Q1459" s="77" t="s">
        <v>188</v>
      </c>
      <c r="T1459" s="77" t="s">
        <v>1666</v>
      </c>
      <c r="U1459" s="77" t="s">
        <v>85</v>
      </c>
      <c r="V1459" s="77" t="s">
        <v>2702</v>
      </c>
      <c r="W1459" s="79">
        <v>46213.544969641203</v>
      </c>
      <c r="X1459" s="77" t="s">
        <v>2703</v>
      </c>
      <c r="Y1459" s="78" t="s">
        <v>88</v>
      </c>
      <c r="AA1459" s="77" t="s">
        <v>2704</v>
      </c>
      <c r="AB1459" s="77" t="s">
        <v>1521</v>
      </c>
      <c r="AC1459" s="77" t="s">
        <v>114</v>
      </c>
      <c r="AD1459" s="77" t="s">
        <v>1258</v>
      </c>
      <c r="AE1459" s="77" t="s">
        <v>2705</v>
      </c>
      <c r="AF1459" s="77" t="s">
        <v>2706</v>
      </c>
    </row>
    <row r="1460" spans="1:32" hidden="1" x14ac:dyDescent="0.3">
      <c r="A1460" s="77" t="s">
        <v>2745</v>
      </c>
      <c r="B1460" s="77" t="s">
        <v>2746</v>
      </c>
      <c r="G1460" s="77" t="s">
        <v>2700</v>
      </c>
      <c r="H1460" s="77" t="s">
        <v>77</v>
      </c>
      <c r="I1460" s="77" t="s">
        <v>1521</v>
      </c>
      <c r="J1460" s="77" t="s">
        <v>79</v>
      </c>
      <c r="K1460" s="77" t="s">
        <v>1522</v>
      </c>
      <c r="L1460" s="77" t="s">
        <v>2701</v>
      </c>
      <c r="M1460" s="77" t="s">
        <v>82</v>
      </c>
      <c r="N1460" s="77" t="s">
        <v>83</v>
      </c>
      <c r="Q1460" s="77" t="s">
        <v>188</v>
      </c>
      <c r="T1460" s="77" t="s">
        <v>1666</v>
      </c>
      <c r="U1460" s="77" t="s">
        <v>85</v>
      </c>
      <c r="V1460" s="77" t="s">
        <v>2702</v>
      </c>
      <c r="W1460" s="79">
        <v>46177.737801423609</v>
      </c>
      <c r="X1460" s="77" t="s">
        <v>2703</v>
      </c>
      <c r="Y1460" s="78" t="s">
        <v>88</v>
      </c>
      <c r="AA1460" s="77" t="s">
        <v>2704</v>
      </c>
      <c r="AB1460" s="77" t="s">
        <v>1521</v>
      </c>
      <c r="AC1460" s="77" t="s">
        <v>114</v>
      </c>
      <c r="AD1460" s="77" t="s">
        <v>1258</v>
      </c>
      <c r="AE1460" s="77" t="s">
        <v>2705</v>
      </c>
      <c r="AF1460" s="77" t="s">
        <v>2706</v>
      </c>
    </row>
    <row r="1461" spans="1:32" hidden="1" x14ac:dyDescent="0.3">
      <c r="A1461" s="77" t="s">
        <v>2747</v>
      </c>
      <c r="B1461" s="77" t="s">
        <v>2748</v>
      </c>
      <c r="G1461" s="77" t="s">
        <v>2700</v>
      </c>
      <c r="H1461" s="77" t="s">
        <v>77</v>
      </c>
      <c r="I1461" s="77" t="s">
        <v>1521</v>
      </c>
      <c r="J1461" s="77" t="s">
        <v>79</v>
      </c>
      <c r="K1461" s="77" t="s">
        <v>1522</v>
      </c>
      <c r="L1461" s="77" t="s">
        <v>2701</v>
      </c>
      <c r="M1461" s="77" t="s">
        <v>82</v>
      </c>
      <c r="N1461" s="77" t="s">
        <v>83</v>
      </c>
      <c r="Q1461" s="77" t="s">
        <v>188</v>
      </c>
      <c r="T1461" s="77" t="s">
        <v>1666</v>
      </c>
      <c r="U1461" s="77" t="s">
        <v>85</v>
      </c>
      <c r="V1461" s="77" t="s">
        <v>2702</v>
      </c>
      <c r="W1461" s="79">
        <v>46174.554152118057</v>
      </c>
      <c r="X1461" s="77" t="s">
        <v>2703</v>
      </c>
      <c r="Y1461" s="78" t="s">
        <v>88</v>
      </c>
      <c r="AA1461" s="77" t="s">
        <v>2704</v>
      </c>
      <c r="AB1461" s="77" t="s">
        <v>1521</v>
      </c>
      <c r="AC1461" s="77" t="s">
        <v>114</v>
      </c>
      <c r="AD1461" s="77" t="s">
        <v>1258</v>
      </c>
      <c r="AE1461" s="77" t="s">
        <v>2705</v>
      </c>
      <c r="AF1461" s="77" t="s">
        <v>2706</v>
      </c>
    </row>
    <row r="1462" spans="1:32" hidden="1" x14ac:dyDescent="0.3">
      <c r="A1462" s="77" t="s">
        <v>2749</v>
      </c>
      <c r="B1462" s="77" t="s">
        <v>2750</v>
      </c>
      <c r="G1462" s="77" t="s">
        <v>2700</v>
      </c>
      <c r="H1462" s="77" t="s">
        <v>77</v>
      </c>
      <c r="I1462" s="77" t="s">
        <v>1521</v>
      </c>
      <c r="J1462" s="77" t="s">
        <v>79</v>
      </c>
      <c r="K1462" s="77" t="s">
        <v>1522</v>
      </c>
      <c r="L1462" s="77" t="s">
        <v>2701</v>
      </c>
      <c r="M1462" s="77" t="s">
        <v>82</v>
      </c>
      <c r="N1462" s="77" t="s">
        <v>83</v>
      </c>
      <c r="Q1462" s="77" t="s">
        <v>188</v>
      </c>
      <c r="T1462" s="77" t="s">
        <v>1666</v>
      </c>
      <c r="U1462" s="77" t="s">
        <v>85</v>
      </c>
      <c r="V1462" s="77" t="s">
        <v>2702</v>
      </c>
      <c r="W1462" s="79">
        <v>46174.554588391205</v>
      </c>
      <c r="X1462" s="77" t="s">
        <v>2703</v>
      </c>
      <c r="Y1462" s="78" t="s">
        <v>88</v>
      </c>
      <c r="AA1462" s="77" t="s">
        <v>2704</v>
      </c>
      <c r="AB1462" s="77" t="s">
        <v>1521</v>
      </c>
      <c r="AC1462" s="77" t="s">
        <v>114</v>
      </c>
      <c r="AD1462" s="77" t="s">
        <v>1258</v>
      </c>
      <c r="AE1462" s="77" t="s">
        <v>2705</v>
      </c>
      <c r="AF1462" s="77" t="s">
        <v>2706</v>
      </c>
    </row>
    <row r="1463" spans="1:32" hidden="1" x14ac:dyDescent="0.3">
      <c r="A1463" s="77" t="s">
        <v>2751</v>
      </c>
      <c r="B1463" s="77" t="s">
        <v>2752</v>
      </c>
      <c r="G1463" s="77" t="s">
        <v>2700</v>
      </c>
      <c r="H1463" s="77" t="s">
        <v>77</v>
      </c>
      <c r="I1463" s="77" t="s">
        <v>1521</v>
      </c>
      <c r="J1463" s="77" t="s">
        <v>79</v>
      </c>
      <c r="K1463" s="77" t="s">
        <v>1522</v>
      </c>
      <c r="L1463" s="77" t="s">
        <v>2701</v>
      </c>
      <c r="M1463" s="77" t="s">
        <v>82</v>
      </c>
      <c r="N1463" s="77" t="s">
        <v>83</v>
      </c>
      <c r="Q1463" s="77" t="s">
        <v>188</v>
      </c>
      <c r="T1463" s="77" t="s">
        <v>1666</v>
      </c>
      <c r="U1463" s="77" t="s">
        <v>85</v>
      </c>
      <c r="V1463" s="77" t="s">
        <v>2702</v>
      </c>
      <c r="W1463" s="79">
        <v>46174.555176238428</v>
      </c>
      <c r="X1463" s="77" t="s">
        <v>2703</v>
      </c>
      <c r="Y1463" s="78" t="s">
        <v>88</v>
      </c>
      <c r="AA1463" s="77" t="s">
        <v>2704</v>
      </c>
      <c r="AB1463" s="77" t="s">
        <v>1521</v>
      </c>
      <c r="AC1463" s="77" t="s">
        <v>114</v>
      </c>
      <c r="AD1463" s="77" t="s">
        <v>1258</v>
      </c>
      <c r="AE1463" s="77" t="s">
        <v>2705</v>
      </c>
      <c r="AF1463" s="77" t="s">
        <v>2706</v>
      </c>
    </row>
    <row r="1464" spans="1:32" hidden="1" x14ac:dyDescent="0.3">
      <c r="A1464" s="77" t="s">
        <v>2753</v>
      </c>
      <c r="B1464" s="77" t="s">
        <v>2754</v>
      </c>
      <c r="G1464" s="77" t="s">
        <v>2700</v>
      </c>
      <c r="H1464" s="77" t="s">
        <v>77</v>
      </c>
      <c r="I1464" s="77" t="s">
        <v>1521</v>
      </c>
      <c r="J1464" s="77" t="s">
        <v>79</v>
      </c>
      <c r="K1464" s="77" t="s">
        <v>1522</v>
      </c>
      <c r="L1464" s="77" t="s">
        <v>2701</v>
      </c>
      <c r="M1464" s="77" t="s">
        <v>82</v>
      </c>
      <c r="N1464" s="77" t="s">
        <v>83</v>
      </c>
      <c r="Q1464" s="77" t="s">
        <v>188</v>
      </c>
      <c r="T1464" s="77" t="s">
        <v>1666</v>
      </c>
      <c r="U1464" s="77" t="s">
        <v>85</v>
      </c>
      <c r="V1464" s="77" t="s">
        <v>2702</v>
      </c>
      <c r="W1464" s="79">
        <v>46172.502222951392</v>
      </c>
      <c r="X1464" s="77" t="s">
        <v>2703</v>
      </c>
      <c r="Y1464" s="78" t="s">
        <v>88</v>
      </c>
      <c r="AA1464" s="77" t="s">
        <v>2704</v>
      </c>
      <c r="AB1464" s="77" t="s">
        <v>1521</v>
      </c>
      <c r="AC1464" s="77" t="s">
        <v>114</v>
      </c>
      <c r="AD1464" s="77" t="s">
        <v>1258</v>
      </c>
      <c r="AE1464" s="77" t="s">
        <v>2705</v>
      </c>
      <c r="AF1464" s="77" t="s">
        <v>2706</v>
      </c>
    </row>
    <row r="1465" spans="1:32" hidden="1" x14ac:dyDescent="0.3">
      <c r="A1465" s="77" t="s">
        <v>2755</v>
      </c>
      <c r="B1465" s="77" t="s">
        <v>2756</v>
      </c>
      <c r="G1465" s="77" t="s">
        <v>2700</v>
      </c>
      <c r="H1465" s="77" t="s">
        <v>77</v>
      </c>
      <c r="I1465" s="77" t="s">
        <v>1521</v>
      </c>
      <c r="J1465" s="77" t="s">
        <v>79</v>
      </c>
      <c r="K1465" s="77" t="s">
        <v>1522</v>
      </c>
      <c r="L1465" s="77" t="s">
        <v>2701</v>
      </c>
      <c r="M1465" s="77" t="s">
        <v>82</v>
      </c>
      <c r="N1465" s="77" t="s">
        <v>83</v>
      </c>
      <c r="Q1465" s="77" t="s">
        <v>188</v>
      </c>
      <c r="T1465" s="77" t="s">
        <v>1666</v>
      </c>
      <c r="U1465" s="77" t="s">
        <v>85</v>
      </c>
      <c r="V1465" s="77" t="s">
        <v>2702</v>
      </c>
      <c r="W1465" s="79">
        <v>46172.501733252313</v>
      </c>
      <c r="X1465" s="77" t="s">
        <v>2703</v>
      </c>
      <c r="Y1465" s="78" t="s">
        <v>88</v>
      </c>
      <c r="AA1465" s="77" t="s">
        <v>2704</v>
      </c>
      <c r="AB1465" s="77" t="s">
        <v>1521</v>
      </c>
      <c r="AC1465" s="77" t="s">
        <v>114</v>
      </c>
      <c r="AD1465" s="77" t="s">
        <v>1258</v>
      </c>
      <c r="AE1465" s="77" t="s">
        <v>2705</v>
      </c>
      <c r="AF1465" s="77" t="s">
        <v>2706</v>
      </c>
    </row>
    <row r="1466" spans="1:32" hidden="1" x14ac:dyDescent="0.3">
      <c r="A1466" s="77" t="s">
        <v>2757</v>
      </c>
      <c r="B1466" s="77" t="s">
        <v>2758</v>
      </c>
      <c r="G1466" s="77" t="s">
        <v>2700</v>
      </c>
      <c r="H1466" s="77" t="s">
        <v>77</v>
      </c>
      <c r="I1466" s="77" t="s">
        <v>1521</v>
      </c>
      <c r="J1466" s="77" t="s">
        <v>79</v>
      </c>
      <c r="K1466" s="77" t="s">
        <v>1522</v>
      </c>
      <c r="L1466" s="77" t="s">
        <v>2701</v>
      </c>
      <c r="M1466" s="77" t="s">
        <v>82</v>
      </c>
      <c r="N1466" s="77" t="s">
        <v>83</v>
      </c>
      <c r="Q1466" s="77" t="s">
        <v>188</v>
      </c>
      <c r="T1466" s="77" t="s">
        <v>1666</v>
      </c>
      <c r="U1466" s="77" t="s">
        <v>85</v>
      </c>
      <c r="V1466" s="77" t="s">
        <v>2702</v>
      </c>
      <c r="W1466" s="79">
        <v>46177.738285613428</v>
      </c>
      <c r="X1466" s="77" t="s">
        <v>2703</v>
      </c>
      <c r="Y1466" s="78" t="s">
        <v>88</v>
      </c>
      <c r="AA1466" s="77" t="s">
        <v>2704</v>
      </c>
      <c r="AB1466" s="77" t="s">
        <v>1521</v>
      </c>
      <c r="AC1466" s="77" t="s">
        <v>114</v>
      </c>
      <c r="AD1466" s="77" t="s">
        <v>1258</v>
      </c>
      <c r="AE1466" s="77" t="s">
        <v>2705</v>
      </c>
      <c r="AF1466" s="77" t="s">
        <v>2706</v>
      </c>
    </row>
    <row r="1467" spans="1:32" hidden="1" x14ac:dyDescent="0.3">
      <c r="A1467" s="77" t="s">
        <v>2759</v>
      </c>
      <c r="B1467" s="77" t="s">
        <v>2760</v>
      </c>
      <c r="G1467" s="77" t="s">
        <v>2700</v>
      </c>
      <c r="H1467" s="77" t="s">
        <v>77</v>
      </c>
      <c r="I1467" s="77" t="s">
        <v>1521</v>
      </c>
      <c r="J1467" s="77" t="s">
        <v>79</v>
      </c>
      <c r="K1467" s="77" t="s">
        <v>1522</v>
      </c>
      <c r="L1467" s="77" t="s">
        <v>2701</v>
      </c>
      <c r="M1467" s="77" t="s">
        <v>82</v>
      </c>
      <c r="N1467" s="77" t="s">
        <v>83</v>
      </c>
      <c r="Q1467" s="77" t="s">
        <v>188</v>
      </c>
      <c r="T1467" s="77" t="s">
        <v>1666</v>
      </c>
      <c r="U1467" s="77" t="s">
        <v>85</v>
      </c>
      <c r="V1467" s="77" t="s">
        <v>2702</v>
      </c>
      <c r="W1467" s="79">
        <v>46177.738676701389</v>
      </c>
      <c r="X1467" s="77" t="s">
        <v>2703</v>
      </c>
      <c r="Y1467" s="78" t="s">
        <v>88</v>
      </c>
      <c r="AA1467" s="77" t="s">
        <v>2704</v>
      </c>
      <c r="AB1467" s="77" t="s">
        <v>1521</v>
      </c>
      <c r="AC1467" s="77" t="s">
        <v>114</v>
      </c>
      <c r="AD1467" s="77" t="s">
        <v>1258</v>
      </c>
      <c r="AE1467" s="77" t="s">
        <v>2705</v>
      </c>
      <c r="AF1467" s="77" t="s">
        <v>2706</v>
      </c>
    </row>
    <row r="1468" spans="1:32" hidden="1" x14ac:dyDescent="0.3">
      <c r="A1468" s="77" t="s">
        <v>2761</v>
      </c>
      <c r="B1468" s="77" t="s">
        <v>2762</v>
      </c>
      <c r="G1468" s="77" t="s">
        <v>2700</v>
      </c>
      <c r="H1468" s="77" t="s">
        <v>77</v>
      </c>
      <c r="I1468" s="77" t="s">
        <v>1521</v>
      </c>
      <c r="J1468" s="77" t="s">
        <v>79</v>
      </c>
      <c r="K1468" s="77" t="s">
        <v>1522</v>
      </c>
      <c r="L1468" s="77" t="s">
        <v>2701</v>
      </c>
      <c r="M1468" s="77" t="s">
        <v>82</v>
      </c>
      <c r="N1468" s="77" t="s">
        <v>83</v>
      </c>
      <c r="Q1468" s="77" t="s">
        <v>188</v>
      </c>
      <c r="T1468" s="77" t="s">
        <v>1666</v>
      </c>
      <c r="U1468" s="77" t="s">
        <v>85</v>
      </c>
      <c r="V1468" s="77" t="s">
        <v>2702</v>
      </c>
      <c r="W1468" s="79">
        <v>46174.555848495373</v>
      </c>
      <c r="X1468" s="77" t="s">
        <v>2703</v>
      </c>
      <c r="Y1468" s="78" t="s">
        <v>88</v>
      </c>
      <c r="AA1468" s="77" t="s">
        <v>2704</v>
      </c>
      <c r="AB1468" s="77" t="s">
        <v>1521</v>
      </c>
      <c r="AC1468" s="77" t="s">
        <v>114</v>
      </c>
      <c r="AD1468" s="77" t="s">
        <v>1258</v>
      </c>
      <c r="AE1468" s="77" t="s">
        <v>2705</v>
      </c>
      <c r="AF1468" s="77" t="s">
        <v>2706</v>
      </c>
    </row>
    <row r="1469" spans="1:32" hidden="1" x14ac:dyDescent="0.3">
      <c r="A1469" s="77" t="s">
        <v>2763</v>
      </c>
      <c r="B1469" s="77" t="s">
        <v>2764</v>
      </c>
      <c r="G1469" s="77" t="s">
        <v>2700</v>
      </c>
      <c r="H1469" s="77" t="s">
        <v>77</v>
      </c>
      <c r="I1469" s="77" t="s">
        <v>1521</v>
      </c>
      <c r="J1469" s="77" t="s">
        <v>79</v>
      </c>
      <c r="K1469" s="77" t="s">
        <v>1522</v>
      </c>
      <c r="L1469" s="77" t="s">
        <v>2701</v>
      </c>
      <c r="M1469" s="77" t="s">
        <v>82</v>
      </c>
      <c r="N1469" s="77" t="s">
        <v>83</v>
      </c>
      <c r="Q1469" s="77" t="s">
        <v>188</v>
      </c>
      <c r="T1469" s="77" t="s">
        <v>1666</v>
      </c>
      <c r="U1469" s="77" t="s">
        <v>85</v>
      </c>
      <c r="V1469" s="77" t="s">
        <v>2702</v>
      </c>
      <c r="W1469" s="79">
        <v>46174.556357256944</v>
      </c>
      <c r="X1469" s="77" t="s">
        <v>2703</v>
      </c>
      <c r="Y1469" s="78" t="s">
        <v>88</v>
      </c>
      <c r="AA1469" s="77" t="s">
        <v>2704</v>
      </c>
      <c r="AB1469" s="77" t="s">
        <v>1521</v>
      </c>
      <c r="AC1469" s="77" t="s">
        <v>114</v>
      </c>
      <c r="AD1469" s="77" t="s">
        <v>1258</v>
      </c>
      <c r="AE1469" s="77" t="s">
        <v>2705</v>
      </c>
      <c r="AF1469" s="77" t="s">
        <v>2706</v>
      </c>
    </row>
    <row r="1470" spans="1:32" hidden="1" x14ac:dyDescent="0.3">
      <c r="A1470" s="77" t="s">
        <v>2765</v>
      </c>
      <c r="B1470" s="77" t="s">
        <v>2766</v>
      </c>
      <c r="G1470" s="77" t="s">
        <v>2700</v>
      </c>
      <c r="H1470" s="77" t="s">
        <v>77</v>
      </c>
      <c r="I1470" s="77" t="s">
        <v>1521</v>
      </c>
      <c r="J1470" s="77" t="s">
        <v>79</v>
      </c>
      <c r="K1470" s="77" t="s">
        <v>1522</v>
      </c>
      <c r="L1470" s="77" t="s">
        <v>2701</v>
      </c>
      <c r="M1470" s="77" t="s">
        <v>82</v>
      </c>
      <c r="N1470" s="77" t="s">
        <v>83</v>
      </c>
      <c r="Q1470" s="77" t="s">
        <v>188</v>
      </c>
      <c r="T1470" s="77" t="s">
        <v>1666</v>
      </c>
      <c r="U1470" s="77" t="s">
        <v>85</v>
      </c>
      <c r="V1470" s="77" t="s">
        <v>2702</v>
      </c>
      <c r="W1470" s="79">
        <v>46177.739044907408</v>
      </c>
      <c r="X1470" s="77" t="s">
        <v>2703</v>
      </c>
      <c r="Y1470" s="78" t="s">
        <v>88</v>
      </c>
      <c r="AA1470" s="77" t="s">
        <v>2704</v>
      </c>
      <c r="AB1470" s="77" t="s">
        <v>1521</v>
      </c>
      <c r="AC1470" s="77" t="s">
        <v>114</v>
      </c>
      <c r="AD1470" s="77" t="s">
        <v>1258</v>
      </c>
      <c r="AE1470" s="77" t="s">
        <v>2705</v>
      </c>
      <c r="AF1470" s="77" t="s">
        <v>2706</v>
      </c>
    </row>
    <row r="1471" spans="1:32" hidden="1" x14ac:dyDescent="0.3">
      <c r="A1471" s="77" t="s">
        <v>2767</v>
      </c>
      <c r="B1471" s="77" t="s">
        <v>2768</v>
      </c>
      <c r="G1471" s="77" t="s">
        <v>2700</v>
      </c>
      <c r="H1471" s="77" t="s">
        <v>77</v>
      </c>
      <c r="I1471" s="77" t="s">
        <v>1521</v>
      </c>
      <c r="J1471" s="77" t="s">
        <v>79</v>
      </c>
      <c r="K1471" s="77" t="s">
        <v>1522</v>
      </c>
      <c r="L1471" s="77" t="s">
        <v>2701</v>
      </c>
      <c r="M1471" s="77" t="s">
        <v>82</v>
      </c>
      <c r="N1471" s="77" t="s">
        <v>83</v>
      </c>
      <c r="Q1471" s="77" t="s">
        <v>188</v>
      </c>
      <c r="T1471" s="77" t="s">
        <v>1666</v>
      </c>
      <c r="U1471" s="77" t="s">
        <v>85</v>
      </c>
      <c r="V1471" s="77" t="s">
        <v>2702</v>
      </c>
      <c r="W1471" s="79">
        <v>46174.556462384258</v>
      </c>
      <c r="X1471" s="77" t="s">
        <v>2703</v>
      </c>
      <c r="Y1471" s="78" t="s">
        <v>88</v>
      </c>
      <c r="AA1471" s="77" t="s">
        <v>2704</v>
      </c>
      <c r="AB1471" s="77" t="s">
        <v>1521</v>
      </c>
      <c r="AC1471" s="77" t="s">
        <v>114</v>
      </c>
      <c r="AD1471" s="77" t="s">
        <v>1258</v>
      </c>
      <c r="AE1471" s="77" t="s">
        <v>2705</v>
      </c>
      <c r="AF1471" s="77" t="s">
        <v>2769</v>
      </c>
    </row>
    <row r="1472" spans="1:32" hidden="1" x14ac:dyDescent="0.3">
      <c r="A1472" s="77" t="s">
        <v>2770</v>
      </c>
      <c r="B1472" s="77" t="s">
        <v>2771</v>
      </c>
      <c r="G1472" s="77" t="s">
        <v>2700</v>
      </c>
      <c r="H1472" s="77" t="s">
        <v>77</v>
      </c>
      <c r="I1472" s="77" t="s">
        <v>1521</v>
      </c>
      <c r="J1472" s="77" t="s">
        <v>79</v>
      </c>
      <c r="K1472" s="77" t="s">
        <v>1522</v>
      </c>
      <c r="L1472" s="77" t="s">
        <v>2701</v>
      </c>
      <c r="M1472" s="77" t="s">
        <v>82</v>
      </c>
      <c r="N1472" s="77" t="s">
        <v>83</v>
      </c>
      <c r="Q1472" s="77" t="s">
        <v>188</v>
      </c>
      <c r="T1472" s="77" t="s">
        <v>1666</v>
      </c>
      <c r="U1472" s="77" t="s">
        <v>85</v>
      </c>
      <c r="V1472" s="77" t="s">
        <v>2702</v>
      </c>
      <c r="W1472" s="79">
        <v>46174.555620173611</v>
      </c>
      <c r="X1472" s="77" t="s">
        <v>2703</v>
      </c>
      <c r="Y1472" s="78" t="s">
        <v>88</v>
      </c>
      <c r="AA1472" s="77" t="s">
        <v>2704</v>
      </c>
      <c r="AB1472" s="77" t="s">
        <v>1521</v>
      </c>
      <c r="AC1472" s="77" t="s">
        <v>114</v>
      </c>
      <c r="AD1472" s="77" t="s">
        <v>1258</v>
      </c>
      <c r="AE1472" s="77" t="s">
        <v>2705</v>
      </c>
      <c r="AF1472" s="77" t="s">
        <v>2769</v>
      </c>
    </row>
    <row r="1473" spans="1:32" hidden="1" x14ac:dyDescent="0.3">
      <c r="A1473" s="77" t="s">
        <v>2772</v>
      </c>
      <c r="B1473" s="77" t="s">
        <v>2773</v>
      </c>
      <c r="G1473" s="77" t="s">
        <v>2700</v>
      </c>
      <c r="H1473" s="77" t="s">
        <v>77</v>
      </c>
      <c r="I1473" s="77" t="s">
        <v>1521</v>
      </c>
      <c r="J1473" s="77" t="s">
        <v>79</v>
      </c>
      <c r="K1473" s="77" t="s">
        <v>1522</v>
      </c>
      <c r="L1473" s="77" t="s">
        <v>2701</v>
      </c>
      <c r="M1473" s="77" t="s">
        <v>82</v>
      </c>
      <c r="N1473" s="77" t="s">
        <v>83</v>
      </c>
      <c r="Q1473" s="77" t="s">
        <v>188</v>
      </c>
      <c r="T1473" s="77" t="s">
        <v>1666</v>
      </c>
      <c r="U1473" s="77" t="s">
        <v>85</v>
      </c>
      <c r="V1473" s="77" t="s">
        <v>2702</v>
      </c>
      <c r="W1473" s="79">
        <v>46174.554822800928</v>
      </c>
      <c r="X1473" s="77" t="s">
        <v>2703</v>
      </c>
      <c r="Y1473" s="78" t="s">
        <v>88</v>
      </c>
      <c r="AA1473" s="77" t="s">
        <v>2704</v>
      </c>
      <c r="AB1473" s="77" t="s">
        <v>1521</v>
      </c>
      <c r="AC1473" s="77" t="s">
        <v>114</v>
      </c>
      <c r="AD1473" s="77" t="s">
        <v>1258</v>
      </c>
      <c r="AE1473" s="77" t="s">
        <v>2705</v>
      </c>
      <c r="AF1473" s="77" t="s">
        <v>2769</v>
      </c>
    </row>
    <row r="1474" spans="1:32" hidden="1" x14ac:dyDescent="0.3">
      <c r="A1474" s="77" t="s">
        <v>2774</v>
      </c>
      <c r="B1474" s="77" t="s">
        <v>2775</v>
      </c>
      <c r="G1474" s="77" t="s">
        <v>2700</v>
      </c>
      <c r="H1474" s="77" t="s">
        <v>77</v>
      </c>
      <c r="I1474" s="77" t="s">
        <v>1521</v>
      </c>
      <c r="J1474" s="77" t="s">
        <v>79</v>
      </c>
      <c r="K1474" s="77" t="s">
        <v>1522</v>
      </c>
      <c r="L1474" s="77" t="s">
        <v>2701</v>
      </c>
      <c r="M1474" s="77" t="s">
        <v>82</v>
      </c>
      <c r="N1474" s="77" t="s">
        <v>83</v>
      </c>
      <c r="Q1474" s="77" t="s">
        <v>188</v>
      </c>
      <c r="T1474" s="77" t="s">
        <v>1666</v>
      </c>
      <c r="U1474" s="77" t="s">
        <v>85</v>
      </c>
      <c r="V1474" s="77" t="s">
        <v>2702</v>
      </c>
      <c r="W1474" s="79">
        <v>46192.207858368056</v>
      </c>
      <c r="X1474" s="77" t="s">
        <v>2703</v>
      </c>
      <c r="Y1474" s="78" t="s">
        <v>88</v>
      </c>
      <c r="AA1474" s="77" t="s">
        <v>2704</v>
      </c>
      <c r="AB1474" s="77" t="s">
        <v>1521</v>
      </c>
      <c r="AC1474" s="77" t="s">
        <v>114</v>
      </c>
      <c r="AD1474" s="77" t="s">
        <v>1258</v>
      </c>
      <c r="AE1474" s="77" t="s">
        <v>2705</v>
      </c>
      <c r="AF1474" s="77" t="s">
        <v>2706</v>
      </c>
    </row>
    <row r="1475" spans="1:32" hidden="1" x14ac:dyDescent="0.3">
      <c r="A1475" s="77" t="s">
        <v>2776</v>
      </c>
      <c r="B1475" s="77" t="s">
        <v>2777</v>
      </c>
      <c r="G1475" s="77" t="s">
        <v>2700</v>
      </c>
      <c r="H1475" s="77" t="s">
        <v>77</v>
      </c>
      <c r="I1475" s="77" t="s">
        <v>1521</v>
      </c>
      <c r="J1475" s="77" t="s">
        <v>79</v>
      </c>
      <c r="K1475" s="77" t="s">
        <v>1522</v>
      </c>
      <c r="L1475" s="77" t="s">
        <v>2701</v>
      </c>
      <c r="M1475" s="77" t="s">
        <v>82</v>
      </c>
      <c r="N1475" s="77" t="s">
        <v>83</v>
      </c>
      <c r="Q1475" s="77" t="s">
        <v>188</v>
      </c>
      <c r="T1475" s="77" t="s">
        <v>1666</v>
      </c>
      <c r="U1475" s="77" t="s">
        <v>85</v>
      </c>
      <c r="V1475" s="77" t="s">
        <v>2702</v>
      </c>
      <c r="W1475" s="79">
        <v>46185.336627812503</v>
      </c>
      <c r="X1475" s="77" t="s">
        <v>2703</v>
      </c>
      <c r="Y1475" s="78" t="s">
        <v>88</v>
      </c>
      <c r="AA1475" s="77" t="s">
        <v>2704</v>
      </c>
      <c r="AB1475" s="77" t="s">
        <v>1521</v>
      </c>
      <c r="AC1475" s="77" t="s">
        <v>114</v>
      </c>
      <c r="AD1475" s="77" t="s">
        <v>1258</v>
      </c>
      <c r="AE1475" s="77" t="s">
        <v>2705</v>
      </c>
      <c r="AF1475" s="77" t="s">
        <v>2706</v>
      </c>
    </row>
    <row r="1476" spans="1:32" hidden="1" x14ac:dyDescent="0.3">
      <c r="A1476" s="77" t="s">
        <v>2778</v>
      </c>
      <c r="B1476" s="77" t="s">
        <v>2779</v>
      </c>
      <c r="G1476" s="77" t="s">
        <v>2700</v>
      </c>
      <c r="H1476" s="77" t="s">
        <v>77</v>
      </c>
      <c r="I1476" s="77" t="s">
        <v>1521</v>
      </c>
      <c r="J1476" s="77" t="s">
        <v>79</v>
      </c>
      <c r="K1476" s="77" t="s">
        <v>1522</v>
      </c>
      <c r="L1476" s="77" t="s">
        <v>2701</v>
      </c>
      <c r="M1476" s="77" t="s">
        <v>82</v>
      </c>
      <c r="N1476" s="77" t="s">
        <v>83</v>
      </c>
      <c r="Q1476" s="77" t="s">
        <v>188</v>
      </c>
      <c r="T1476" s="77" t="s">
        <v>1666</v>
      </c>
      <c r="U1476" s="77" t="s">
        <v>85</v>
      </c>
      <c r="V1476" s="77" t="s">
        <v>2702</v>
      </c>
      <c r="W1476" s="79">
        <v>46185.336946377312</v>
      </c>
      <c r="X1476" s="77" t="s">
        <v>2703</v>
      </c>
      <c r="Y1476" s="78" t="s">
        <v>88</v>
      </c>
      <c r="AA1476" s="77" t="s">
        <v>2704</v>
      </c>
      <c r="AB1476" s="77" t="s">
        <v>1521</v>
      </c>
      <c r="AC1476" s="77" t="s">
        <v>114</v>
      </c>
      <c r="AD1476" s="77" t="s">
        <v>1258</v>
      </c>
      <c r="AE1476" s="77" t="s">
        <v>2705</v>
      </c>
      <c r="AF1476" s="77" t="s">
        <v>2706</v>
      </c>
    </row>
    <row r="1477" spans="1:32" hidden="1" x14ac:dyDescent="0.3">
      <c r="A1477" s="77" t="s">
        <v>2780</v>
      </c>
      <c r="B1477" s="77" t="s">
        <v>2781</v>
      </c>
      <c r="G1477" s="77" t="s">
        <v>2700</v>
      </c>
      <c r="H1477" s="77" t="s">
        <v>77</v>
      </c>
      <c r="I1477" s="77" t="s">
        <v>1521</v>
      </c>
      <c r="J1477" s="77" t="s">
        <v>79</v>
      </c>
      <c r="K1477" s="77" t="s">
        <v>1522</v>
      </c>
      <c r="L1477" s="77" t="s">
        <v>2701</v>
      </c>
      <c r="M1477" s="77" t="s">
        <v>82</v>
      </c>
      <c r="N1477" s="77" t="s">
        <v>83</v>
      </c>
      <c r="Q1477" s="77" t="s">
        <v>188</v>
      </c>
      <c r="T1477" s="77" t="s">
        <v>1666</v>
      </c>
      <c r="U1477" s="77" t="s">
        <v>85</v>
      </c>
      <c r="V1477" s="77" t="s">
        <v>2702</v>
      </c>
      <c r="W1477" s="79">
        <v>46185.337944293984</v>
      </c>
      <c r="X1477" s="77" t="s">
        <v>2703</v>
      </c>
      <c r="Y1477" s="78" t="s">
        <v>88</v>
      </c>
      <c r="AA1477" s="77" t="s">
        <v>2704</v>
      </c>
      <c r="AB1477" s="77" t="s">
        <v>1521</v>
      </c>
      <c r="AC1477" s="77" t="s">
        <v>114</v>
      </c>
      <c r="AD1477" s="77" t="s">
        <v>1258</v>
      </c>
      <c r="AE1477" s="77" t="s">
        <v>2705</v>
      </c>
      <c r="AF1477" s="77" t="s">
        <v>2706</v>
      </c>
    </row>
    <row r="1478" spans="1:32" hidden="1" x14ac:dyDescent="0.3">
      <c r="A1478" s="77" t="s">
        <v>2782</v>
      </c>
      <c r="B1478" s="77" t="s">
        <v>2783</v>
      </c>
      <c r="G1478" s="77" t="s">
        <v>2700</v>
      </c>
      <c r="H1478" s="77" t="s">
        <v>77</v>
      </c>
      <c r="I1478" s="77" t="s">
        <v>1521</v>
      </c>
      <c r="J1478" s="77" t="s">
        <v>79</v>
      </c>
      <c r="K1478" s="77" t="s">
        <v>1522</v>
      </c>
      <c r="L1478" s="77" t="s">
        <v>2701</v>
      </c>
      <c r="M1478" s="77" t="s">
        <v>82</v>
      </c>
      <c r="N1478" s="77" t="s">
        <v>83</v>
      </c>
      <c r="Q1478" s="77" t="s">
        <v>188</v>
      </c>
      <c r="T1478" s="77" t="s">
        <v>1666</v>
      </c>
      <c r="U1478" s="77" t="s">
        <v>85</v>
      </c>
      <c r="V1478" s="77" t="s">
        <v>2702</v>
      </c>
      <c r="W1478" s="79">
        <v>46213.546490659719</v>
      </c>
      <c r="X1478" s="77" t="s">
        <v>2703</v>
      </c>
      <c r="Y1478" s="78" t="s">
        <v>88</v>
      </c>
      <c r="AA1478" s="77" t="s">
        <v>2704</v>
      </c>
      <c r="AB1478" s="77" t="s">
        <v>1521</v>
      </c>
      <c r="AC1478" s="77" t="s">
        <v>114</v>
      </c>
      <c r="AD1478" s="77" t="s">
        <v>1258</v>
      </c>
      <c r="AE1478" s="77" t="s">
        <v>2705</v>
      </c>
      <c r="AF1478" s="77" t="s">
        <v>2706</v>
      </c>
    </row>
    <row r="1479" spans="1:32" hidden="1" x14ac:dyDescent="0.3">
      <c r="A1479" s="77" t="s">
        <v>2784</v>
      </c>
      <c r="B1479" s="77" t="s">
        <v>2785</v>
      </c>
      <c r="G1479" s="77" t="s">
        <v>2700</v>
      </c>
      <c r="H1479" s="77" t="s">
        <v>77</v>
      </c>
      <c r="I1479" s="77" t="s">
        <v>1521</v>
      </c>
      <c r="J1479" s="77" t="s">
        <v>79</v>
      </c>
      <c r="K1479" s="77" t="s">
        <v>1522</v>
      </c>
      <c r="L1479" s="77" t="s">
        <v>2701</v>
      </c>
      <c r="M1479" s="77" t="s">
        <v>82</v>
      </c>
      <c r="N1479" s="77" t="s">
        <v>83</v>
      </c>
      <c r="Q1479" s="77" t="s">
        <v>188</v>
      </c>
      <c r="T1479" s="77" t="s">
        <v>1666</v>
      </c>
      <c r="U1479" s="77" t="s">
        <v>85</v>
      </c>
      <c r="V1479" s="77" t="s">
        <v>2702</v>
      </c>
      <c r="W1479" s="79">
        <v>46172.503681331022</v>
      </c>
      <c r="X1479" s="77" t="s">
        <v>2703</v>
      </c>
      <c r="Y1479" s="78" t="s">
        <v>88</v>
      </c>
      <c r="AA1479" s="77" t="s">
        <v>2704</v>
      </c>
      <c r="AB1479" s="77" t="s">
        <v>1521</v>
      </c>
      <c r="AC1479" s="77" t="s">
        <v>114</v>
      </c>
      <c r="AD1479" s="77" t="s">
        <v>1258</v>
      </c>
      <c r="AE1479" s="77" t="s">
        <v>2705</v>
      </c>
      <c r="AF1479" s="77" t="s">
        <v>2706</v>
      </c>
    </row>
    <row r="1480" spans="1:32" hidden="1" x14ac:dyDescent="0.3">
      <c r="A1480" s="77" t="s">
        <v>2786</v>
      </c>
      <c r="B1480" s="77" t="s">
        <v>2787</v>
      </c>
      <c r="G1480" s="77" t="s">
        <v>2700</v>
      </c>
      <c r="H1480" s="77" t="s">
        <v>77</v>
      </c>
      <c r="I1480" s="77" t="s">
        <v>1521</v>
      </c>
      <c r="J1480" s="77" t="s">
        <v>79</v>
      </c>
      <c r="K1480" s="77" t="s">
        <v>1522</v>
      </c>
      <c r="L1480" s="77" t="s">
        <v>2701</v>
      </c>
      <c r="M1480" s="77" t="s">
        <v>82</v>
      </c>
      <c r="N1480" s="77" t="s">
        <v>83</v>
      </c>
      <c r="Q1480" s="77" t="s">
        <v>188</v>
      </c>
      <c r="T1480" s="77" t="s">
        <v>1666</v>
      </c>
      <c r="U1480" s="77" t="s">
        <v>85</v>
      </c>
      <c r="V1480" s="77" t="s">
        <v>2702</v>
      </c>
      <c r="W1480" s="79">
        <v>46177.739514664354</v>
      </c>
      <c r="X1480" s="77" t="s">
        <v>2703</v>
      </c>
      <c r="Y1480" s="78" t="s">
        <v>88</v>
      </c>
      <c r="AA1480" s="77" t="s">
        <v>2704</v>
      </c>
      <c r="AB1480" s="77" t="s">
        <v>1521</v>
      </c>
      <c r="AC1480" s="77" t="s">
        <v>114</v>
      </c>
      <c r="AD1480" s="77" t="s">
        <v>1258</v>
      </c>
      <c r="AE1480" s="77" t="s">
        <v>2705</v>
      </c>
      <c r="AF1480" s="77" t="s">
        <v>2706</v>
      </c>
    </row>
    <row r="1481" spans="1:32" hidden="1" x14ac:dyDescent="0.3">
      <c r="A1481" s="77" t="s">
        <v>2788</v>
      </c>
      <c r="B1481" s="77" t="s">
        <v>2789</v>
      </c>
      <c r="G1481" s="77" t="s">
        <v>2700</v>
      </c>
      <c r="H1481" s="77" t="s">
        <v>77</v>
      </c>
      <c r="I1481" s="77" t="s">
        <v>1521</v>
      </c>
      <c r="J1481" s="77" t="s">
        <v>79</v>
      </c>
      <c r="K1481" s="77" t="s">
        <v>1522</v>
      </c>
      <c r="L1481" s="77" t="s">
        <v>2701</v>
      </c>
      <c r="M1481" s="77" t="s">
        <v>82</v>
      </c>
      <c r="N1481" s="77" t="s">
        <v>83</v>
      </c>
      <c r="Q1481" s="77" t="s">
        <v>188</v>
      </c>
      <c r="T1481" s="77" t="s">
        <v>1666</v>
      </c>
      <c r="U1481" s="77" t="s">
        <v>85</v>
      </c>
      <c r="V1481" s="77" t="s">
        <v>2702</v>
      </c>
      <c r="W1481" s="79">
        <v>46174.554408136573</v>
      </c>
      <c r="X1481" s="77" t="s">
        <v>2703</v>
      </c>
      <c r="Y1481" s="78" t="s">
        <v>88</v>
      </c>
      <c r="AA1481" s="77" t="s">
        <v>2704</v>
      </c>
      <c r="AB1481" s="77" t="s">
        <v>1521</v>
      </c>
      <c r="AC1481" s="77" t="s">
        <v>114</v>
      </c>
      <c r="AD1481" s="77" t="s">
        <v>1258</v>
      </c>
      <c r="AE1481" s="77" t="s">
        <v>2705</v>
      </c>
      <c r="AF1481" s="77" t="s">
        <v>2769</v>
      </c>
    </row>
    <row r="1482" spans="1:32" hidden="1" x14ac:dyDescent="0.3">
      <c r="A1482" s="77" t="s">
        <v>2790</v>
      </c>
      <c r="B1482" s="77" t="s">
        <v>2791</v>
      </c>
      <c r="G1482" s="77" t="s">
        <v>2700</v>
      </c>
      <c r="H1482" s="77" t="s">
        <v>77</v>
      </c>
      <c r="I1482" s="77" t="s">
        <v>1521</v>
      </c>
      <c r="J1482" s="77" t="s">
        <v>79</v>
      </c>
      <c r="K1482" s="77" t="s">
        <v>1522</v>
      </c>
      <c r="L1482" s="77" t="s">
        <v>2701</v>
      </c>
      <c r="M1482" s="77" t="s">
        <v>82</v>
      </c>
      <c r="N1482" s="77" t="s">
        <v>83</v>
      </c>
      <c r="Q1482" s="77" t="s">
        <v>188</v>
      </c>
      <c r="T1482" s="77" t="s">
        <v>1666</v>
      </c>
      <c r="U1482" s="77" t="s">
        <v>85</v>
      </c>
      <c r="V1482" s="77" t="s">
        <v>2702</v>
      </c>
      <c r="W1482" s="79">
        <v>46174.553480752314</v>
      </c>
      <c r="X1482" s="77" t="s">
        <v>2703</v>
      </c>
      <c r="Y1482" s="78" t="s">
        <v>88</v>
      </c>
      <c r="AA1482" s="77" t="s">
        <v>2704</v>
      </c>
      <c r="AB1482" s="77" t="s">
        <v>1521</v>
      </c>
      <c r="AC1482" s="77" t="s">
        <v>114</v>
      </c>
      <c r="AD1482" s="77" t="s">
        <v>1258</v>
      </c>
      <c r="AE1482" s="77" t="s">
        <v>2705</v>
      </c>
      <c r="AF1482" s="77" t="s">
        <v>2769</v>
      </c>
    </row>
    <row r="1483" spans="1:32" hidden="1" x14ac:dyDescent="0.3">
      <c r="A1483" s="77" t="s">
        <v>2792</v>
      </c>
      <c r="B1483" s="77" t="s">
        <v>2793</v>
      </c>
      <c r="G1483" s="77" t="s">
        <v>2700</v>
      </c>
      <c r="H1483" s="77" t="s">
        <v>77</v>
      </c>
      <c r="I1483" s="77" t="s">
        <v>1521</v>
      </c>
      <c r="J1483" s="77" t="s">
        <v>79</v>
      </c>
      <c r="K1483" s="77" t="s">
        <v>1522</v>
      </c>
      <c r="L1483" s="77" t="s">
        <v>2701</v>
      </c>
      <c r="M1483" s="77" t="s">
        <v>82</v>
      </c>
      <c r="N1483" s="77" t="s">
        <v>83</v>
      </c>
      <c r="Q1483" s="77" t="s">
        <v>188</v>
      </c>
      <c r="T1483" s="77" t="s">
        <v>1666</v>
      </c>
      <c r="U1483" s="77" t="s">
        <v>85</v>
      </c>
      <c r="V1483" s="77" t="s">
        <v>2702</v>
      </c>
      <c r="W1483" s="79">
        <v>46174.552872488428</v>
      </c>
      <c r="X1483" s="77" t="s">
        <v>2703</v>
      </c>
      <c r="Y1483" s="78" t="s">
        <v>88</v>
      </c>
      <c r="AA1483" s="77" t="s">
        <v>2704</v>
      </c>
      <c r="AB1483" s="77" t="s">
        <v>1521</v>
      </c>
      <c r="AC1483" s="77" t="s">
        <v>114</v>
      </c>
      <c r="AD1483" s="77" t="s">
        <v>1258</v>
      </c>
      <c r="AE1483" s="77" t="s">
        <v>2705</v>
      </c>
      <c r="AF1483" s="77" t="s">
        <v>2769</v>
      </c>
    </row>
    <row r="1484" spans="1:32" hidden="1" x14ac:dyDescent="0.3">
      <c r="A1484" s="77" t="s">
        <v>2794</v>
      </c>
      <c r="B1484" s="77" t="s">
        <v>2795</v>
      </c>
      <c r="G1484" s="77" t="s">
        <v>2700</v>
      </c>
      <c r="H1484" s="77" t="s">
        <v>77</v>
      </c>
      <c r="I1484" s="77" t="s">
        <v>1521</v>
      </c>
      <c r="J1484" s="77" t="s">
        <v>79</v>
      </c>
      <c r="K1484" s="77" t="s">
        <v>1522</v>
      </c>
      <c r="L1484" s="77" t="s">
        <v>2701</v>
      </c>
      <c r="M1484" s="77" t="s">
        <v>82</v>
      </c>
      <c r="N1484" s="77" t="s">
        <v>83</v>
      </c>
      <c r="Q1484" s="77" t="s">
        <v>188</v>
      </c>
      <c r="T1484" s="77" t="s">
        <v>1666</v>
      </c>
      <c r="U1484" s="77" t="s">
        <v>85</v>
      </c>
      <c r="V1484" s="77" t="s">
        <v>2702</v>
      </c>
      <c r="W1484" s="79">
        <v>46177.740042361111</v>
      </c>
      <c r="X1484" s="77" t="s">
        <v>2703</v>
      </c>
      <c r="Y1484" s="78" t="s">
        <v>88</v>
      </c>
      <c r="AA1484" s="77" t="s">
        <v>2704</v>
      </c>
      <c r="AB1484" s="77" t="s">
        <v>1521</v>
      </c>
      <c r="AC1484" s="77" t="s">
        <v>114</v>
      </c>
      <c r="AD1484" s="77" t="s">
        <v>1258</v>
      </c>
      <c r="AE1484" s="77" t="s">
        <v>2705</v>
      </c>
      <c r="AF1484" s="77" t="s">
        <v>2706</v>
      </c>
    </row>
    <row r="1485" spans="1:32" hidden="1" x14ac:dyDescent="0.3">
      <c r="A1485" s="77" t="s">
        <v>2796</v>
      </c>
      <c r="B1485" s="77" t="s">
        <v>2797</v>
      </c>
      <c r="G1485" s="77" t="s">
        <v>2700</v>
      </c>
      <c r="H1485" s="77" t="s">
        <v>77</v>
      </c>
      <c r="I1485" s="77" t="s">
        <v>1521</v>
      </c>
      <c r="J1485" s="77" t="s">
        <v>79</v>
      </c>
      <c r="K1485" s="77" t="s">
        <v>1522</v>
      </c>
      <c r="L1485" s="77" t="s">
        <v>2701</v>
      </c>
      <c r="M1485" s="77" t="s">
        <v>82</v>
      </c>
      <c r="N1485" s="77" t="s">
        <v>83</v>
      </c>
      <c r="Q1485" s="77" t="s">
        <v>188</v>
      </c>
      <c r="T1485" s="77" t="s">
        <v>1666</v>
      </c>
      <c r="U1485" s="77" t="s">
        <v>85</v>
      </c>
      <c r="V1485" s="77" t="s">
        <v>2702</v>
      </c>
      <c r="W1485" s="79">
        <v>46172.50307619213</v>
      </c>
      <c r="X1485" s="77" t="s">
        <v>2703</v>
      </c>
      <c r="Y1485" s="78" t="s">
        <v>88</v>
      </c>
      <c r="AA1485" s="77" t="s">
        <v>2704</v>
      </c>
      <c r="AB1485" s="77" t="s">
        <v>1521</v>
      </c>
      <c r="AC1485" s="77" t="s">
        <v>114</v>
      </c>
      <c r="AD1485" s="77" t="s">
        <v>1258</v>
      </c>
      <c r="AE1485" s="77" t="s">
        <v>2705</v>
      </c>
      <c r="AF1485" s="77" t="s">
        <v>2706</v>
      </c>
    </row>
    <row r="1486" spans="1:32" hidden="1" x14ac:dyDescent="0.3">
      <c r="A1486" s="77" t="s">
        <v>2798</v>
      </c>
      <c r="B1486" s="77" t="s">
        <v>2799</v>
      </c>
      <c r="G1486" s="77" t="s">
        <v>2700</v>
      </c>
      <c r="H1486" s="77" t="s">
        <v>77</v>
      </c>
      <c r="I1486" s="77" t="s">
        <v>1521</v>
      </c>
      <c r="J1486" s="77" t="s">
        <v>79</v>
      </c>
      <c r="K1486" s="77" t="s">
        <v>1522</v>
      </c>
      <c r="L1486" s="77" t="s">
        <v>2701</v>
      </c>
      <c r="M1486" s="77" t="s">
        <v>82</v>
      </c>
      <c r="N1486" s="77" t="s">
        <v>83</v>
      </c>
      <c r="Q1486" s="77" t="s">
        <v>188</v>
      </c>
      <c r="T1486" s="77" t="s">
        <v>1666</v>
      </c>
      <c r="U1486" s="77" t="s">
        <v>85</v>
      </c>
      <c r="V1486" s="77" t="s">
        <v>2702</v>
      </c>
      <c r="W1486" s="79">
        <v>46174.551995914349</v>
      </c>
      <c r="X1486" s="77" t="s">
        <v>2703</v>
      </c>
      <c r="Y1486" s="78" t="s">
        <v>88</v>
      </c>
      <c r="AA1486" s="77" t="s">
        <v>2704</v>
      </c>
      <c r="AB1486" s="77" t="s">
        <v>1521</v>
      </c>
      <c r="AC1486" s="77" t="s">
        <v>114</v>
      </c>
      <c r="AD1486" s="77" t="s">
        <v>1258</v>
      </c>
      <c r="AE1486" s="77" t="s">
        <v>2705</v>
      </c>
      <c r="AF1486" s="77" t="s">
        <v>2769</v>
      </c>
    </row>
    <row r="1487" spans="1:32" hidden="1" x14ac:dyDescent="0.3">
      <c r="A1487" s="77" t="s">
        <v>2800</v>
      </c>
      <c r="B1487" s="77" t="s">
        <v>2801</v>
      </c>
      <c r="G1487" s="77" t="s">
        <v>2700</v>
      </c>
      <c r="H1487" s="77" t="s">
        <v>77</v>
      </c>
      <c r="I1487" s="77" t="s">
        <v>1521</v>
      </c>
      <c r="J1487" s="77" t="s">
        <v>79</v>
      </c>
      <c r="K1487" s="77" t="s">
        <v>1522</v>
      </c>
      <c r="L1487" s="77" t="s">
        <v>2701</v>
      </c>
      <c r="M1487" s="77" t="s">
        <v>82</v>
      </c>
      <c r="N1487" s="77" t="s">
        <v>83</v>
      </c>
      <c r="Q1487" s="77" t="s">
        <v>188</v>
      </c>
      <c r="T1487" s="77" t="s">
        <v>1666</v>
      </c>
      <c r="U1487" s="77" t="s">
        <v>85</v>
      </c>
      <c r="V1487" s="77" t="s">
        <v>2702</v>
      </c>
      <c r="W1487" s="79">
        <v>46177.740502546294</v>
      </c>
      <c r="X1487" s="77" t="s">
        <v>2703</v>
      </c>
      <c r="Y1487" s="78" t="s">
        <v>88</v>
      </c>
      <c r="AA1487" s="77" t="s">
        <v>2704</v>
      </c>
      <c r="AB1487" s="77" t="s">
        <v>1521</v>
      </c>
      <c r="AC1487" s="77" t="s">
        <v>114</v>
      </c>
      <c r="AD1487" s="77" t="s">
        <v>1258</v>
      </c>
      <c r="AE1487" s="77" t="s">
        <v>2705</v>
      </c>
      <c r="AF1487" s="77" t="s">
        <v>2706</v>
      </c>
    </row>
    <row r="1488" spans="1:32" hidden="1" x14ac:dyDescent="0.3">
      <c r="A1488" s="77" t="s">
        <v>2802</v>
      </c>
      <c r="B1488" s="77" t="s">
        <v>2803</v>
      </c>
      <c r="G1488" s="77" t="s">
        <v>2700</v>
      </c>
      <c r="H1488" s="77" t="s">
        <v>77</v>
      </c>
      <c r="I1488" s="77" t="s">
        <v>1521</v>
      </c>
      <c r="J1488" s="77" t="s">
        <v>79</v>
      </c>
      <c r="K1488" s="77" t="s">
        <v>1522</v>
      </c>
      <c r="L1488" s="77" t="s">
        <v>2701</v>
      </c>
      <c r="M1488" s="77" t="s">
        <v>82</v>
      </c>
      <c r="N1488" s="77" t="s">
        <v>83</v>
      </c>
      <c r="Q1488" s="77" t="s">
        <v>188</v>
      </c>
      <c r="T1488" s="77" t="s">
        <v>1666</v>
      </c>
      <c r="U1488" s="77" t="s">
        <v>85</v>
      </c>
      <c r="V1488" s="77" t="s">
        <v>2702</v>
      </c>
      <c r="W1488" s="79">
        <v>46177.741703206018</v>
      </c>
      <c r="X1488" s="77" t="s">
        <v>2703</v>
      </c>
      <c r="Y1488" s="78" t="s">
        <v>88</v>
      </c>
      <c r="AA1488" s="77" t="s">
        <v>2704</v>
      </c>
      <c r="AB1488" s="77" t="s">
        <v>1521</v>
      </c>
      <c r="AC1488" s="77" t="s">
        <v>114</v>
      </c>
      <c r="AD1488" s="77" t="s">
        <v>1258</v>
      </c>
      <c r="AE1488" s="77" t="s">
        <v>2705</v>
      </c>
      <c r="AF1488" s="77" t="s">
        <v>2706</v>
      </c>
    </row>
    <row r="1489" spans="1:33" hidden="1" x14ac:dyDescent="0.3">
      <c r="A1489" s="77" t="s">
        <v>2804</v>
      </c>
      <c r="B1489" s="77" t="s">
        <v>2805</v>
      </c>
      <c r="G1489" s="77" t="s">
        <v>2700</v>
      </c>
      <c r="H1489" s="77" t="s">
        <v>77</v>
      </c>
      <c r="I1489" s="77" t="s">
        <v>1521</v>
      </c>
      <c r="J1489" s="77" t="s">
        <v>79</v>
      </c>
      <c r="K1489" s="77" t="s">
        <v>1522</v>
      </c>
      <c r="L1489" s="77" t="s">
        <v>2701</v>
      </c>
      <c r="M1489" s="77" t="s">
        <v>82</v>
      </c>
      <c r="N1489" s="77" t="s">
        <v>83</v>
      </c>
      <c r="Q1489" s="77" t="s">
        <v>188</v>
      </c>
      <c r="T1489" s="77" t="s">
        <v>1666</v>
      </c>
      <c r="U1489" s="77" t="s">
        <v>85</v>
      </c>
      <c r="V1489" s="77" t="s">
        <v>2702</v>
      </c>
      <c r="W1489" s="79">
        <v>46174.550599224538</v>
      </c>
      <c r="X1489" s="77" t="s">
        <v>2703</v>
      </c>
      <c r="Y1489" s="78" t="s">
        <v>88</v>
      </c>
      <c r="AA1489" s="77" t="s">
        <v>2704</v>
      </c>
      <c r="AB1489" s="77" t="s">
        <v>1521</v>
      </c>
      <c r="AC1489" s="77" t="s">
        <v>114</v>
      </c>
      <c r="AD1489" s="77" t="s">
        <v>1258</v>
      </c>
      <c r="AE1489" s="77" t="s">
        <v>2705</v>
      </c>
      <c r="AF1489" s="77" t="s">
        <v>2769</v>
      </c>
    </row>
    <row r="1490" spans="1:33" hidden="1" x14ac:dyDescent="0.3">
      <c r="A1490" s="77" t="s">
        <v>2806</v>
      </c>
      <c r="B1490" s="77" t="s">
        <v>2807</v>
      </c>
      <c r="G1490" s="77" t="s">
        <v>2700</v>
      </c>
      <c r="H1490" s="77" t="s">
        <v>77</v>
      </c>
      <c r="I1490" s="77" t="s">
        <v>1521</v>
      </c>
      <c r="J1490" s="77" t="s">
        <v>79</v>
      </c>
      <c r="K1490" s="77" t="s">
        <v>1522</v>
      </c>
      <c r="L1490" s="77" t="s">
        <v>2701</v>
      </c>
      <c r="M1490" s="77" t="s">
        <v>82</v>
      </c>
      <c r="N1490" s="77" t="s">
        <v>83</v>
      </c>
      <c r="Q1490" s="77" t="s">
        <v>188</v>
      </c>
      <c r="T1490" s="77" t="s">
        <v>1666</v>
      </c>
      <c r="U1490" s="77" t="s">
        <v>85</v>
      </c>
      <c r="V1490" s="77" t="s">
        <v>2702</v>
      </c>
      <c r="W1490" s="79">
        <v>46174.550295983798</v>
      </c>
      <c r="X1490" s="77" t="s">
        <v>2703</v>
      </c>
      <c r="Y1490" s="78" t="s">
        <v>88</v>
      </c>
      <c r="AA1490" s="77" t="s">
        <v>2704</v>
      </c>
      <c r="AB1490" s="77" t="s">
        <v>1521</v>
      </c>
      <c r="AC1490" s="77" t="s">
        <v>114</v>
      </c>
      <c r="AD1490" s="77" t="s">
        <v>1258</v>
      </c>
      <c r="AE1490" s="77" t="s">
        <v>2705</v>
      </c>
      <c r="AF1490" s="77" t="s">
        <v>2769</v>
      </c>
    </row>
    <row r="1491" spans="1:33" hidden="1" x14ac:dyDescent="0.3">
      <c r="A1491" s="77" t="s">
        <v>2808</v>
      </c>
      <c r="B1491" s="77" t="s">
        <v>2809</v>
      </c>
      <c r="G1491" s="77" t="s">
        <v>2700</v>
      </c>
      <c r="H1491" s="77" t="s">
        <v>77</v>
      </c>
      <c r="I1491" s="77" t="s">
        <v>1521</v>
      </c>
      <c r="J1491" s="77" t="s">
        <v>79</v>
      </c>
      <c r="K1491" s="77" t="s">
        <v>1522</v>
      </c>
      <c r="L1491" s="77" t="s">
        <v>2701</v>
      </c>
      <c r="M1491" s="77" t="s">
        <v>82</v>
      </c>
      <c r="N1491" s="77" t="s">
        <v>83</v>
      </c>
      <c r="Q1491" s="77" t="s">
        <v>188</v>
      </c>
      <c r="T1491" s="77" t="s">
        <v>1666</v>
      </c>
      <c r="U1491" s="77" t="s">
        <v>85</v>
      </c>
      <c r="V1491" s="77" t="s">
        <v>2702</v>
      </c>
      <c r="W1491" s="79">
        <v>46174.549847071758</v>
      </c>
      <c r="X1491" s="77" t="s">
        <v>2703</v>
      </c>
      <c r="Y1491" s="78" t="s">
        <v>88</v>
      </c>
      <c r="AA1491" s="77" t="s">
        <v>2704</v>
      </c>
      <c r="AB1491" s="77" t="s">
        <v>1521</v>
      </c>
      <c r="AC1491" s="77" t="s">
        <v>114</v>
      </c>
      <c r="AD1491" s="77" t="s">
        <v>1258</v>
      </c>
      <c r="AE1491" s="77" t="s">
        <v>2705</v>
      </c>
      <c r="AF1491" s="77" t="s">
        <v>2769</v>
      </c>
    </row>
    <row r="1492" spans="1:33" hidden="1" x14ac:dyDescent="0.3">
      <c r="A1492" s="77" t="s">
        <v>2810</v>
      </c>
      <c r="B1492" s="77" t="s">
        <v>2811</v>
      </c>
      <c r="G1492" s="77" t="s">
        <v>2700</v>
      </c>
      <c r="H1492" s="77" t="s">
        <v>77</v>
      </c>
      <c r="I1492" s="77" t="s">
        <v>1521</v>
      </c>
      <c r="J1492" s="77" t="s">
        <v>79</v>
      </c>
      <c r="K1492" s="77" t="s">
        <v>1522</v>
      </c>
      <c r="L1492" s="77" t="s">
        <v>2701</v>
      </c>
      <c r="M1492" s="77" t="s">
        <v>82</v>
      </c>
      <c r="N1492" s="77" t="s">
        <v>83</v>
      </c>
      <c r="Q1492" s="77" t="s">
        <v>188</v>
      </c>
      <c r="T1492" s="77" t="s">
        <v>1666</v>
      </c>
      <c r="U1492" s="77" t="s">
        <v>85</v>
      </c>
      <c r="V1492" s="77" t="s">
        <v>2702</v>
      </c>
      <c r="W1492" s="79">
        <v>46185.338261608798</v>
      </c>
      <c r="X1492" s="77" t="s">
        <v>2703</v>
      </c>
      <c r="Y1492" s="78" t="s">
        <v>88</v>
      </c>
      <c r="AA1492" s="77" t="s">
        <v>2704</v>
      </c>
      <c r="AB1492" s="77" t="s">
        <v>1521</v>
      </c>
      <c r="AC1492" s="77" t="s">
        <v>114</v>
      </c>
      <c r="AD1492" s="77" t="s">
        <v>1258</v>
      </c>
      <c r="AE1492" s="77" t="s">
        <v>2705</v>
      </c>
      <c r="AF1492" s="77" t="s">
        <v>2706</v>
      </c>
    </row>
    <row r="1493" spans="1:33" hidden="1" x14ac:dyDescent="0.3">
      <c r="A1493" s="77" t="s">
        <v>2812</v>
      </c>
      <c r="B1493" s="77" t="s">
        <v>2813</v>
      </c>
      <c r="G1493" s="77" t="s">
        <v>2700</v>
      </c>
      <c r="H1493" s="77" t="s">
        <v>77</v>
      </c>
      <c r="I1493" s="77" t="s">
        <v>1521</v>
      </c>
      <c r="J1493" s="77" t="s">
        <v>79</v>
      </c>
      <c r="K1493" s="77" t="s">
        <v>1522</v>
      </c>
      <c r="L1493" s="77" t="s">
        <v>2701</v>
      </c>
      <c r="M1493" s="77" t="s">
        <v>82</v>
      </c>
      <c r="N1493" s="77" t="s">
        <v>83</v>
      </c>
      <c r="Q1493" s="77" t="s">
        <v>188</v>
      </c>
      <c r="T1493" s="77" t="s">
        <v>1666</v>
      </c>
      <c r="U1493" s="77" t="s">
        <v>85</v>
      </c>
      <c r="V1493" s="77" t="s">
        <v>2702</v>
      </c>
      <c r="W1493" s="79">
        <v>46174.548848923609</v>
      </c>
      <c r="X1493" s="77" t="s">
        <v>2703</v>
      </c>
      <c r="Y1493" s="78" t="s">
        <v>88</v>
      </c>
      <c r="AA1493" s="77" t="s">
        <v>2704</v>
      </c>
      <c r="AB1493" s="77" t="s">
        <v>1521</v>
      </c>
      <c r="AC1493" s="77" t="s">
        <v>114</v>
      </c>
      <c r="AD1493" s="77" t="s">
        <v>1258</v>
      </c>
      <c r="AE1493" s="77" t="s">
        <v>2705</v>
      </c>
      <c r="AF1493" s="77" t="s">
        <v>2769</v>
      </c>
    </row>
    <row r="1494" spans="1:33" hidden="1" x14ac:dyDescent="0.3">
      <c r="A1494" s="77" t="s">
        <v>2814</v>
      </c>
      <c r="B1494" s="77" t="s">
        <v>2815</v>
      </c>
      <c r="G1494" s="77" t="s">
        <v>2700</v>
      </c>
      <c r="H1494" s="77" t="s">
        <v>77</v>
      </c>
      <c r="I1494" s="77" t="s">
        <v>1521</v>
      </c>
      <c r="J1494" s="77" t="s">
        <v>79</v>
      </c>
      <c r="K1494" s="77" t="s">
        <v>1522</v>
      </c>
      <c r="L1494" s="77" t="s">
        <v>2701</v>
      </c>
      <c r="M1494" s="77" t="s">
        <v>82</v>
      </c>
      <c r="N1494" s="77" t="s">
        <v>83</v>
      </c>
      <c r="Q1494" s="77" t="s">
        <v>188</v>
      </c>
      <c r="T1494" s="77" t="s">
        <v>1666</v>
      </c>
      <c r="U1494" s="77" t="s">
        <v>85</v>
      </c>
      <c r="V1494" s="77" t="s">
        <v>2702</v>
      </c>
      <c r="W1494" s="79">
        <v>46185.338591319443</v>
      </c>
      <c r="X1494" s="77" t="s">
        <v>2703</v>
      </c>
      <c r="Y1494" s="78" t="s">
        <v>88</v>
      </c>
      <c r="AA1494" s="77" t="s">
        <v>2704</v>
      </c>
      <c r="AB1494" s="77" t="s">
        <v>1521</v>
      </c>
      <c r="AC1494" s="77" t="s">
        <v>114</v>
      </c>
      <c r="AD1494" s="77" t="s">
        <v>1258</v>
      </c>
      <c r="AE1494" s="77" t="s">
        <v>2705</v>
      </c>
      <c r="AF1494" s="77" t="s">
        <v>2706</v>
      </c>
    </row>
    <row r="1495" spans="1:33" hidden="1" x14ac:dyDescent="0.3">
      <c r="A1495" s="77" t="s">
        <v>2816</v>
      </c>
      <c r="B1495" s="77" t="s">
        <v>2817</v>
      </c>
      <c r="G1495" s="77" t="s">
        <v>2700</v>
      </c>
      <c r="H1495" s="77" t="s">
        <v>77</v>
      </c>
      <c r="I1495" s="77" t="s">
        <v>1521</v>
      </c>
      <c r="J1495" s="77" t="s">
        <v>79</v>
      </c>
      <c r="K1495" s="77" t="s">
        <v>1522</v>
      </c>
      <c r="L1495" s="77" t="s">
        <v>2701</v>
      </c>
      <c r="M1495" s="77" t="s">
        <v>82</v>
      </c>
      <c r="N1495" s="77" t="s">
        <v>83</v>
      </c>
      <c r="Q1495" s="77" t="s">
        <v>188</v>
      </c>
      <c r="T1495" s="77" t="s">
        <v>1666</v>
      </c>
      <c r="U1495" s="77" t="s">
        <v>85</v>
      </c>
      <c r="V1495" s="77" t="s">
        <v>2702</v>
      </c>
      <c r="W1495" s="79">
        <v>46185.338970370372</v>
      </c>
      <c r="X1495" s="77" t="s">
        <v>2703</v>
      </c>
      <c r="Y1495" s="78" t="s">
        <v>88</v>
      </c>
      <c r="AA1495" s="77" t="s">
        <v>2704</v>
      </c>
      <c r="AB1495" s="77" t="s">
        <v>1521</v>
      </c>
      <c r="AC1495" s="77" t="s">
        <v>114</v>
      </c>
      <c r="AD1495" s="77" t="s">
        <v>1258</v>
      </c>
      <c r="AE1495" s="77" t="s">
        <v>2705</v>
      </c>
      <c r="AF1495" s="77" t="s">
        <v>2706</v>
      </c>
    </row>
    <row r="1496" spans="1:33" hidden="1" x14ac:dyDescent="0.3">
      <c r="A1496" s="77" t="s">
        <v>2818</v>
      </c>
      <c r="B1496" s="77" t="s">
        <v>2819</v>
      </c>
      <c r="G1496" s="77" t="s">
        <v>2700</v>
      </c>
      <c r="H1496" s="77" t="s">
        <v>77</v>
      </c>
      <c r="I1496" s="77" t="s">
        <v>1521</v>
      </c>
      <c r="J1496" s="77" t="s">
        <v>79</v>
      </c>
      <c r="K1496" s="77" t="s">
        <v>1522</v>
      </c>
      <c r="L1496" s="77" t="s">
        <v>2701</v>
      </c>
      <c r="M1496" s="77" t="s">
        <v>82</v>
      </c>
      <c r="N1496" s="77" t="s">
        <v>83</v>
      </c>
      <c r="Q1496" s="77" t="s">
        <v>188</v>
      </c>
      <c r="T1496" s="77" t="s">
        <v>1666</v>
      </c>
      <c r="U1496" s="77" t="s">
        <v>85</v>
      </c>
      <c r="V1496" s="77" t="s">
        <v>2702</v>
      </c>
      <c r="W1496" s="79">
        <v>46192.211569479165</v>
      </c>
      <c r="X1496" s="77" t="s">
        <v>2703</v>
      </c>
      <c r="Y1496" s="78" t="s">
        <v>88</v>
      </c>
      <c r="AA1496" s="77" t="s">
        <v>2704</v>
      </c>
      <c r="AB1496" s="77" t="s">
        <v>1521</v>
      </c>
      <c r="AC1496" s="77" t="s">
        <v>114</v>
      </c>
      <c r="AD1496" s="77" t="s">
        <v>1258</v>
      </c>
      <c r="AE1496" s="77" t="s">
        <v>2705</v>
      </c>
      <c r="AF1496" s="77" t="s">
        <v>2706</v>
      </c>
    </row>
    <row r="1497" spans="1:33" hidden="1" x14ac:dyDescent="0.3">
      <c r="A1497" s="77" t="s">
        <v>2820</v>
      </c>
      <c r="B1497" s="77" t="s">
        <v>2821</v>
      </c>
      <c r="G1497" s="77" t="s">
        <v>2700</v>
      </c>
      <c r="H1497" s="77" t="s">
        <v>77</v>
      </c>
      <c r="I1497" s="77" t="s">
        <v>1521</v>
      </c>
      <c r="J1497" s="77" t="s">
        <v>79</v>
      </c>
      <c r="K1497" s="77" t="s">
        <v>1522</v>
      </c>
      <c r="L1497" s="77" t="s">
        <v>2701</v>
      </c>
      <c r="M1497" s="77" t="s">
        <v>82</v>
      </c>
      <c r="N1497" s="77" t="s">
        <v>83</v>
      </c>
      <c r="Q1497" s="77" t="s">
        <v>188</v>
      </c>
      <c r="T1497" s="77" t="s">
        <v>1666</v>
      </c>
      <c r="U1497" s="77" t="s">
        <v>85</v>
      </c>
      <c r="V1497" s="77" t="s">
        <v>2702</v>
      </c>
      <c r="W1497" s="79">
        <v>46174.548153506941</v>
      </c>
      <c r="X1497" s="77" t="s">
        <v>2703</v>
      </c>
      <c r="Y1497" s="78" t="s">
        <v>88</v>
      </c>
      <c r="AA1497" s="77" t="s">
        <v>2704</v>
      </c>
      <c r="AB1497" s="77" t="s">
        <v>1521</v>
      </c>
      <c r="AC1497" s="77" t="s">
        <v>114</v>
      </c>
      <c r="AD1497" s="77" t="s">
        <v>1258</v>
      </c>
      <c r="AE1497" s="77" t="s">
        <v>2705</v>
      </c>
      <c r="AF1497" s="77" t="s">
        <v>2769</v>
      </c>
    </row>
    <row r="1498" spans="1:33" hidden="1" x14ac:dyDescent="0.3">
      <c r="A1498" s="77" t="s">
        <v>2822</v>
      </c>
      <c r="B1498" s="77" t="s">
        <v>2823</v>
      </c>
      <c r="G1498" s="77" t="s">
        <v>2700</v>
      </c>
      <c r="H1498" s="77" t="s">
        <v>77</v>
      </c>
      <c r="I1498" s="77" t="s">
        <v>1521</v>
      </c>
      <c r="J1498" s="77" t="s">
        <v>79</v>
      </c>
      <c r="K1498" s="77" t="s">
        <v>1522</v>
      </c>
      <c r="L1498" s="77" t="s">
        <v>2701</v>
      </c>
      <c r="M1498" s="77" t="s">
        <v>82</v>
      </c>
      <c r="N1498" s="77" t="s">
        <v>83</v>
      </c>
      <c r="Q1498" s="77" t="s">
        <v>188</v>
      </c>
      <c r="T1498" s="77" t="s">
        <v>1666</v>
      </c>
      <c r="U1498" s="77" t="s">
        <v>85</v>
      </c>
      <c r="V1498" s="77" t="s">
        <v>2702</v>
      </c>
      <c r="W1498" s="79">
        <v>46185.339347650464</v>
      </c>
      <c r="X1498" s="77" t="s">
        <v>2703</v>
      </c>
      <c r="Y1498" s="78" t="s">
        <v>88</v>
      </c>
      <c r="AA1498" s="77" t="s">
        <v>2704</v>
      </c>
      <c r="AB1498" s="77" t="s">
        <v>1521</v>
      </c>
      <c r="AC1498" s="77" t="s">
        <v>114</v>
      </c>
      <c r="AD1498" s="77" t="s">
        <v>1258</v>
      </c>
      <c r="AE1498" s="77" t="s">
        <v>2705</v>
      </c>
      <c r="AF1498" s="77" t="s">
        <v>2706</v>
      </c>
    </row>
    <row r="1499" spans="1:33" hidden="1" x14ac:dyDescent="0.3">
      <c r="A1499" s="77" t="s">
        <v>2824</v>
      </c>
      <c r="B1499" s="77" t="s">
        <v>2825</v>
      </c>
      <c r="G1499" s="77" t="s">
        <v>2700</v>
      </c>
      <c r="H1499" s="77" t="s">
        <v>77</v>
      </c>
      <c r="I1499" s="77" t="s">
        <v>1521</v>
      </c>
      <c r="J1499" s="77" t="s">
        <v>79</v>
      </c>
      <c r="K1499" s="77" t="s">
        <v>1522</v>
      </c>
      <c r="L1499" s="77" t="s">
        <v>2701</v>
      </c>
      <c r="M1499" s="77" t="s">
        <v>82</v>
      </c>
      <c r="N1499" s="77" t="s">
        <v>83</v>
      </c>
      <c r="Q1499" s="77" t="s">
        <v>188</v>
      </c>
      <c r="T1499" s="77" t="s">
        <v>1666</v>
      </c>
      <c r="U1499" s="77" t="s">
        <v>85</v>
      </c>
      <c r="V1499" s="77" t="s">
        <v>2702</v>
      </c>
      <c r="W1499" s="79">
        <v>46185.33970459491</v>
      </c>
      <c r="X1499" s="77" t="s">
        <v>2703</v>
      </c>
      <c r="Y1499" s="78" t="s">
        <v>88</v>
      </c>
      <c r="AA1499" s="77" t="s">
        <v>2704</v>
      </c>
      <c r="AB1499" s="77" t="s">
        <v>1521</v>
      </c>
      <c r="AC1499" s="77" t="s">
        <v>114</v>
      </c>
      <c r="AD1499" s="77" t="s">
        <v>1258</v>
      </c>
      <c r="AE1499" s="77" t="s">
        <v>2705</v>
      </c>
      <c r="AF1499" s="77" t="s">
        <v>2706</v>
      </c>
    </row>
    <row r="1500" spans="1:33" hidden="1" x14ac:dyDescent="0.3">
      <c r="A1500" s="77" t="s">
        <v>2826</v>
      </c>
      <c r="B1500" s="77" t="s">
        <v>2827</v>
      </c>
      <c r="G1500" s="77" t="s">
        <v>2700</v>
      </c>
      <c r="H1500" s="77" t="s">
        <v>77</v>
      </c>
      <c r="I1500" s="77" t="s">
        <v>1521</v>
      </c>
      <c r="J1500" s="77" t="s">
        <v>79</v>
      </c>
      <c r="K1500" s="77" t="s">
        <v>1522</v>
      </c>
      <c r="L1500" s="77" t="s">
        <v>2701</v>
      </c>
      <c r="M1500" s="77" t="s">
        <v>82</v>
      </c>
      <c r="N1500" s="77" t="s">
        <v>83</v>
      </c>
      <c r="Q1500" s="77" t="s">
        <v>188</v>
      </c>
      <c r="T1500" s="77" t="s">
        <v>1666</v>
      </c>
      <c r="U1500" s="77" t="s">
        <v>85</v>
      </c>
      <c r="V1500" s="77" t="s">
        <v>2702</v>
      </c>
      <c r="W1500" s="79">
        <v>46192.211956562503</v>
      </c>
      <c r="X1500" s="77" t="s">
        <v>2703</v>
      </c>
      <c r="Y1500" s="78" t="s">
        <v>88</v>
      </c>
      <c r="AA1500" s="77" t="s">
        <v>2704</v>
      </c>
      <c r="AB1500" s="77" t="s">
        <v>1521</v>
      </c>
      <c r="AC1500" s="77" t="s">
        <v>114</v>
      </c>
      <c r="AD1500" s="77" t="s">
        <v>1258</v>
      </c>
      <c r="AE1500" s="77" t="s">
        <v>2705</v>
      </c>
      <c r="AF1500" s="77" t="s">
        <v>2706</v>
      </c>
    </row>
    <row r="1501" spans="1:33" hidden="1" x14ac:dyDescent="0.3">
      <c r="A1501" s="77" t="s">
        <v>2828</v>
      </c>
      <c r="B1501" s="77" t="s">
        <v>2829</v>
      </c>
      <c r="G1501" s="77" t="s">
        <v>2700</v>
      </c>
      <c r="H1501" s="77" t="s">
        <v>77</v>
      </c>
      <c r="I1501" s="77" t="s">
        <v>1521</v>
      </c>
      <c r="J1501" s="77" t="s">
        <v>79</v>
      </c>
      <c r="K1501" s="77" t="s">
        <v>1522</v>
      </c>
      <c r="L1501" s="77" t="s">
        <v>2701</v>
      </c>
      <c r="M1501" s="77" t="s">
        <v>82</v>
      </c>
      <c r="N1501" s="77" t="s">
        <v>83</v>
      </c>
      <c r="Q1501" s="77" t="s">
        <v>188</v>
      </c>
      <c r="T1501" s="77" t="s">
        <v>1666</v>
      </c>
      <c r="U1501" s="77" t="s">
        <v>85</v>
      </c>
      <c r="V1501" s="77" t="s">
        <v>2702</v>
      </c>
      <c r="W1501" s="79">
        <v>46174.557526770834</v>
      </c>
      <c r="X1501" s="77" t="s">
        <v>2703</v>
      </c>
      <c r="Y1501" s="78" t="s">
        <v>88</v>
      </c>
      <c r="AA1501" s="77" t="s">
        <v>2704</v>
      </c>
      <c r="AB1501" s="77" t="s">
        <v>1521</v>
      </c>
      <c r="AC1501" s="77" t="s">
        <v>114</v>
      </c>
      <c r="AD1501" s="77" t="s">
        <v>1258</v>
      </c>
      <c r="AE1501" s="77" t="s">
        <v>2705</v>
      </c>
      <c r="AF1501" s="77" t="s">
        <v>2769</v>
      </c>
    </row>
    <row r="1502" spans="1:33" hidden="1" x14ac:dyDescent="0.3">
      <c r="A1502" s="77" t="s">
        <v>2830</v>
      </c>
      <c r="B1502" s="77" t="s">
        <v>2831</v>
      </c>
      <c r="G1502" s="77" t="s">
        <v>2700</v>
      </c>
      <c r="H1502" s="77" t="s">
        <v>77</v>
      </c>
      <c r="I1502" s="77" t="s">
        <v>1521</v>
      </c>
      <c r="J1502" s="77" t="s">
        <v>79</v>
      </c>
      <c r="K1502" s="77" t="s">
        <v>1522</v>
      </c>
      <c r="L1502" s="77" t="s">
        <v>2701</v>
      </c>
      <c r="M1502" s="77" t="s">
        <v>82</v>
      </c>
      <c r="N1502" s="77" t="s">
        <v>83</v>
      </c>
      <c r="Q1502" s="77" t="s">
        <v>188</v>
      </c>
      <c r="T1502" s="77" t="s">
        <v>1666</v>
      </c>
      <c r="U1502" s="77" t="s">
        <v>85</v>
      </c>
      <c r="V1502" s="77" t="s">
        <v>2702</v>
      </c>
      <c r="W1502" s="79">
        <v>46185.340118900465</v>
      </c>
      <c r="X1502" s="77" t="s">
        <v>2703</v>
      </c>
      <c r="Y1502" s="78" t="s">
        <v>88</v>
      </c>
      <c r="AA1502" s="77" t="s">
        <v>2704</v>
      </c>
      <c r="AB1502" s="77" t="s">
        <v>1521</v>
      </c>
      <c r="AC1502" s="77" t="s">
        <v>114</v>
      </c>
      <c r="AD1502" s="77" t="s">
        <v>1258</v>
      </c>
      <c r="AE1502" s="77" t="s">
        <v>2705</v>
      </c>
      <c r="AF1502" s="77" t="s">
        <v>2706</v>
      </c>
    </row>
    <row r="1503" spans="1:33" hidden="1" x14ac:dyDescent="0.3">
      <c r="A1503" s="77" t="s">
        <v>2832</v>
      </c>
      <c r="B1503" s="77" t="s">
        <v>2833</v>
      </c>
      <c r="G1503" s="77" t="s">
        <v>2700</v>
      </c>
      <c r="H1503" s="77" t="s">
        <v>77</v>
      </c>
      <c r="I1503" s="77" t="s">
        <v>1521</v>
      </c>
      <c r="J1503" s="77" t="s">
        <v>79</v>
      </c>
      <c r="K1503" s="77" t="s">
        <v>1522</v>
      </c>
      <c r="L1503" s="77" t="s">
        <v>2701</v>
      </c>
      <c r="M1503" s="77" t="s">
        <v>82</v>
      </c>
      <c r="N1503" s="77" t="s">
        <v>83</v>
      </c>
      <c r="Q1503" s="77" t="s">
        <v>188</v>
      </c>
      <c r="T1503" s="77" t="s">
        <v>1666</v>
      </c>
      <c r="U1503" s="77" t="s">
        <v>85</v>
      </c>
      <c r="V1503" s="77" t="s">
        <v>2702</v>
      </c>
      <c r="W1503" s="79">
        <v>46177.74213283565</v>
      </c>
      <c r="X1503" s="77" t="s">
        <v>2703</v>
      </c>
      <c r="Y1503" s="78" t="s">
        <v>88</v>
      </c>
      <c r="AA1503" s="77" t="s">
        <v>2704</v>
      </c>
      <c r="AB1503" s="77" t="s">
        <v>1521</v>
      </c>
      <c r="AC1503" s="77" t="s">
        <v>114</v>
      </c>
      <c r="AD1503" s="77" t="s">
        <v>1258</v>
      </c>
      <c r="AE1503" s="77" t="s">
        <v>2705</v>
      </c>
      <c r="AF1503" s="77" t="s">
        <v>2706</v>
      </c>
    </row>
    <row r="1504" spans="1:33" x14ac:dyDescent="0.3">
      <c r="A1504" s="77" t="s">
        <v>2834</v>
      </c>
      <c r="B1504" s="77" t="s">
        <v>2835</v>
      </c>
      <c r="G1504" s="77" t="s">
        <v>2836</v>
      </c>
      <c r="H1504" s="77" t="s">
        <v>77</v>
      </c>
      <c r="I1504" s="77" t="s">
        <v>1521</v>
      </c>
      <c r="J1504" s="77" t="s">
        <v>79</v>
      </c>
      <c r="K1504" s="77" t="s">
        <v>1522</v>
      </c>
      <c r="L1504" s="77" t="s">
        <v>2837</v>
      </c>
      <c r="M1504" s="77" t="s">
        <v>82</v>
      </c>
      <c r="N1504" s="77" t="s">
        <v>83</v>
      </c>
      <c r="Q1504" s="77" t="s">
        <v>188</v>
      </c>
      <c r="T1504" s="77" t="s">
        <v>1530</v>
      </c>
      <c r="U1504" s="77" t="s">
        <v>85</v>
      </c>
      <c r="V1504" s="80" t="s">
        <v>325</v>
      </c>
      <c r="X1504" s="77" t="s">
        <v>326</v>
      </c>
      <c r="Y1504" s="78" t="s">
        <v>101</v>
      </c>
      <c r="AA1504" s="77" t="s">
        <v>2838</v>
      </c>
      <c r="AB1504" s="77" t="s">
        <v>1521</v>
      </c>
      <c r="AC1504" s="77" t="s">
        <v>90</v>
      </c>
      <c r="AD1504" s="77" t="s">
        <v>327</v>
      </c>
      <c r="AE1504" s="77" t="s">
        <v>2839</v>
      </c>
      <c r="AG1504" s="77" t="s">
        <v>1530</v>
      </c>
    </row>
    <row r="1505" spans="1:33" x14ac:dyDescent="0.3">
      <c r="A1505" s="77" t="s">
        <v>2834</v>
      </c>
      <c r="B1505" s="77" t="s">
        <v>2835</v>
      </c>
      <c r="G1505" s="77" t="s">
        <v>2836</v>
      </c>
      <c r="H1505" s="77" t="s">
        <v>77</v>
      </c>
      <c r="I1505" s="77" t="s">
        <v>1521</v>
      </c>
      <c r="J1505" s="77" t="s">
        <v>79</v>
      </c>
      <c r="K1505" s="77" t="s">
        <v>1522</v>
      </c>
      <c r="L1505" s="77" t="s">
        <v>2837</v>
      </c>
      <c r="M1505" s="77" t="s">
        <v>82</v>
      </c>
      <c r="N1505" s="77" t="s">
        <v>83</v>
      </c>
      <c r="Q1505" s="77" t="s">
        <v>188</v>
      </c>
      <c r="T1505" s="77" t="s">
        <v>1530</v>
      </c>
      <c r="U1505" s="77" t="s">
        <v>85</v>
      </c>
      <c r="V1505" s="80" t="s">
        <v>325</v>
      </c>
      <c r="X1505" s="77" t="s">
        <v>326</v>
      </c>
      <c r="Y1505" s="78" t="s">
        <v>101</v>
      </c>
      <c r="AA1505" s="77" t="s">
        <v>2838</v>
      </c>
      <c r="AB1505" s="77" t="s">
        <v>1521</v>
      </c>
      <c r="AC1505" s="77" t="s">
        <v>90</v>
      </c>
      <c r="AD1505" s="77" t="s">
        <v>327</v>
      </c>
      <c r="AE1505" s="77" t="s">
        <v>2839</v>
      </c>
      <c r="AG1505" s="77" t="s">
        <v>1533</v>
      </c>
    </row>
    <row r="1506" spans="1:33" x14ac:dyDescent="0.3">
      <c r="A1506" s="77" t="s">
        <v>2840</v>
      </c>
      <c r="B1506" s="77" t="s">
        <v>2841</v>
      </c>
      <c r="G1506" s="77" t="s">
        <v>2836</v>
      </c>
      <c r="H1506" s="77" t="s">
        <v>77</v>
      </c>
      <c r="I1506" s="77" t="s">
        <v>1521</v>
      </c>
      <c r="J1506" s="77" t="s">
        <v>79</v>
      </c>
      <c r="K1506" s="77" t="s">
        <v>1522</v>
      </c>
      <c r="L1506" s="77" t="s">
        <v>2837</v>
      </c>
      <c r="M1506" s="77" t="s">
        <v>82</v>
      </c>
      <c r="N1506" s="77" t="s">
        <v>83</v>
      </c>
      <c r="Q1506" s="77" t="s">
        <v>188</v>
      </c>
      <c r="T1506" s="77" t="s">
        <v>1530</v>
      </c>
      <c r="U1506" s="77" t="s">
        <v>85</v>
      </c>
      <c r="V1506" s="80" t="s">
        <v>325</v>
      </c>
      <c r="X1506" s="77" t="s">
        <v>326</v>
      </c>
      <c r="Y1506" s="78" t="s">
        <v>101</v>
      </c>
      <c r="AA1506" s="77" t="s">
        <v>2838</v>
      </c>
      <c r="AB1506" s="77" t="s">
        <v>1521</v>
      </c>
      <c r="AC1506" s="77" t="s">
        <v>90</v>
      </c>
      <c r="AD1506" s="77" t="s">
        <v>327</v>
      </c>
      <c r="AE1506" s="77" t="s">
        <v>2839</v>
      </c>
      <c r="AG1506" s="77" t="s">
        <v>1530</v>
      </c>
    </row>
    <row r="1507" spans="1:33" x14ac:dyDescent="0.3">
      <c r="A1507" s="77" t="s">
        <v>2840</v>
      </c>
      <c r="B1507" s="77" t="s">
        <v>2841</v>
      </c>
      <c r="G1507" s="77" t="s">
        <v>2836</v>
      </c>
      <c r="H1507" s="77" t="s">
        <v>77</v>
      </c>
      <c r="I1507" s="77" t="s">
        <v>1521</v>
      </c>
      <c r="J1507" s="77" t="s">
        <v>79</v>
      </c>
      <c r="K1507" s="77" t="s">
        <v>1522</v>
      </c>
      <c r="L1507" s="77" t="s">
        <v>2837</v>
      </c>
      <c r="M1507" s="77" t="s">
        <v>82</v>
      </c>
      <c r="N1507" s="77" t="s">
        <v>83</v>
      </c>
      <c r="Q1507" s="77" t="s">
        <v>188</v>
      </c>
      <c r="T1507" s="77" t="s">
        <v>1530</v>
      </c>
      <c r="U1507" s="77" t="s">
        <v>85</v>
      </c>
      <c r="V1507" s="80" t="s">
        <v>325</v>
      </c>
      <c r="X1507" s="77" t="s">
        <v>326</v>
      </c>
      <c r="Y1507" s="78" t="s">
        <v>101</v>
      </c>
      <c r="AA1507" s="77" t="s">
        <v>2838</v>
      </c>
      <c r="AB1507" s="77" t="s">
        <v>1521</v>
      </c>
      <c r="AC1507" s="77" t="s">
        <v>90</v>
      </c>
      <c r="AD1507" s="77" t="s">
        <v>327</v>
      </c>
      <c r="AE1507" s="77" t="s">
        <v>2839</v>
      </c>
      <c r="AG1507" s="77" t="s">
        <v>1533</v>
      </c>
    </row>
    <row r="1508" spans="1:33" x14ac:dyDescent="0.3">
      <c r="A1508" s="77" t="s">
        <v>2842</v>
      </c>
      <c r="B1508" s="77" t="s">
        <v>2843</v>
      </c>
      <c r="G1508" s="77" t="s">
        <v>2836</v>
      </c>
      <c r="H1508" s="77" t="s">
        <v>77</v>
      </c>
      <c r="I1508" s="77" t="s">
        <v>1521</v>
      </c>
      <c r="J1508" s="77" t="s">
        <v>79</v>
      </c>
      <c r="K1508" s="77" t="s">
        <v>1522</v>
      </c>
      <c r="L1508" s="77" t="s">
        <v>2837</v>
      </c>
      <c r="M1508" s="77" t="s">
        <v>82</v>
      </c>
      <c r="N1508" s="77" t="s">
        <v>83</v>
      </c>
      <c r="Q1508" s="77" t="s">
        <v>188</v>
      </c>
      <c r="T1508" s="77" t="s">
        <v>1530</v>
      </c>
      <c r="U1508" s="77" t="s">
        <v>85</v>
      </c>
      <c r="V1508" s="80" t="s">
        <v>325</v>
      </c>
      <c r="X1508" s="77" t="s">
        <v>326</v>
      </c>
      <c r="Y1508" s="78" t="s">
        <v>101</v>
      </c>
      <c r="AA1508" s="77" t="s">
        <v>2838</v>
      </c>
      <c r="AB1508" s="77" t="s">
        <v>1521</v>
      </c>
      <c r="AC1508" s="77" t="s">
        <v>90</v>
      </c>
      <c r="AD1508" s="77" t="s">
        <v>327</v>
      </c>
      <c r="AE1508" s="77" t="s">
        <v>2839</v>
      </c>
      <c r="AG1508" s="77" t="s">
        <v>1530</v>
      </c>
    </row>
    <row r="1509" spans="1:33" x14ac:dyDescent="0.3">
      <c r="A1509" s="77" t="s">
        <v>2842</v>
      </c>
      <c r="B1509" s="77" t="s">
        <v>2843</v>
      </c>
      <c r="G1509" s="77" t="s">
        <v>2836</v>
      </c>
      <c r="H1509" s="77" t="s">
        <v>77</v>
      </c>
      <c r="I1509" s="77" t="s">
        <v>1521</v>
      </c>
      <c r="J1509" s="77" t="s">
        <v>79</v>
      </c>
      <c r="K1509" s="77" t="s">
        <v>1522</v>
      </c>
      <c r="L1509" s="77" t="s">
        <v>2837</v>
      </c>
      <c r="M1509" s="77" t="s">
        <v>82</v>
      </c>
      <c r="N1509" s="77" t="s">
        <v>83</v>
      </c>
      <c r="Q1509" s="77" t="s">
        <v>188</v>
      </c>
      <c r="T1509" s="77" t="s">
        <v>1530</v>
      </c>
      <c r="U1509" s="77" t="s">
        <v>85</v>
      </c>
      <c r="V1509" s="80" t="s">
        <v>325</v>
      </c>
      <c r="X1509" s="77" t="s">
        <v>326</v>
      </c>
      <c r="Y1509" s="78" t="s">
        <v>101</v>
      </c>
      <c r="AA1509" s="77" t="s">
        <v>2838</v>
      </c>
      <c r="AB1509" s="77" t="s">
        <v>1521</v>
      </c>
      <c r="AC1509" s="77" t="s">
        <v>90</v>
      </c>
      <c r="AD1509" s="77" t="s">
        <v>327</v>
      </c>
      <c r="AE1509" s="77" t="s">
        <v>2839</v>
      </c>
      <c r="AG1509" s="77" t="s">
        <v>1533</v>
      </c>
    </row>
    <row r="1510" spans="1:33" x14ac:dyDescent="0.3">
      <c r="A1510" s="77" t="s">
        <v>2844</v>
      </c>
      <c r="B1510" s="77" t="s">
        <v>2845</v>
      </c>
      <c r="G1510" s="77" t="s">
        <v>2836</v>
      </c>
      <c r="H1510" s="77" t="s">
        <v>77</v>
      </c>
      <c r="I1510" s="77" t="s">
        <v>1521</v>
      </c>
      <c r="J1510" s="77" t="s">
        <v>79</v>
      </c>
      <c r="K1510" s="77" t="s">
        <v>1522</v>
      </c>
      <c r="L1510" s="77" t="s">
        <v>2837</v>
      </c>
      <c r="M1510" s="77" t="s">
        <v>82</v>
      </c>
      <c r="N1510" s="77" t="s">
        <v>83</v>
      </c>
      <c r="Q1510" s="77" t="s">
        <v>188</v>
      </c>
      <c r="T1510" s="77" t="s">
        <v>1530</v>
      </c>
      <c r="U1510" s="77" t="s">
        <v>85</v>
      </c>
      <c r="V1510" s="80" t="s">
        <v>325</v>
      </c>
      <c r="X1510" s="77" t="s">
        <v>326</v>
      </c>
      <c r="Y1510" s="78" t="s">
        <v>101</v>
      </c>
      <c r="AA1510" s="77" t="s">
        <v>2838</v>
      </c>
      <c r="AB1510" s="77" t="s">
        <v>1521</v>
      </c>
      <c r="AC1510" s="77" t="s">
        <v>90</v>
      </c>
      <c r="AD1510" s="77" t="s">
        <v>327</v>
      </c>
      <c r="AE1510" s="77" t="s">
        <v>2839</v>
      </c>
      <c r="AG1510" s="77" t="s">
        <v>1530</v>
      </c>
    </row>
    <row r="1511" spans="1:33" x14ac:dyDescent="0.3">
      <c r="A1511" s="77" t="s">
        <v>2844</v>
      </c>
      <c r="B1511" s="77" t="s">
        <v>2845</v>
      </c>
      <c r="G1511" s="77" t="s">
        <v>2836</v>
      </c>
      <c r="H1511" s="77" t="s">
        <v>77</v>
      </c>
      <c r="I1511" s="77" t="s">
        <v>1521</v>
      </c>
      <c r="J1511" s="77" t="s">
        <v>79</v>
      </c>
      <c r="K1511" s="77" t="s">
        <v>1522</v>
      </c>
      <c r="L1511" s="77" t="s">
        <v>2837</v>
      </c>
      <c r="M1511" s="77" t="s">
        <v>82</v>
      </c>
      <c r="N1511" s="77" t="s">
        <v>83</v>
      </c>
      <c r="Q1511" s="77" t="s">
        <v>188</v>
      </c>
      <c r="T1511" s="77" t="s">
        <v>1530</v>
      </c>
      <c r="U1511" s="77" t="s">
        <v>85</v>
      </c>
      <c r="V1511" s="80" t="s">
        <v>325</v>
      </c>
      <c r="X1511" s="77" t="s">
        <v>326</v>
      </c>
      <c r="Y1511" s="78" t="s">
        <v>101</v>
      </c>
      <c r="AA1511" s="77" t="s">
        <v>2838</v>
      </c>
      <c r="AB1511" s="77" t="s">
        <v>1521</v>
      </c>
      <c r="AC1511" s="77" t="s">
        <v>90</v>
      </c>
      <c r="AD1511" s="77" t="s">
        <v>327</v>
      </c>
      <c r="AE1511" s="77" t="s">
        <v>2839</v>
      </c>
      <c r="AG1511" s="77" t="s">
        <v>1533</v>
      </c>
    </row>
    <row r="1512" spans="1:33" x14ac:dyDescent="0.3">
      <c r="A1512" s="77" t="s">
        <v>2846</v>
      </c>
      <c r="B1512" s="77" t="s">
        <v>2847</v>
      </c>
      <c r="G1512" s="77" t="s">
        <v>2836</v>
      </c>
      <c r="H1512" s="77" t="s">
        <v>77</v>
      </c>
      <c r="I1512" s="77" t="s">
        <v>1521</v>
      </c>
      <c r="J1512" s="77" t="s">
        <v>79</v>
      </c>
      <c r="K1512" s="77" t="s">
        <v>1522</v>
      </c>
      <c r="L1512" s="77" t="s">
        <v>2837</v>
      </c>
      <c r="M1512" s="77" t="s">
        <v>82</v>
      </c>
      <c r="N1512" s="77" t="s">
        <v>83</v>
      </c>
      <c r="Q1512" s="77" t="s">
        <v>188</v>
      </c>
      <c r="T1512" s="77" t="s">
        <v>1530</v>
      </c>
      <c r="U1512" s="77" t="s">
        <v>85</v>
      </c>
      <c r="V1512" s="80" t="s">
        <v>325</v>
      </c>
      <c r="X1512" s="77" t="s">
        <v>326</v>
      </c>
      <c r="Y1512" s="78" t="s">
        <v>101</v>
      </c>
      <c r="AA1512" s="77" t="s">
        <v>2838</v>
      </c>
      <c r="AB1512" s="77" t="s">
        <v>1521</v>
      </c>
      <c r="AC1512" s="77" t="s">
        <v>90</v>
      </c>
      <c r="AD1512" s="77" t="s">
        <v>327</v>
      </c>
      <c r="AE1512" s="77" t="s">
        <v>2839</v>
      </c>
      <c r="AG1512" s="77" t="s">
        <v>1530</v>
      </c>
    </row>
    <row r="1513" spans="1:33" x14ac:dyDescent="0.3">
      <c r="A1513" s="77" t="s">
        <v>2846</v>
      </c>
      <c r="B1513" s="77" t="s">
        <v>2847</v>
      </c>
      <c r="G1513" s="77" t="s">
        <v>2836</v>
      </c>
      <c r="H1513" s="77" t="s">
        <v>77</v>
      </c>
      <c r="I1513" s="77" t="s">
        <v>1521</v>
      </c>
      <c r="J1513" s="77" t="s">
        <v>79</v>
      </c>
      <c r="K1513" s="77" t="s">
        <v>1522</v>
      </c>
      <c r="L1513" s="77" t="s">
        <v>2837</v>
      </c>
      <c r="M1513" s="77" t="s">
        <v>82</v>
      </c>
      <c r="N1513" s="77" t="s">
        <v>83</v>
      </c>
      <c r="Q1513" s="77" t="s">
        <v>188</v>
      </c>
      <c r="T1513" s="77" t="s">
        <v>1530</v>
      </c>
      <c r="U1513" s="77" t="s">
        <v>85</v>
      </c>
      <c r="V1513" s="80" t="s">
        <v>325</v>
      </c>
      <c r="X1513" s="77" t="s">
        <v>326</v>
      </c>
      <c r="Y1513" s="78" t="s">
        <v>101</v>
      </c>
      <c r="AA1513" s="77" t="s">
        <v>2838</v>
      </c>
      <c r="AB1513" s="77" t="s">
        <v>1521</v>
      </c>
      <c r="AC1513" s="77" t="s">
        <v>90</v>
      </c>
      <c r="AD1513" s="77" t="s">
        <v>327</v>
      </c>
      <c r="AE1513" s="77" t="s">
        <v>2839</v>
      </c>
      <c r="AG1513" s="77" t="s">
        <v>1533</v>
      </c>
    </row>
    <row r="1514" spans="1:33" x14ac:dyDescent="0.3">
      <c r="A1514" s="77" t="s">
        <v>2848</v>
      </c>
      <c r="B1514" s="77" t="s">
        <v>2849</v>
      </c>
      <c r="G1514" s="77" t="s">
        <v>2836</v>
      </c>
      <c r="H1514" s="77" t="s">
        <v>77</v>
      </c>
      <c r="I1514" s="77" t="s">
        <v>1521</v>
      </c>
      <c r="J1514" s="77" t="s">
        <v>79</v>
      </c>
      <c r="K1514" s="77" t="s">
        <v>1522</v>
      </c>
      <c r="L1514" s="77" t="s">
        <v>2837</v>
      </c>
      <c r="M1514" s="77" t="s">
        <v>82</v>
      </c>
      <c r="N1514" s="77" t="s">
        <v>83</v>
      </c>
      <c r="Q1514" s="77" t="s">
        <v>188</v>
      </c>
      <c r="T1514" s="77" t="s">
        <v>1530</v>
      </c>
      <c r="U1514" s="77" t="s">
        <v>85</v>
      </c>
      <c r="V1514" s="80" t="s">
        <v>325</v>
      </c>
      <c r="X1514" s="77" t="s">
        <v>326</v>
      </c>
      <c r="Y1514" s="78" t="s">
        <v>101</v>
      </c>
      <c r="AA1514" s="77" t="s">
        <v>2838</v>
      </c>
      <c r="AB1514" s="77" t="s">
        <v>1521</v>
      </c>
      <c r="AC1514" s="77" t="s">
        <v>90</v>
      </c>
      <c r="AD1514" s="77" t="s">
        <v>327</v>
      </c>
      <c r="AE1514" s="77" t="s">
        <v>2839</v>
      </c>
      <c r="AG1514" s="77" t="s">
        <v>1530</v>
      </c>
    </row>
    <row r="1515" spans="1:33" x14ac:dyDescent="0.3">
      <c r="A1515" s="77" t="s">
        <v>2848</v>
      </c>
      <c r="B1515" s="77" t="s">
        <v>2849</v>
      </c>
      <c r="G1515" s="77" t="s">
        <v>2836</v>
      </c>
      <c r="H1515" s="77" t="s">
        <v>77</v>
      </c>
      <c r="I1515" s="77" t="s">
        <v>1521</v>
      </c>
      <c r="J1515" s="77" t="s">
        <v>79</v>
      </c>
      <c r="K1515" s="77" t="s">
        <v>1522</v>
      </c>
      <c r="L1515" s="77" t="s">
        <v>2837</v>
      </c>
      <c r="M1515" s="77" t="s">
        <v>82</v>
      </c>
      <c r="N1515" s="77" t="s">
        <v>83</v>
      </c>
      <c r="Q1515" s="77" t="s">
        <v>188</v>
      </c>
      <c r="T1515" s="77" t="s">
        <v>1530</v>
      </c>
      <c r="U1515" s="77" t="s">
        <v>85</v>
      </c>
      <c r="V1515" s="80" t="s">
        <v>325</v>
      </c>
      <c r="X1515" s="77" t="s">
        <v>326</v>
      </c>
      <c r="Y1515" s="78" t="s">
        <v>101</v>
      </c>
      <c r="AA1515" s="77" t="s">
        <v>2838</v>
      </c>
      <c r="AB1515" s="77" t="s">
        <v>1521</v>
      </c>
      <c r="AC1515" s="77" t="s">
        <v>90</v>
      </c>
      <c r="AD1515" s="77" t="s">
        <v>327</v>
      </c>
      <c r="AE1515" s="77" t="s">
        <v>2839</v>
      </c>
      <c r="AG1515" s="77" t="s">
        <v>1533</v>
      </c>
    </row>
    <row r="1516" spans="1:33" x14ac:dyDescent="0.3">
      <c r="A1516" s="77" t="s">
        <v>2850</v>
      </c>
      <c r="B1516" s="77" t="s">
        <v>2851</v>
      </c>
      <c r="G1516" s="77" t="s">
        <v>2836</v>
      </c>
      <c r="H1516" s="77" t="s">
        <v>77</v>
      </c>
      <c r="I1516" s="77" t="s">
        <v>1521</v>
      </c>
      <c r="J1516" s="77" t="s">
        <v>79</v>
      </c>
      <c r="K1516" s="77" t="s">
        <v>1522</v>
      </c>
      <c r="L1516" s="77" t="s">
        <v>2837</v>
      </c>
      <c r="M1516" s="77" t="s">
        <v>82</v>
      </c>
      <c r="N1516" s="77" t="s">
        <v>83</v>
      </c>
      <c r="Q1516" s="77" t="s">
        <v>188</v>
      </c>
      <c r="T1516" s="77" t="s">
        <v>1530</v>
      </c>
      <c r="U1516" s="77" t="s">
        <v>85</v>
      </c>
      <c r="V1516" s="80" t="s">
        <v>325</v>
      </c>
      <c r="X1516" s="77" t="s">
        <v>326</v>
      </c>
      <c r="Y1516" s="78" t="s">
        <v>101</v>
      </c>
      <c r="AA1516" s="77" t="s">
        <v>2838</v>
      </c>
      <c r="AB1516" s="77" t="s">
        <v>1521</v>
      </c>
      <c r="AC1516" s="77" t="s">
        <v>90</v>
      </c>
      <c r="AD1516" s="77" t="s">
        <v>327</v>
      </c>
      <c r="AE1516" s="77" t="s">
        <v>2839</v>
      </c>
      <c r="AG1516" s="77" t="s">
        <v>1530</v>
      </c>
    </row>
    <row r="1517" spans="1:33" x14ac:dyDescent="0.3">
      <c r="A1517" s="77" t="s">
        <v>2850</v>
      </c>
      <c r="B1517" s="77" t="s">
        <v>2851</v>
      </c>
      <c r="G1517" s="77" t="s">
        <v>2836</v>
      </c>
      <c r="H1517" s="77" t="s">
        <v>77</v>
      </c>
      <c r="I1517" s="77" t="s">
        <v>1521</v>
      </c>
      <c r="J1517" s="77" t="s">
        <v>79</v>
      </c>
      <c r="K1517" s="77" t="s">
        <v>1522</v>
      </c>
      <c r="L1517" s="77" t="s">
        <v>2837</v>
      </c>
      <c r="M1517" s="77" t="s">
        <v>82</v>
      </c>
      <c r="N1517" s="77" t="s">
        <v>83</v>
      </c>
      <c r="Q1517" s="77" t="s">
        <v>188</v>
      </c>
      <c r="T1517" s="77" t="s">
        <v>1530</v>
      </c>
      <c r="U1517" s="77" t="s">
        <v>85</v>
      </c>
      <c r="V1517" s="80" t="s">
        <v>325</v>
      </c>
      <c r="X1517" s="77" t="s">
        <v>326</v>
      </c>
      <c r="Y1517" s="78" t="s">
        <v>101</v>
      </c>
      <c r="AA1517" s="77" t="s">
        <v>2838</v>
      </c>
      <c r="AB1517" s="77" t="s">
        <v>1521</v>
      </c>
      <c r="AC1517" s="77" t="s">
        <v>90</v>
      </c>
      <c r="AD1517" s="77" t="s">
        <v>327</v>
      </c>
      <c r="AE1517" s="77" t="s">
        <v>2839</v>
      </c>
      <c r="AG1517" s="77" t="s">
        <v>1533</v>
      </c>
    </row>
    <row r="1518" spans="1:33" x14ac:dyDescent="0.3">
      <c r="A1518" s="77" t="s">
        <v>2852</v>
      </c>
      <c r="B1518" s="77" t="s">
        <v>2853</v>
      </c>
      <c r="G1518" s="77" t="s">
        <v>2836</v>
      </c>
      <c r="H1518" s="77" t="s">
        <v>77</v>
      </c>
      <c r="I1518" s="77" t="s">
        <v>1521</v>
      </c>
      <c r="J1518" s="77" t="s">
        <v>79</v>
      </c>
      <c r="K1518" s="77" t="s">
        <v>1522</v>
      </c>
      <c r="L1518" s="77" t="s">
        <v>2837</v>
      </c>
      <c r="M1518" s="77" t="s">
        <v>82</v>
      </c>
      <c r="N1518" s="77" t="s">
        <v>83</v>
      </c>
      <c r="Q1518" s="77" t="s">
        <v>188</v>
      </c>
      <c r="T1518" s="77" t="s">
        <v>1530</v>
      </c>
      <c r="U1518" s="77" t="s">
        <v>85</v>
      </c>
      <c r="V1518" s="80" t="s">
        <v>325</v>
      </c>
      <c r="X1518" s="77" t="s">
        <v>326</v>
      </c>
      <c r="Y1518" s="78" t="s">
        <v>101</v>
      </c>
      <c r="AA1518" s="77" t="s">
        <v>2838</v>
      </c>
      <c r="AB1518" s="77" t="s">
        <v>1521</v>
      </c>
      <c r="AC1518" s="77" t="s">
        <v>90</v>
      </c>
      <c r="AD1518" s="77" t="s">
        <v>327</v>
      </c>
      <c r="AE1518" s="77" t="s">
        <v>2839</v>
      </c>
      <c r="AG1518" s="77" t="s">
        <v>1530</v>
      </c>
    </row>
    <row r="1519" spans="1:33" x14ac:dyDescent="0.3">
      <c r="A1519" s="77" t="s">
        <v>2852</v>
      </c>
      <c r="B1519" s="77" t="s">
        <v>2853</v>
      </c>
      <c r="G1519" s="77" t="s">
        <v>2836</v>
      </c>
      <c r="H1519" s="77" t="s">
        <v>77</v>
      </c>
      <c r="I1519" s="77" t="s">
        <v>1521</v>
      </c>
      <c r="J1519" s="77" t="s">
        <v>79</v>
      </c>
      <c r="K1519" s="77" t="s">
        <v>1522</v>
      </c>
      <c r="L1519" s="77" t="s">
        <v>2837</v>
      </c>
      <c r="M1519" s="77" t="s">
        <v>82</v>
      </c>
      <c r="N1519" s="77" t="s">
        <v>83</v>
      </c>
      <c r="Q1519" s="77" t="s">
        <v>188</v>
      </c>
      <c r="T1519" s="77" t="s">
        <v>1530</v>
      </c>
      <c r="U1519" s="77" t="s">
        <v>85</v>
      </c>
      <c r="V1519" s="80" t="s">
        <v>325</v>
      </c>
      <c r="X1519" s="77" t="s">
        <v>326</v>
      </c>
      <c r="Y1519" s="78" t="s">
        <v>101</v>
      </c>
      <c r="AA1519" s="77" t="s">
        <v>2838</v>
      </c>
      <c r="AB1519" s="77" t="s">
        <v>1521</v>
      </c>
      <c r="AC1519" s="77" t="s">
        <v>90</v>
      </c>
      <c r="AD1519" s="77" t="s">
        <v>327</v>
      </c>
      <c r="AE1519" s="77" t="s">
        <v>2839</v>
      </c>
      <c r="AG1519" s="77" t="s">
        <v>1533</v>
      </c>
    </row>
    <row r="1520" spans="1:33" x14ac:dyDescent="0.3">
      <c r="A1520" s="77" t="s">
        <v>2854</v>
      </c>
      <c r="B1520" s="77" t="s">
        <v>2855</v>
      </c>
      <c r="G1520" s="77" t="s">
        <v>2856</v>
      </c>
      <c r="H1520" s="77" t="s">
        <v>77</v>
      </c>
      <c r="I1520" s="77" t="s">
        <v>1521</v>
      </c>
      <c r="J1520" s="77" t="s">
        <v>79</v>
      </c>
      <c r="K1520" s="77" t="s">
        <v>1522</v>
      </c>
      <c r="L1520" s="77" t="s">
        <v>2857</v>
      </c>
      <c r="M1520" s="77" t="s">
        <v>82</v>
      </c>
      <c r="N1520" s="77" t="s">
        <v>83</v>
      </c>
      <c r="Q1520" s="77" t="s">
        <v>188</v>
      </c>
      <c r="T1520" s="77" t="s">
        <v>2858</v>
      </c>
      <c r="U1520" s="77" t="s">
        <v>85</v>
      </c>
      <c r="V1520" s="80" t="s">
        <v>325</v>
      </c>
      <c r="X1520" s="77" t="s">
        <v>326</v>
      </c>
      <c r="Y1520" s="78" t="s">
        <v>101</v>
      </c>
      <c r="AA1520" s="77" t="s">
        <v>2859</v>
      </c>
      <c r="AB1520" s="77" t="s">
        <v>1521</v>
      </c>
      <c r="AC1520" s="77" t="s">
        <v>90</v>
      </c>
      <c r="AD1520" s="77" t="s">
        <v>327</v>
      </c>
      <c r="AE1520" s="77" t="s">
        <v>2860</v>
      </c>
      <c r="AG1520" s="77" t="s">
        <v>2858</v>
      </c>
    </row>
    <row r="1521" spans="1:33" x14ac:dyDescent="0.3">
      <c r="A1521" s="77" t="s">
        <v>2854</v>
      </c>
      <c r="B1521" s="77" t="s">
        <v>2855</v>
      </c>
      <c r="G1521" s="77" t="s">
        <v>2856</v>
      </c>
      <c r="H1521" s="77" t="s">
        <v>77</v>
      </c>
      <c r="I1521" s="77" t="s">
        <v>1521</v>
      </c>
      <c r="J1521" s="77" t="s">
        <v>79</v>
      </c>
      <c r="K1521" s="77" t="s">
        <v>1522</v>
      </c>
      <c r="L1521" s="77" t="s">
        <v>2857</v>
      </c>
      <c r="M1521" s="77" t="s">
        <v>82</v>
      </c>
      <c r="N1521" s="77" t="s">
        <v>83</v>
      </c>
      <c r="Q1521" s="77" t="s">
        <v>188</v>
      </c>
      <c r="T1521" s="77" t="s">
        <v>2858</v>
      </c>
      <c r="U1521" s="77" t="s">
        <v>85</v>
      </c>
      <c r="V1521" s="80" t="s">
        <v>325</v>
      </c>
      <c r="X1521" s="77" t="s">
        <v>326</v>
      </c>
      <c r="Y1521" s="78" t="s">
        <v>101</v>
      </c>
      <c r="AA1521" s="77" t="s">
        <v>2859</v>
      </c>
      <c r="AB1521" s="77" t="s">
        <v>1521</v>
      </c>
      <c r="AC1521" s="77" t="s">
        <v>90</v>
      </c>
      <c r="AD1521" s="77" t="s">
        <v>327</v>
      </c>
      <c r="AE1521" s="77" t="s">
        <v>2860</v>
      </c>
      <c r="AG1521" s="77" t="s">
        <v>1533</v>
      </c>
    </row>
    <row r="1522" spans="1:33" x14ac:dyDescent="0.3">
      <c r="A1522" s="77" t="s">
        <v>2861</v>
      </c>
      <c r="B1522" s="77" t="s">
        <v>2862</v>
      </c>
      <c r="G1522" s="77" t="s">
        <v>2856</v>
      </c>
      <c r="H1522" s="77" t="s">
        <v>77</v>
      </c>
      <c r="I1522" s="77" t="s">
        <v>1521</v>
      </c>
      <c r="J1522" s="77" t="s">
        <v>79</v>
      </c>
      <c r="K1522" s="77" t="s">
        <v>1522</v>
      </c>
      <c r="L1522" s="77" t="s">
        <v>2863</v>
      </c>
      <c r="M1522" s="77" t="s">
        <v>82</v>
      </c>
      <c r="N1522" s="77" t="s">
        <v>83</v>
      </c>
      <c r="Q1522" s="77" t="s">
        <v>188</v>
      </c>
      <c r="T1522" s="77" t="s">
        <v>1530</v>
      </c>
      <c r="U1522" s="77" t="s">
        <v>85</v>
      </c>
      <c r="V1522" s="80" t="s">
        <v>325</v>
      </c>
      <c r="X1522" s="77" t="s">
        <v>326</v>
      </c>
      <c r="Y1522" s="78" t="s">
        <v>101</v>
      </c>
      <c r="AA1522" s="77" t="s">
        <v>2859</v>
      </c>
      <c r="AB1522" s="77" t="s">
        <v>1521</v>
      </c>
      <c r="AC1522" s="77" t="s">
        <v>90</v>
      </c>
      <c r="AD1522" s="77" t="s">
        <v>327</v>
      </c>
      <c r="AE1522" s="77" t="s">
        <v>2860</v>
      </c>
    </row>
    <row r="1523" spans="1:33" x14ac:dyDescent="0.3">
      <c r="A1523" s="77" t="s">
        <v>2864</v>
      </c>
      <c r="B1523" s="77" t="s">
        <v>2865</v>
      </c>
      <c r="G1523" s="77" t="s">
        <v>2856</v>
      </c>
      <c r="H1523" s="77" t="s">
        <v>77</v>
      </c>
      <c r="I1523" s="77" t="s">
        <v>1521</v>
      </c>
      <c r="J1523" s="77" t="s">
        <v>79</v>
      </c>
      <c r="K1523" s="77" t="s">
        <v>1522</v>
      </c>
      <c r="L1523" s="77" t="s">
        <v>2866</v>
      </c>
      <c r="M1523" s="77" t="s">
        <v>82</v>
      </c>
      <c r="N1523" s="77" t="s">
        <v>83</v>
      </c>
      <c r="Q1523" s="77" t="s">
        <v>188</v>
      </c>
      <c r="U1523" s="77" t="s">
        <v>85</v>
      </c>
      <c r="V1523" s="80" t="s">
        <v>86</v>
      </c>
      <c r="X1523" s="77" t="s">
        <v>87</v>
      </c>
      <c r="Y1523" s="78" t="s">
        <v>88</v>
      </c>
      <c r="AA1523" s="77" t="s">
        <v>2859</v>
      </c>
      <c r="AB1523" s="77" t="s">
        <v>1521</v>
      </c>
      <c r="AC1523" s="77" t="s">
        <v>90</v>
      </c>
      <c r="AD1523" s="77" t="s">
        <v>91</v>
      </c>
      <c r="AE1523" s="77" t="s">
        <v>2860</v>
      </c>
    </row>
    <row r="1524" spans="1:33" hidden="1" x14ac:dyDescent="0.3">
      <c r="A1524" s="77" t="s">
        <v>2867</v>
      </c>
      <c r="B1524" s="77" t="s">
        <v>2868</v>
      </c>
      <c r="G1524" s="77" t="s">
        <v>2856</v>
      </c>
      <c r="H1524" s="77" t="s">
        <v>77</v>
      </c>
      <c r="I1524" s="77" t="s">
        <v>1521</v>
      </c>
      <c r="J1524" s="77" t="s">
        <v>79</v>
      </c>
      <c r="K1524" s="77" t="s">
        <v>1522</v>
      </c>
      <c r="L1524" s="77" t="s">
        <v>2866</v>
      </c>
      <c r="M1524" s="77" t="s">
        <v>82</v>
      </c>
      <c r="N1524" s="77" t="s">
        <v>83</v>
      </c>
      <c r="Q1524" s="77" t="s">
        <v>188</v>
      </c>
      <c r="U1524" s="77" t="s">
        <v>85</v>
      </c>
      <c r="V1524" s="77" t="s">
        <v>105</v>
      </c>
      <c r="W1524" s="79">
        <v>46214.293560497688</v>
      </c>
      <c r="X1524" s="77" t="s">
        <v>106</v>
      </c>
      <c r="Y1524" s="78" t="s">
        <v>101</v>
      </c>
      <c r="AA1524" s="77" t="s">
        <v>2859</v>
      </c>
      <c r="AB1524" s="77" t="s">
        <v>1521</v>
      </c>
      <c r="AC1524" s="77" t="s">
        <v>114</v>
      </c>
      <c r="AD1524" s="77" t="s">
        <v>102</v>
      </c>
      <c r="AE1524" s="77" t="s">
        <v>2860</v>
      </c>
      <c r="AF1524" s="77" t="s">
        <v>2706</v>
      </c>
    </row>
    <row r="1525" spans="1:33" x14ac:dyDescent="0.3">
      <c r="A1525" s="77" t="s">
        <v>2869</v>
      </c>
      <c r="B1525" s="77" t="s">
        <v>2870</v>
      </c>
      <c r="G1525" s="77" t="s">
        <v>2856</v>
      </c>
      <c r="H1525" s="77" t="s">
        <v>77</v>
      </c>
      <c r="I1525" s="77" t="s">
        <v>1521</v>
      </c>
      <c r="J1525" s="77" t="s">
        <v>79</v>
      </c>
      <c r="K1525" s="77" t="s">
        <v>1522</v>
      </c>
      <c r="L1525" s="77" t="s">
        <v>2871</v>
      </c>
      <c r="M1525" s="77" t="s">
        <v>82</v>
      </c>
      <c r="N1525" s="77" t="s">
        <v>83</v>
      </c>
      <c r="Q1525" s="77" t="s">
        <v>188</v>
      </c>
      <c r="S1525" s="77" t="s">
        <v>188</v>
      </c>
      <c r="U1525" s="77" t="s">
        <v>85</v>
      </c>
      <c r="V1525" s="80" t="s">
        <v>231</v>
      </c>
      <c r="X1525" s="77" t="s">
        <v>232</v>
      </c>
      <c r="Y1525" s="78" t="s">
        <v>88</v>
      </c>
      <c r="AA1525" s="77" t="s">
        <v>2859</v>
      </c>
      <c r="AB1525" s="77" t="s">
        <v>1521</v>
      </c>
      <c r="AC1525" s="77" t="s">
        <v>90</v>
      </c>
      <c r="AD1525" s="77" t="s">
        <v>91</v>
      </c>
      <c r="AE1525" s="77" t="s">
        <v>2860</v>
      </c>
    </row>
    <row r="1526" spans="1:33" x14ac:dyDescent="0.3">
      <c r="A1526" s="77" t="s">
        <v>2872</v>
      </c>
      <c r="B1526" s="77" t="s">
        <v>1340</v>
      </c>
      <c r="G1526" s="77" t="s">
        <v>2873</v>
      </c>
      <c r="H1526" s="77" t="s">
        <v>77</v>
      </c>
      <c r="I1526" s="77" t="s">
        <v>1521</v>
      </c>
      <c r="J1526" s="77" t="s">
        <v>79</v>
      </c>
      <c r="K1526" s="77" t="s">
        <v>1522</v>
      </c>
      <c r="L1526" s="77" t="s">
        <v>1342</v>
      </c>
      <c r="M1526" s="77" t="s">
        <v>82</v>
      </c>
      <c r="N1526" s="77" t="s">
        <v>83</v>
      </c>
      <c r="Q1526" s="77" t="s">
        <v>1343</v>
      </c>
      <c r="T1526" s="77" t="s">
        <v>1344</v>
      </c>
      <c r="U1526" s="77" t="s">
        <v>85</v>
      </c>
      <c r="V1526" s="80" t="s">
        <v>86</v>
      </c>
      <c r="X1526" s="77" t="s">
        <v>87</v>
      </c>
      <c r="Y1526" s="78" t="s">
        <v>88</v>
      </c>
      <c r="AA1526" s="77" t="s">
        <v>1345</v>
      </c>
      <c r="AB1526" s="77" t="s">
        <v>1346</v>
      </c>
      <c r="AC1526" s="77" t="s">
        <v>90</v>
      </c>
      <c r="AD1526" s="77" t="s">
        <v>91</v>
      </c>
      <c r="AE1526" s="77" t="s">
        <v>2874</v>
      </c>
      <c r="AG1526" s="77" t="s">
        <v>1344</v>
      </c>
    </row>
    <row r="1527" spans="1:33" x14ac:dyDescent="0.3">
      <c r="A1527" s="77" t="s">
        <v>2875</v>
      </c>
      <c r="B1527" s="77" t="s">
        <v>1349</v>
      </c>
      <c r="G1527" s="77" t="s">
        <v>2873</v>
      </c>
      <c r="H1527" s="77" t="s">
        <v>77</v>
      </c>
      <c r="I1527" s="77" t="s">
        <v>1521</v>
      </c>
      <c r="J1527" s="77" t="s">
        <v>79</v>
      </c>
      <c r="K1527" s="77" t="s">
        <v>1522</v>
      </c>
      <c r="L1527" s="77" t="s">
        <v>1350</v>
      </c>
      <c r="M1527" s="77" t="s">
        <v>82</v>
      </c>
      <c r="N1527" s="77" t="s">
        <v>83</v>
      </c>
      <c r="Q1527" s="77" t="s">
        <v>1343</v>
      </c>
      <c r="T1527" s="77" t="s">
        <v>1351</v>
      </c>
      <c r="U1527" s="77" t="s">
        <v>85</v>
      </c>
      <c r="V1527" s="80" t="s">
        <v>95</v>
      </c>
      <c r="X1527" s="77" t="s">
        <v>96</v>
      </c>
      <c r="Y1527" s="78" t="s">
        <v>88</v>
      </c>
      <c r="AA1527" s="77" t="s">
        <v>1345</v>
      </c>
      <c r="AB1527" s="77" t="s">
        <v>1346</v>
      </c>
      <c r="AC1527" s="77" t="s">
        <v>90</v>
      </c>
      <c r="AD1527" s="77" t="s">
        <v>91</v>
      </c>
      <c r="AE1527" s="77" t="s">
        <v>2874</v>
      </c>
      <c r="AG1527" s="77" t="s">
        <v>1351</v>
      </c>
    </row>
    <row r="1528" spans="1:33" x14ac:dyDescent="0.3">
      <c r="A1528" s="77" t="s">
        <v>2876</v>
      </c>
      <c r="B1528" s="77" t="s">
        <v>1353</v>
      </c>
      <c r="G1528" s="77" t="s">
        <v>2873</v>
      </c>
      <c r="H1528" s="77" t="s">
        <v>77</v>
      </c>
      <c r="I1528" s="77" t="s">
        <v>1521</v>
      </c>
      <c r="J1528" s="77" t="s">
        <v>79</v>
      </c>
      <c r="K1528" s="77" t="s">
        <v>1522</v>
      </c>
      <c r="L1528" s="77" t="s">
        <v>1354</v>
      </c>
      <c r="M1528" s="77" t="s">
        <v>82</v>
      </c>
      <c r="N1528" s="77" t="s">
        <v>83</v>
      </c>
      <c r="Q1528" s="77" t="s">
        <v>1343</v>
      </c>
      <c r="T1528" s="77" t="s">
        <v>1355</v>
      </c>
      <c r="U1528" s="77" t="s">
        <v>85</v>
      </c>
      <c r="V1528" s="80" t="s">
        <v>99</v>
      </c>
      <c r="X1528" s="77" t="s">
        <v>100</v>
      </c>
      <c r="Y1528" s="78" t="s">
        <v>101</v>
      </c>
      <c r="AA1528" s="77" t="s">
        <v>1345</v>
      </c>
      <c r="AB1528" s="77" t="s">
        <v>1346</v>
      </c>
      <c r="AC1528" s="77" t="s">
        <v>90</v>
      </c>
      <c r="AD1528" s="77" t="s">
        <v>102</v>
      </c>
      <c r="AE1528" s="77" t="s">
        <v>2874</v>
      </c>
      <c r="AG1528" s="77" t="s">
        <v>1355</v>
      </c>
    </row>
    <row r="1529" spans="1:33" x14ac:dyDescent="0.3">
      <c r="A1529" s="77" t="s">
        <v>2877</v>
      </c>
      <c r="B1529" s="77" t="s">
        <v>1357</v>
      </c>
      <c r="G1529" s="77" t="s">
        <v>2873</v>
      </c>
      <c r="H1529" s="77" t="s">
        <v>77</v>
      </c>
      <c r="I1529" s="77" t="s">
        <v>1521</v>
      </c>
      <c r="J1529" s="77" t="s">
        <v>79</v>
      </c>
      <c r="K1529" s="77" t="s">
        <v>1522</v>
      </c>
      <c r="L1529" s="77" t="s">
        <v>1358</v>
      </c>
      <c r="M1529" s="77" t="s">
        <v>82</v>
      </c>
      <c r="N1529" s="77" t="s">
        <v>83</v>
      </c>
      <c r="Q1529" s="77" t="s">
        <v>1343</v>
      </c>
      <c r="T1529" s="77" t="s">
        <v>1359</v>
      </c>
      <c r="U1529" s="77" t="s">
        <v>85</v>
      </c>
      <c r="V1529" s="80" t="s">
        <v>105</v>
      </c>
      <c r="X1529" s="77" t="s">
        <v>106</v>
      </c>
      <c r="Y1529" s="78" t="s">
        <v>101</v>
      </c>
      <c r="AA1529" s="77" t="s">
        <v>1345</v>
      </c>
      <c r="AB1529" s="77" t="s">
        <v>1346</v>
      </c>
      <c r="AC1529" s="77" t="s">
        <v>90</v>
      </c>
      <c r="AD1529" s="77" t="s">
        <v>102</v>
      </c>
      <c r="AE1529" s="77" t="s">
        <v>2874</v>
      </c>
      <c r="AG1529" s="77" t="s">
        <v>1359</v>
      </c>
    </row>
    <row r="1530" spans="1:33" x14ac:dyDescent="0.3">
      <c r="A1530" s="77" t="s">
        <v>2878</v>
      </c>
      <c r="B1530" s="77" t="s">
        <v>1361</v>
      </c>
      <c r="G1530" s="77" t="s">
        <v>2873</v>
      </c>
      <c r="H1530" s="77" t="s">
        <v>77</v>
      </c>
      <c r="I1530" s="77" t="s">
        <v>1521</v>
      </c>
      <c r="J1530" s="77" t="s">
        <v>79</v>
      </c>
      <c r="K1530" s="77" t="s">
        <v>1522</v>
      </c>
      <c r="L1530" s="77" t="s">
        <v>1362</v>
      </c>
      <c r="M1530" s="77" t="s">
        <v>82</v>
      </c>
      <c r="N1530" s="77" t="s">
        <v>83</v>
      </c>
      <c r="Q1530" s="77" t="s">
        <v>1343</v>
      </c>
      <c r="T1530" s="77" t="s">
        <v>1363</v>
      </c>
      <c r="U1530" s="77" t="s">
        <v>85</v>
      </c>
      <c r="V1530" s="80" t="s">
        <v>331</v>
      </c>
      <c r="X1530" s="77" t="s">
        <v>332</v>
      </c>
      <c r="Y1530" s="78" t="s">
        <v>88</v>
      </c>
      <c r="AA1530" s="77" t="s">
        <v>1345</v>
      </c>
      <c r="AB1530" s="77" t="s">
        <v>1346</v>
      </c>
      <c r="AC1530" s="77" t="s">
        <v>90</v>
      </c>
      <c r="AD1530" s="77" t="s">
        <v>91</v>
      </c>
      <c r="AE1530" s="77" t="s">
        <v>2874</v>
      </c>
      <c r="AG1530" s="77" t="s">
        <v>1363</v>
      </c>
    </row>
    <row r="1531" spans="1:33" x14ac:dyDescent="0.3">
      <c r="A1531" s="77" t="s">
        <v>2879</v>
      </c>
      <c r="B1531" s="77" t="s">
        <v>1365</v>
      </c>
      <c r="G1531" s="77" t="s">
        <v>2873</v>
      </c>
      <c r="H1531" s="77" t="s">
        <v>77</v>
      </c>
      <c r="I1531" s="77" t="s">
        <v>1521</v>
      </c>
      <c r="J1531" s="77" t="s">
        <v>79</v>
      </c>
      <c r="K1531" s="77" t="s">
        <v>1522</v>
      </c>
      <c r="L1531" s="77" t="s">
        <v>1366</v>
      </c>
      <c r="M1531" s="77" t="s">
        <v>82</v>
      </c>
      <c r="N1531" s="77" t="s">
        <v>83</v>
      </c>
      <c r="Q1531" s="77" t="s">
        <v>1343</v>
      </c>
      <c r="T1531" s="77" t="s">
        <v>1367</v>
      </c>
      <c r="U1531" s="77" t="s">
        <v>85</v>
      </c>
      <c r="V1531" s="80" t="s">
        <v>365</v>
      </c>
      <c r="X1531" s="77" t="s">
        <v>366</v>
      </c>
      <c r="Y1531" s="78" t="s">
        <v>88</v>
      </c>
      <c r="AA1531" s="77" t="s">
        <v>1345</v>
      </c>
      <c r="AB1531" s="77" t="s">
        <v>1346</v>
      </c>
      <c r="AC1531" s="77" t="s">
        <v>90</v>
      </c>
      <c r="AD1531" s="77" t="s">
        <v>91</v>
      </c>
      <c r="AE1531" s="77" t="s">
        <v>2874</v>
      </c>
      <c r="AG1531" s="77" t="s">
        <v>1367</v>
      </c>
    </row>
    <row r="1532" spans="1:33" x14ac:dyDescent="0.3">
      <c r="A1532" s="77" t="s">
        <v>2880</v>
      </c>
      <c r="B1532" s="77" t="s">
        <v>1369</v>
      </c>
      <c r="G1532" s="77" t="s">
        <v>2873</v>
      </c>
      <c r="H1532" s="77" t="s">
        <v>77</v>
      </c>
      <c r="I1532" s="77" t="s">
        <v>1521</v>
      </c>
      <c r="J1532" s="77" t="s">
        <v>79</v>
      </c>
      <c r="K1532" s="77" t="s">
        <v>1522</v>
      </c>
      <c r="L1532" s="77" t="s">
        <v>1366</v>
      </c>
      <c r="M1532" s="77" t="s">
        <v>82</v>
      </c>
      <c r="N1532" s="77" t="s">
        <v>83</v>
      </c>
      <c r="Q1532" s="77" t="s">
        <v>1343</v>
      </c>
      <c r="T1532" s="77" t="s">
        <v>1367</v>
      </c>
      <c r="U1532" s="77" t="s">
        <v>85</v>
      </c>
      <c r="V1532" s="80" t="s">
        <v>370</v>
      </c>
      <c r="X1532" s="77" t="s">
        <v>371</v>
      </c>
      <c r="Y1532" s="78" t="s">
        <v>88</v>
      </c>
      <c r="AA1532" s="77" t="s">
        <v>1345</v>
      </c>
      <c r="AB1532" s="77" t="s">
        <v>1346</v>
      </c>
      <c r="AC1532" s="77" t="s">
        <v>90</v>
      </c>
      <c r="AD1532" s="77" t="s">
        <v>91</v>
      </c>
      <c r="AE1532" s="77" t="s">
        <v>2874</v>
      </c>
      <c r="AG1532" s="77" t="s">
        <v>1367</v>
      </c>
    </row>
    <row r="1533" spans="1:33" x14ac:dyDescent="0.3">
      <c r="A1533" s="77" t="s">
        <v>2881</v>
      </c>
      <c r="B1533" s="77" t="s">
        <v>1371</v>
      </c>
      <c r="G1533" s="77" t="s">
        <v>2873</v>
      </c>
      <c r="H1533" s="77" t="s">
        <v>77</v>
      </c>
      <c r="I1533" s="77" t="s">
        <v>1521</v>
      </c>
      <c r="J1533" s="77" t="s">
        <v>79</v>
      </c>
      <c r="K1533" s="77" t="s">
        <v>1522</v>
      </c>
      <c r="L1533" s="77" t="s">
        <v>1366</v>
      </c>
      <c r="M1533" s="77" t="s">
        <v>82</v>
      </c>
      <c r="N1533" s="77" t="s">
        <v>83</v>
      </c>
      <c r="Q1533" s="77" t="s">
        <v>1343</v>
      </c>
      <c r="T1533" s="77" t="s">
        <v>1367</v>
      </c>
      <c r="U1533" s="77" t="s">
        <v>85</v>
      </c>
      <c r="V1533" s="80" t="s">
        <v>375</v>
      </c>
      <c r="X1533" s="77" t="s">
        <v>376</v>
      </c>
      <c r="Y1533" s="78" t="s">
        <v>101</v>
      </c>
      <c r="AA1533" s="77" t="s">
        <v>1345</v>
      </c>
      <c r="AB1533" s="77" t="s">
        <v>1346</v>
      </c>
      <c r="AC1533" s="77" t="s">
        <v>90</v>
      </c>
      <c r="AD1533" s="77" t="s">
        <v>102</v>
      </c>
      <c r="AE1533" s="77" t="s">
        <v>2874</v>
      </c>
      <c r="AG1533" s="77" t="s">
        <v>1367</v>
      </c>
    </row>
    <row r="1534" spans="1:33" x14ac:dyDescent="0.3">
      <c r="A1534" s="77" t="s">
        <v>2882</v>
      </c>
      <c r="B1534" s="77" t="s">
        <v>1373</v>
      </c>
      <c r="G1534" s="77" t="s">
        <v>2873</v>
      </c>
      <c r="H1534" s="77" t="s">
        <v>77</v>
      </c>
      <c r="I1534" s="77" t="s">
        <v>1521</v>
      </c>
      <c r="J1534" s="77" t="s">
        <v>79</v>
      </c>
      <c r="K1534" s="77" t="s">
        <v>1522</v>
      </c>
      <c r="L1534" s="77" t="s">
        <v>1366</v>
      </c>
      <c r="M1534" s="77" t="s">
        <v>82</v>
      </c>
      <c r="N1534" s="77" t="s">
        <v>83</v>
      </c>
      <c r="Q1534" s="77" t="s">
        <v>1343</v>
      </c>
      <c r="T1534" s="77" t="s">
        <v>1367</v>
      </c>
      <c r="U1534" s="77" t="s">
        <v>85</v>
      </c>
      <c r="V1534" s="80" t="s">
        <v>380</v>
      </c>
      <c r="X1534" s="77" t="s">
        <v>381</v>
      </c>
      <c r="Y1534" s="78" t="s">
        <v>101</v>
      </c>
      <c r="AA1534" s="77" t="s">
        <v>1345</v>
      </c>
      <c r="AB1534" s="77" t="s">
        <v>1346</v>
      </c>
      <c r="AC1534" s="77" t="s">
        <v>90</v>
      </c>
      <c r="AD1534" s="77" t="s">
        <v>102</v>
      </c>
      <c r="AE1534" s="77" t="s">
        <v>2874</v>
      </c>
      <c r="AG1534" s="77" t="s">
        <v>1367</v>
      </c>
    </row>
    <row r="1535" spans="1:33" x14ac:dyDescent="0.3">
      <c r="A1535" s="77" t="s">
        <v>2883</v>
      </c>
      <c r="B1535" s="77" t="s">
        <v>1375</v>
      </c>
      <c r="G1535" s="77" t="s">
        <v>2873</v>
      </c>
      <c r="H1535" s="77" t="s">
        <v>77</v>
      </c>
      <c r="I1535" s="77" t="s">
        <v>1521</v>
      </c>
      <c r="J1535" s="77" t="s">
        <v>79</v>
      </c>
      <c r="K1535" s="77" t="s">
        <v>1522</v>
      </c>
      <c r="L1535" s="77" t="s">
        <v>1376</v>
      </c>
      <c r="M1535" s="77" t="s">
        <v>82</v>
      </c>
      <c r="N1535" s="77" t="s">
        <v>83</v>
      </c>
      <c r="Q1535" s="77" t="s">
        <v>1343</v>
      </c>
      <c r="T1535" s="77" t="s">
        <v>1377</v>
      </c>
      <c r="U1535" s="77" t="s">
        <v>85</v>
      </c>
      <c r="V1535" s="80" t="s">
        <v>507</v>
      </c>
      <c r="X1535" s="77" t="s">
        <v>508</v>
      </c>
      <c r="Y1535" s="78" t="s">
        <v>88</v>
      </c>
      <c r="AA1535" s="77" t="s">
        <v>1345</v>
      </c>
      <c r="AB1535" s="77" t="s">
        <v>1346</v>
      </c>
      <c r="AC1535" s="77" t="s">
        <v>90</v>
      </c>
      <c r="AD1535" s="77" t="s">
        <v>91</v>
      </c>
      <c r="AE1535" s="77" t="s">
        <v>2874</v>
      </c>
      <c r="AG1535" s="77" t="s">
        <v>1377</v>
      </c>
    </row>
    <row r="1536" spans="1:33" x14ac:dyDescent="0.3">
      <c r="A1536" s="77" t="s">
        <v>2884</v>
      </c>
      <c r="B1536" s="77" t="s">
        <v>1379</v>
      </c>
      <c r="G1536" s="77" t="s">
        <v>2873</v>
      </c>
      <c r="H1536" s="77" t="s">
        <v>77</v>
      </c>
      <c r="I1536" s="77" t="s">
        <v>1521</v>
      </c>
      <c r="J1536" s="77" t="s">
        <v>79</v>
      </c>
      <c r="K1536" s="77" t="s">
        <v>1522</v>
      </c>
      <c r="L1536" s="77" t="s">
        <v>1376</v>
      </c>
      <c r="M1536" s="77" t="s">
        <v>82</v>
      </c>
      <c r="N1536" s="77" t="s">
        <v>83</v>
      </c>
      <c r="Q1536" s="77" t="s">
        <v>1343</v>
      </c>
      <c r="T1536" s="77" t="s">
        <v>1377</v>
      </c>
      <c r="U1536" s="77" t="s">
        <v>85</v>
      </c>
      <c r="V1536" s="80" t="s">
        <v>514</v>
      </c>
      <c r="X1536" s="77" t="s">
        <v>515</v>
      </c>
      <c r="Y1536" s="78" t="s">
        <v>88</v>
      </c>
      <c r="AA1536" s="77" t="s">
        <v>1345</v>
      </c>
      <c r="AB1536" s="77" t="s">
        <v>1346</v>
      </c>
      <c r="AC1536" s="77" t="s">
        <v>90</v>
      </c>
      <c r="AD1536" s="77" t="s">
        <v>91</v>
      </c>
      <c r="AE1536" s="77" t="s">
        <v>2874</v>
      </c>
      <c r="AG1536" s="77" t="s">
        <v>1377</v>
      </c>
    </row>
    <row r="1537" spans="1:33" x14ac:dyDescent="0.3">
      <c r="A1537" s="77" t="s">
        <v>2885</v>
      </c>
      <c r="B1537" s="77" t="s">
        <v>1381</v>
      </c>
      <c r="G1537" s="77" t="s">
        <v>2873</v>
      </c>
      <c r="H1537" s="77" t="s">
        <v>77</v>
      </c>
      <c r="I1537" s="77" t="s">
        <v>1521</v>
      </c>
      <c r="J1537" s="77" t="s">
        <v>79</v>
      </c>
      <c r="K1537" s="77" t="s">
        <v>1522</v>
      </c>
      <c r="L1537" s="77" t="s">
        <v>1376</v>
      </c>
      <c r="M1537" s="77" t="s">
        <v>82</v>
      </c>
      <c r="N1537" s="77" t="s">
        <v>83</v>
      </c>
      <c r="Q1537" s="77" t="s">
        <v>1343</v>
      </c>
      <c r="T1537" s="77" t="s">
        <v>1377</v>
      </c>
      <c r="U1537" s="77" t="s">
        <v>85</v>
      </c>
      <c r="V1537" s="80" t="s">
        <v>521</v>
      </c>
      <c r="X1537" s="77" t="s">
        <v>522</v>
      </c>
      <c r="Y1537" s="78" t="s">
        <v>101</v>
      </c>
      <c r="AA1537" s="77" t="s">
        <v>1345</v>
      </c>
      <c r="AB1537" s="77" t="s">
        <v>1346</v>
      </c>
      <c r="AC1537" s="77" t="s">
        <v>90</v>
      </c>
      <c r="AD1537" s="77" t="s">
        <v>102</v>
      </c>
      <c r="AE1537" s="77" t="s">
        <v>2874</v>
      </c>
      <c r="AG1537" s="77" t="s">
        <v>1377</v>
      </c>
    </row>
    <row r="1538" spans="1:33" x14ac:dyDescent="0.3">
      <c r="A1538" s="77" t="s">
        <v>2886</v>
      </c>
      <c r="B1538" s="77" t="s">
        <v>1383</v>
      </c>
      <c r="G1538" s="77" t="s">
        <v>2873</v>
      </c>
      <c r="H1538" s="77" t="s">
        <v>77</v>
      </c>
      <c r="I1538" s="77" t="s">
        <v>1521</v>
      </c>
      <c r="J1538" s="77" t="s">
        <v>79</v>
      </c>
      <c r="K1538" s="77" t="s">
        <v>1522</v>
      </c>
      <c r="L1538" s="77" t="s">
        <v>1376</v>
      </c>
      <c r="M1538" s="77" t="s">
        <v>82</v>
      </c>
      <c r="N1538" s="77" t="s">
        <v>83</v>
      </c>
      <c r="Q1538" s="77" t="s">
        <v>1343</v>
      </c>
      <c r="T1538" s="77" t="s">
        <v>1377</v>
      </c>
      <c r="U1538" s="77" t="s">
        <v>85</v>
      </c>
      <c r="V1538" s="80" t="s">
        <v>528</v>
      </c>
      <c r="X1538" s="77" t="s">
        <v>529</v>
      </c>
      <c r="Y1538" s="78" t="s">
        <v>101</v>
      </c>
      <c r="AA1538" s="77" t="s">
        <v>1345</v>
      </c>
      <c r="AB1538" s="77" t="s">
        <v>1346</v>
      </c>
      <c r="AC1538" s="77" t="s">
        <v>90</v>
      </c>
      <c r="AD1538" s="77" t="s">
        <v>102</v>
      </c>
      <c r="AE1538" s="77" t="s">
        <v>2874</v>
      </c>
      <c r="AG1538" s="77" t="s">
        <v>1377</v>
      </c>
    </row>
    <row r="1539" spans="1:33" x14ac:dyDescent="0.3">
      <c r="A1539" s="77" t="s">
        <v>2887</v>
      </c>
      <c r="B1539" s="77" t="s">
        <v>1385</v>
      </c>
      <c r="G1539" s="77" t="s">
        <v>2873</v>
      </c>
      <c r="H1539" s="77" t="s">
        <v>77</v>
      </c>
      <c r="I1539" s="77" t="s">
        <v>1521</v>
      </c>
      <c r="J1539" s="77" t="s">
        <v>79</v>
      </c>
      <c r="K1539" s="77" t="s">
        <v>1522</v>
      </c>
      <c r="L1539" s="77" t="s">
        <v>1386</v>
      </c>
      <c r="M1539" s="77" t="s">
        <v>82</v>
      </c>
      <c r="N1539" s="77" t="s">
        <v>83</v>
      </c>
      <c r="Q1539" s="77" t="s">
        <v>1343</v>
      </c>
      <c r="T1539" s="77" t="s">
        <v>1387</v>
      </c>
      <c r="U1539" s="77" t="s">
        <v>85</v>
      </c>
      <c r="V1539" s="80" t="s">
        <v>859</v>
      </c>
      <c r="X1539" s="77" t="s">
        <v>860</v>
      </c>
      <c r="Y1539" s="78" t="s">
        <v>88</v>
      </c>
      <c r="AA1539" s="77" t="s">
        <v>1345</v>
      </c>
      <c r="AB1539" s="77" t="s">
        <v>1346</v>
      </c>
      <c r="AC1539" s="77" t="s">
        <v>90</v>
      </c>
      <c r="AD1539" s="77" t="s">
        <v>91</v>
      </c>
      <c r="AE1539" s="77" t="s">
        <v>2874</v>
      </c>
      <c r="AG1539" s="77" t="s">
        <v>1387</v>
      </c>
    </row>
    <row r="1540" spans="1:33" x14ac:dyDescent="0.3">
      <c r="A1540" s="77" t="s">
        <v>2888</v>
      </c>
      <c r="B1540" s="77" t="s">
        <v>1389</v>
      </c>
      <c r="G1540" s="77" t="s">
        <v>2873</v>
      </c>
      <c r="H1540" s="77" t="s">
        <v>77</v>
      </c>
      <c r="I1540" s="77" t="s">
        <v>1521</v>
      </c>
      <c r="J1540" s="77" t="s">
        <v>79</v>
      </c>
      <c r="K1540" s="77" t="s">
        <v>1522</v>
      </c>
      <c r="L1540" s="77" t="s">
        <v>1386</v>
      </c>
      <c r="M1540" s="77" t="s">
        <v>82</v>
      </c>
      <c r="N1540" s="77" t="s">
        <v>83</v>
      </c>
      <c r="Q1540" s="77" t="s">
        <v>1343</v>
      </c>
      <c r="T1540" s="77" t="s">
        <v>1387</v>
      </c>
      <c r="U1540" s="77" t="s">
        <v>85</v>
      </c>
      <c r="V1540" s="80" t="s">
        <v>864</v>
      </c>
      <c r="X1540" s="77" t="s">
        <v>865</v>
      </c>
      <c r="Y1540" s="78" t="s">
        <v>88</v>
      </c>
      <c r="AA1540" s="77" t="s">
        <v>1345</v>
      </c>
      <c r="AB1540" s="77" t="s">
        <v>1346</v>
      </c>
      <c r="AC1540" s="77" t="s">
        <v>90</v>
      </c>
      <c r="AD1540" s="77" t="s">
        <v>91</v>
      </c>
      <c r="AE1540" s="77" t="s">
        <v>2874</v>
      </c>
      <c r="AG1540" s="77" t="s">
        <v>1387</v>
      </c>
    </row>
    <row r="1541" spans="1:33" x14ac:dyDescent="0.3">
      <c r="A1541" s="77" t="s">
        <v>2889</v>
      </c>
      <c r="B1541" s="77" t="s">
        <v>1391</v>
      </c>
      <c r="G1541" s="77" t="s">
        <v>2873</v>
      </c>
      <c r="H1541" s="77" t="s">
        <v>77</v>
      </c>
      <c r="I1541" s="77" t="s">
        <v>1521</v>
      </c>
      <c r="J1541" s="77" t="s">
        <v>79</v>
      </c>
      <c r="K1541" s="77" t="s">
        <v>1522</v>
      </c>
      <c r="L1541" s="77" t="s">
        <v>1386</v>
      </c>
      <c r="M1541" s="77" t="s">
        <v>82</v>
      </c>
      <c r="N1541" s="77" t="s">
        <v>83</v>
      </c>
      <c r="Q1541" s="77" t="s">
        <v>1343</v>
      </c>
      <c r="T1541" s="77" t="s">
        <v>1387</v>
      </c>
      <c r="U1541" s="77" t="s">
        <v>85</v>
      </c>
      <c r="V1541" s="80" t="s">
        <v>869</v>
      </c>
      <c r="X1541" s="77" t="s">
        <v>870</v>
      </c>
      <c r="Y1541" s="78" t="s">
        <v>101</v>
      </c>
      <c r="AA1541" s="77" t="s">
        <v>1345</v>
      </c>
      <c r="AB1541" s="77" t="s">
        <v>1346</v>
      </c>
      <c r="AC1541" s="77" t="s">
        <v>90</v>
      </c>
      <c r="AD1541" s="77" t="s">
        <v>102</v>
      </c>
      <c r="AE1541" s="77" t="s">
        <v>2874</v>
      </c>
      <c r="AG1541" s="77" t="s">
        <v>1387</v>
      </c>
    </row>
    <row r="1542" spans="1:33" x14ac:dyDescent="0.3">
      <c r="A1542" s="77" t="s">
        <v>2890</v>
      </c>
      <c r="B1542" s="77" t="s">
        <v>1393</v>
      </c>
      <c r="G1542" s="77" t="s">
        <v>2873</v>
      </c>
      <c r="H1542" s="77" t="s">
        <v>77</v>
      </c>
      <c r="I1542" s="77" t="s">
        <v>1521</v>
      </c>
      <c r="J1542" s="77" t="s">
        <v>79</v>
      </c>
      <c r="K1542" s="77" t="s">
        <v>1522</v>
      </c>
      <c r="L1542" s="77" t="s">
        <v>1386</v>
      </c>
      <c r="M1542" s="77" t="s">
        <v>82</v>
      </c>
      <c r="N1542" s="77" t="s">
        <v>83</v>
      </c>
      <c r="Q1542" s="77" t="s">
        <v>1343</v>
      </c>
      <c r="T1542" s="77" t="s">
        <v>1387</v>
      </c>
      <c r="U1542" s="77" t="s">
        <v>85</v>
      </c>
      <c r="V1542" s="80" t="s">
        <v>874</v>
      </c>
      <c r="X1542" s="77" t="s">
        <v>875</v>
      </c>
      <c r="Y1542" s="78" t="s">
        <v>101</v>
      </c>
      <c r="AA1542" s="77" t="s">
        <v>1345</v>
      </c>
      <c r="AB1542" s="77" t="s">
        <v>1346</v>
      </c>
      <c r="AC1542" s="77" t="s">
        <v>90</v>
      </c>
      <c r="AD1542" s="77" t="s">
        <v>102</v>
      </c>
      <c r="AE1542" s="77" t="s">
        <v>2874</v>
      </c>
      <c r="AG1542" s="77" t="s">
        <v>1387</v>
      </c>
    </row>
    <row r="1543" spans="1:33" x14ac:dyDescent="0.3">
      <c r="A1543" s="77" t="s">
        <v>2891</v>
      </c>
      <c r="B1543" s="77" t="s">
        <v>1395</v>
      </c>
      <c r="G1543" s="77" t="s">
        <v>2873</v>
      </c>
      <c r="H1543" s="77" t="s">
        <v>77</v>
      </c>
      <c r="I1543" s="77" t="s">
        <v>1521</v>
      </c>
      <c r="J1543" s="77" t="s">
        <v>79</v>
      </c>
      <c r="K1543" s="77" t="s">
        <v>1522</v>
      </c>
      <c r="L1543" s="77" t="s">
        <v>1396</v>
      </c>
      <c r="M1543" s="77" t="s">
        <v>82</v>
      </c>
      <c r="N1543" s="77" t="s">
        <v>83</v>
      </c>
      <c r="Q1543" s="77" t="s">
        <v>1343</v>
      </c>
      <c r="T1543" s="77" t="s">
        <v>1397</v>
      </c>
      <c r="U1543" s="77" t="s">
        <v>85</v>
      </c>
      <c r="V1543" s="80" t="s">
        <v>952</v>
      </c>
      <c r="X1543" s="77" t="s">
        <v>953</v>
      </c>
      <c r="Y1543" s="78" t="s">
        <v>101</v>
      </c>
      <c r="AA1543" s="77" t="s">
        <v>1345</v>
      </c>
      <c r="AB1543" s="77" t="s">
        <v>1346</v>
      </c>
      <c r="AC1543" s="77" t="s">
        <v>90</v>
      </c>
      <c r="AD1543" s="77" t="s">
        <v>954</v>
      </c>
      <c r="AE1543" s="77" t="s">
        <v>2874</v>
      </c>
      <c r="AG1543" s="77" t="s">
        <v>1397</v>
      </c>
    </row>
    <row r="1544" spans="1:33" x14ac:dyDescent="0.3">
      <c r="A1544" s="77" t="s">
        <v>2892</v>
      </c>
      <c r="B1544" s="77" t="s">
        <v>1399</v>
      </c>
      <c r="G1544" s="77" t="s">
        <v>2873</v>
      </c>
      <c r="H1544" s="77" t="s">
        <v>77</v>
      </c>
      <c r="I1544" s="77" t="s">
        <v>1521</v>
      </c>
      <c r="J1544" s="77" t="s">
        <v>79</v>
      </c>
      <c r="K1544" s="77" t="s">
        <v>1522</v>
      </c>
      <c r="L1544" s="77" t="s">
        <v>1400</v>
      </c>
      <c r="M1544" s="77" t="s">
        <v>82</v>
      </c>
      <c r="N1544" s="77" t="s">
        <v>83</v>
      </c>
      <c r="Q1544" s="77" t="s">
        <v>1343</v>
      </c>
      <c r="T1544" s="77" t="s">
        <v>1401</v>
      </c>
      <c r="U1544" s="77" t="s">
        <v>85</v>
      </c>
      <c r="V1544" s="80" t="s">
        <v>1402</v>
      </c>
      <c r="X1544" s="77" t="s">
        <v>1403</v>
      </c>
      <c r="Y1544" s="78" t="s">
        <v>101</v>
      </c>
      <c r="AA1544" s="77" t="s">
        <v>1345</v>
      </c>
      <c r="AB1544" s="77" t="s">
        <v>1346</v>
      </c>
      <c r="AC1544" s="77" t="s">
        <v>90</v>
      </c>
      <c r="AD1544" s="77" t="s">
        <v>274</v>
      </c>
      <c r="AE1544" s="77" t="s">
        <v>2874</v>
      </c>
      <c r="AG1544" s="77" t="s">
        <v>1401</v>
      </c>
    </row>
    <row r="1545" spans="1:33" x14ac:dyDescent="0.3">
      <c r="A1545" s="77" t="s">
        <v>2893</v>
      </c>
      <c r="B1545" s="77" t="s">
        <v>1405</v>
      </c>
      <c r="G1545" s="77" t="s">
        <v>2873</v>
      </c>
      <c r="H1545" s="77" t="s">
        <v>77</v>
      </c>
      <c r="I1545" s="77" t="s">
        <v>1521</v>
      </c>
      <c r="J1545" s="77" t="s">
        <v>79</v>
      </c>
      <c r="K1545" s="77" t="s">
        <v>1522</v>
      </c>
      <c r="L1545" s="77" t="s">
        <v>1406</v>
      </c>
      <c r="M1545" s="77" t="s">
        <v>82</v>
      </c>
      <c r="N1545" s="77" t="s">
        <v>83</v>
      </c>
      <c r="Q1545" s="77" t="s">
        <v>1343</v>
      </c>
      <c r="T1545" s="77" t="s">
        <v>1401</v>
      </c>
      <c r="U1545" s="77" t="s">
        <v>85</v>
      </c>
      <c r="V1545" s="80" t="s">
        <v>1402</v>
      </c>
      <c r="X1545" s="77" t="s">
        <v>1403</v>
      </c>
      <c r="Y1545" s="78" t="s">
        <v>101</v>
      </c>
      <c r="AA1545" s="77" t="s">
        <v>1345</v>
      </c>
      <c r="AB1545" s="77" t="s">
        <v>1346</v>
      </c>
      <c r="AC1545" s="77" t="s">
        <v>90</v>
      </c>
      <c r="AD1545" s="77" t="s">
        <v>274</v>
      </c>
      <c r="AE1545" s="77" t="s">
        <v>2874</v>
      </c>
      <c r="AG1545" s="77" t="s">
        <v>1401</v>
      </c>
    </row>
    <row r="1546" spans="1:33" x14ac:dyDescent="0.3">
      <c r="A1546" s="77" t="s">
        <v>2894</v>
      </c>
      <c r="B1546" s="77" t="s">
        <v>1408</v>
      </c>
      <c r="G1546" s="77" t="s">
        <v>2873</v>
      </c>
      <c r="H1546" s="77" t="s">
        <v>77</v>
      </c>
      <c r="I1546" s="77" t="s">
        <v>1521</v>
      </c>
      <c r="J1546" s="77" t="s">
        <v>79</v>
      </c>
      <c r="K1546" s="77" t="s">
        <v>1522</v>
      </c>
      <c r="L1546" s="77" t="s">
        <v>1409</v>
      </c>
      <c r="M1546" s="77" t="s">
        <v>82</v>
      </c>
      <c r="N1546" s="77" t="s">
        <v>83</v>
      </c>
      <c r="Q1546" s="77" t="s">
        <v>1343</v>
      </c>
      <c r="T1546" s="77" t="s">
        <v>1410</v>
      </c>
      <c r="U1546" s="77" t="s">
        <v>85</v>
      </c>
      <c r="V1546" s="80" t="s">
        <v>547</v>
      </c>
      <c r="X1546" s="77" t="s">
        <v>548</v>
      </c>
      <c r="Y1546" s="78" t="s">
        <v>88</v>
      </c>
      <c r="AA1546" s="77" t="s">
        <v>1345</v>
      </c>
      <c r="AB1546" s="77" t="s">
        <v>1346</v>
      </c>
      <c r="AC1546" s="77" t="s">
        <v>90</v>
      </c>
      <c r="AD1546" s="77" t="s">
        <v>91</v>
      </c>
      <c r="AE1546" s="77" t="s">
        <v>2874</v>
      </c>
      <c r="AG1546" s="77" t="s">
        <v>1410</v>
      </c>
    </row>
    <row r="1547" spans="1:33" x14ac:dyDescent="0.3">
      <c r="A1547" s="77" t="s">
        <v>2895</v>
      </c>
      <c r="B1547" s="77" t="s">
        <v>1412</v>
      </c>
      <c r="G1547" s="77" t="s">
        <v>2873</v>
      </c>
      <c r="H1547" s="77" t="s">
        <v>77</v>
      </c>
      <c r="I1547" s="77" t="s">
        <v>1521</v>
      </c>
      <c r="J1547" s="77" t="s">
        <v>79</v>
      </c>
      <c r="K1547" s="77" t="s">
        <v>1522</v>
      </c>
      <c r="L1547" s="77" t="s">
        <v>1409</v>
      </c>
      <c r="M1547" s="77" t="s">
        <v>82</v>
      </c>
      <c r="N1547" s="77" t="s">
        <v>83</v>
      </c>
      <c r="Q1547" s="77" t="s">
        <v>1343</v>
      </c>
      <c r="T1547" s="77" t="s">
        <v>1410</v>
      </c>
      <c r="U1547" s="77" t="s">
        <v>85</v>
      </c>
      <c r="V1547" s="80" t="s">
        <v>547</v>
      </c>
      <c r="X1547" s="77" t="s">
        <v>548</v>
      </c>
      <c r="Y1547" s="78" t="s">
        <v>88</v>
      </c>
      <c r="AA1547" s="77" t="s">
        <v>1345</v>
      </c>
      <c r="AB1547" s="77" t="s">
        <v>1346</v>
      </c>
      <c r="AC1547" s="77" t="s">
        <v>90</v>
      </c>
      <c r="AD1547" s="77" t="s">
        <v>91</v>
      </c>
      <c r="AE1547" s="77" t="s">
        <v>2874</v>
      </c>
      <c r="AG1547" s="77" t="s">
        <v>1410</v>
      </c>
    </row>
    <row r="1548" spans="1:33" x14ac:dyDescent="0.3">
      <c r="A1548" s="77" t="s">
        <v>2896</v>
      </c>
      <c r="B1548" s="77" t="s">
        <v>1414</v>
      </c>
      <c r="G1548" s="77" t="s">
        <v>2873</v>
      </c>
      <c r="H1548" s="77" t="s">
        <v>77</v>
      </c>
      <c r="I1548" s="77" t="s">
        <v>1521</v>
      </c>
      <c r="J1548" s="77" t="s">
        <v>79</v>
      </c>
      <c r="K1548" s="77" t="s">
        <v>1522</v>
      </c>
      <c r="L1548" s="77" t="s">
        <v>1415</v>
      </c>
      <c r="M1548" s="77" t="s">
        <v>82</v>
      </c>
      <c r="N1548" s="77" t="s">
        <v>83</v>
      </c>
      <c r="Q1548" s="77" t="s">
        <v>1343</v>
      </c>
      <c r="T1548" s="77" t="s">
        <v>1344</v>
      </c>
      <c r="U1548" s="77" t="s">
        <v>85</v>
      </c>
      <c r="V1548" s="80" t="s">
        <v>86</v>
      </c>
      <c r="X1548" s="77" t="s">
        <v>87</v>
      </c>
      <c r="Y1548" s="78" t="s">
        <v>88</v>
      </c>
      <c r="AA1548" s="77" t="s">
        <v>1345</v>
      </c>
      <c r="AB1548" s="77" t="s">
        <v>1346</v>
      </c>
      <c r="AC1548" s="77" t="s">
        <v>90</v>
      </c>
      <c r="AD1548" s="77" t="s">
        <v>91</v>
      </c>
      <c r="AE1548" s="77" t="s">
        <v>2874</v>
      </c>
      <c r="AG1548" s="77" t="s">
        <v>1344</v>
      </c>
    </row>
    <row r="1549" spans="1:33" x14ac:dyDescent="0.3">
      <c r="A1549" s="77" t="s">
        <v>2897</v>
      </c>
      <c r="B1549" s="77" t="s">
        <v>1417</v>
      </c>
      <c r="G1549" s="77" t="s">
        <v>2873</v>
      </c>
      <c r="H1549" s="77" t="s">
        <v>77</v>
      </c>
      <c r="I1549" s="77" t="s">
        <v>1521</v>
      </c>
      <c r="J1549" s="77" t="s">
        <v>79</v>
      </c>
      <c r="K1549" s="77" t="s">
        <v>1522</v>
      </c>
      <c r="L1549" s="77" t="s">
        <v>1415</v>
      </c>
      <c r="M1549" s="77" t="s">
        <v>82</v>
      </c>
      <c r="N1549" s="77" t="s">
        <v>83</v>
      </c>
      <c r="Q1549" s="77" t="s">
        <v>1343</v>
      </c>
      <c r="T1549" s="77" t="s">
        <v>1351</v>
      </c>
      <c r="U1549" s="77" t="s">
        <v>85</v>
      </c>
      <c r="V1549" s="80" t="s">
        <v>95</v>
      </c>
      <c r="X1549" s="77" t="s">
        <v>96</v>
      </c>
      <c r="Y1549" s="78" t="s">
        <v>88</v>
      </c>
      <c r="AA1549" s="77" t="s">
        <v>1345</v>
      </c>
      <c r="AB1549" s="77" t="s">
        <v>1346</v>
      </c>
      <c r="AC1549" s="77" t="s">
        <v>90</v>
      </c>
      <c r="AD1549" s="77" t="s">
        <v>91</v>
      </c>
      <c r="AE1549" s="77" t="s">
        <v>2874</v>
      </c>
      <c r="AG1549" s="77" t="s">
        <v>1351</v>
      </c>
    </row>
    <row r="1550" spans="1:33" x14ac:dyDescent="0.3">
      <c r="A1550" s="77" t="s">
        <v>2898</v>
      </c>
      <c r="B1550" s="77" t="s">
        <v>1419</v>
      </c>
      <c r="G1550" s="77" t="s">
        <v>2873</v>
      </c>
      <c r="H1550" s="77" t="s">
        <v>77</v>
      </c>
      <c r="I1550" s="77" t="s">
        <v>1521</v>
      </c>
      <c r="J1550" s="77" t="s">
        <v>79</v>
      </c>
      <c r="K1550" s="77" t="s">
        <v>1522</v>
      </c>
      <c r="L1550" s="77" t="s">
        <v>1415</v>
      </c>
      <c r="M1550" s="77" t="s">
        <v>82</v>
      </c>
      <c r="N1550" s="77" t="s">
        <v>83</v>
      </c>
      <c r="Q1550" s="77" t="s">
        <v>1343</v>
      </c>
      <c r="T1550" s="77" t="s">
        <v>1355</v>
      </c>
      <c r="U1550" s="77" t="s">
        <v>85</v>
      </c>
      <c r="V1550" s="80" t="s">
        <v>99</v>
      </c>
      <c r="X1550" s="77" t="s">
        <v>100</v>
      </c>
      <c r="Y1550" s="78" t="s">
        <v>101</v>
      </c>
      <c r="AA1550" s="77" t="s">
        <v>1345</v>
      </c>
      <c r="AB1550" s="77" t="s">
        <v>1346</v>
      </c>
      <c r="AC1550" s="77" t="s">
        <v>90</v>
      </c>
      <c r="AD1550" s="77" t="s">
        <v>102</v>
      </c>
      <c r="AE1550" s="77" t="s">
        <v>2874</v>
      </c>
      <c r="AG1550" s="77" t="s">
        <v>1355</v>
      </c>
    </row>
    <row r="1551" spans="1:33" x14ac:dyDescent="0.3">
      <c r="A1551" s="77" t="s">
        <v>2899</v>
      </c>
      <c r="B1551" s="77" t="s">
        <v>1421</v>
      </c>
      <c r="G1551" s="77" t="s">
        <v>2873</v>
      </c>
      <c r="H1551" s="77" t="s">
        <v>77</v>
      </c>
      <c r="I1551" s="77" t="s">
        <v>1521</v>
      </c>
      <c r="J1551" s="77" t="s">
        <v>79</v>
      </c>
      <c r="K1551" s="77" t="s">
        <v>1522</v>
      </c>
      <c r="L1551" s="77" t="s">
        <v>1415</v>
      </c>
      <c r="M1551" s="77" t="s">
        <v>82</v>
      </c>
      <c r="N1551" s="77" t="s">
        <v>83</v>
      </c>
      <c r="Q1551" s="77" t="s">
        <v>1343</v>
      </c>
      <c r="T1551" s="77" t="s">
        <v>1359</v>
      </c>
      <c r="U1551" s="77" t="s">
        <v>85</v>
      </c>
      <c r="V1551" s="80" t="s">
        <v>105</v>
      </c>
      <c r="X1551" s="77" t="s">
        <v>106</v>
      </c>
      <c r="Y1551" s="78" t="s">
        <v>101</v>
      </c>
      <c r="AA1551" s="77" t="s">
        <v>1345</v>
      </c>
      <c r="AB1551" s="77" t="s">
        <v>1346</v>
      </c>
      <c r="AC1551" s="77" t="s">
        <v>90</v>
      </c>
      <c r="AD1551" s="77" t="s">
        <v>102</v>
      </c>
      <c r="AE1551" s="77" t="s">
        <v>2874</v>
      </c>
      <c r="AG1551" s="77" t="s">
        <v>1359</v>
      </c>
    </row>
    <row r="1552" spans="1:33" x14ac:dyDescent="0.3">
      <c r="A1552" s="77" t="s">
        <v>2900</v>
      </c>
      <c r="B1552" s="77" t="s">
        <v>1423</v>
      </c>
      <c r="G1552" s="77" t="s">
        <v>2873</v>
      </c>
      <c r="H1552" s="77" t="s">
        <v>77</v>
      </c>
      <c r="I1552" s="77" t="s">
        <v>1521</v>
      </c>
      <c r="J1552" s="77" t="s">
        <v>79</v>
      </c>
      <c r="K1552" s="77" t="s">
        <v>1522</v>
      </c>
      <c r="L1552" s="77" t="s">
        <v>1415</v>
      </c>
      <c r="M1552" s="77" t="s">
        <v>82</v>
      </c>
      <c r="N1552" s="77" t="s">
        <v>83</v>
      </c>
      <c r="Q1552" s="77" t="s">
        <v>1343</v>
      </c>
      <c r="T1552" s="77" t="s">
        <v>1344</v>
      </c>
      <c r="U1552" s="77" t="s">
        <v>85</v>
      </c>
      <c r="V1552" s="80" t="s">
        <v>86</v>
      </c>
      <c r="X1552" s="77" t="s">
        <v>87</v>
      </c>
      <c r="Y1552" s="78" t="s">
        <v>88</v>
      </c>
      <c r="AA1552" s="77" t="s">
        <v>1345</v>
      </c>
      <c r="AB1552" s="77" t="s">
        <v>1346</v>
      </c>
      <c r="AC1552" s="77" t="s">
        <v>90</v>
      </c>
      <c r="AD1552" s="77" t="s">
        <v>91</v>
      </c>
      <c r="AE1552" s="77" t="s">
        <v>2874</v>
      </c>
      <c r="AG1552" s="77" t="s">
        <v>1344</v>
      </c>
    </row>
    <row r="1553" spans="1:33" x14ac:dyDescent="0.3">
      <c r="A1553" s="77" t="s">
        <v>2901</v>
      </c>
      <c r="B1553" s="77" t="s">
        <v>1425</v>
      </c>
      <c r="G1553" s="77" t="s">
        <v>2873</v>
      </c>
      <c r="H1553" s="77" t="s">
        <v>77</v>
      </c>
      <c r="I1553" s="77" t="s">
        <v>1521</v>
      </c>
      <c r="J1553" s="77" t="s">
        <v>79</v>
      </c>
      <c r="K1553" s="77" t="s">
        <v>1522</v>
      </c>
      <c r="L1553" s="77" t="s">
        <v>1415</v>
      </c>
      <c r="M1553" s="77" t="s">
        <v>82</v>
      </c>
      <c r="N1553" s="77" t="s">
        <v>83</v>
      </c>
      <c r="Q1553" s="77" t="s">
        <v>1343</v>
      </c>
      <c r="T1553" s="77" t="s">
        <v>1351</v>
      </c>
      <c r="U1553" s="77" t="s">
        <v>85</v>
      </c>
      <c r="V1553" s="80" t="s">
        <v>95</v>
      </c>
      <c r="X1553" s="77" t="s">
        <v>96</v>
      </c>
      <c r="Y1553" s="78" t="s">
        <v>88</v>
      </c>
      <c r="AA1553" s="77" t="s">
        <v>1345</v>
      </c>
      <c r="AB1553" s="77" t="s">
        <v>1346</v>
      </c>
      <c r="AC1553" s="77" t="s">
        <v>90</v>
      </c>
      <c r="AD1553" s="77" t="s">
        <v>91</v>
      </c>
      <c r="AE1553" s="77" t="s">
        <v>2874</v>
      </c>
      <c r="AG1553" s="77" t="s">
        <v>1351</v>
      </c>
    </row>
    <row r="1554" spans="1:33" x14ac:dyDescent="0.3">
      <c r="A1554" s="77" t="s">
        <v>2902</v>
      </c>
      <c r="B1554" s="77" t="s">
        <v>1427</v>
      </c>
      <c r="G1554" s="77" t="s">
        <v>2873</v>
      </c>
      <c r="H1554" s="77" t="s">
        <v>77</v>
      </c>
      <c r="I1554" s="77" t="s">
        <v>1521</v>
      </c>
      <c r="J1554" s="77" t="s">
        <v>79</v>
      </c>
      <c r="K1554" s="77" t="s">
        <v>1522</v>
      </c>
      <c r="L1554" s="77" t="s">
        <v>1415</v>
      </c>
      <c r="M1554" s="77" t="s">
        <v>82</v>
      </c>
      <c r="N1554" s="77" t="s">
        <v>83</v>
      </c>
      <c r="Q1554" s="77" t="s">
        <v>1343</v>
      </c>
      <c r="T1554" s="77" t="s">
        <v>1355</v>
      </c>
      <c r="U1554" s="77" t="s">
        <v>85</v>
      </c>
      <c r="V1554" s="80" t="s">
        <v>99</v>
      </c>
      <c r="X1554" s="77" t="s">
        <v>100</v>
      </c>
      <c r="Y1554" s="78" t="s">
        <v>101</v>
      </c>
      <c r="AA1554" s="77" t="s">
        <v>1345</v>
      </c>
      <c r="AB1554" s="77" t="s">
        <v>1346</v>
      </c>
      <c r="AC1554" s="77" t="s">
        <v>90</v>
      </c>
      <c r="AD1554" s="77" t="s">
        <v>102</v>
      </c>
      <c r="AE1554" s="77" t="s">
        <v>2874</v>
      </c>
      <c r="AG1554" s="77" t="s">
        <v>1355</v>
      </c>
    </row>
    <row r="1555" spans="1:33" x14ac:dyDescent="0.3">
      <c r="A1555" s="77" t="s">
        <v>2903</v>
      </c>
      <c r="B1555" s="77" t="s">
        <v>1429</v>
      </c>
      <c r="G1555" s="77" t="s">
        <v>2873</v>
      </c>
      <c r="H1555" s="77" t="s">
        <v>77</v>
      </c>
      <c r="I1555" s="77" t="s">
        <v>1521</v>
      </c>
      <c r="J1555" s="77" t="s">
        <v>79</v>
      </c>
      <c r="K1555" s="77" t="s">
        <v>1522</v>
      </c>
      <c r="L1555" s="77" t="s">
        <v>1415</v>
      </c>
      <c r="M1555" s="77" t="s">
        <v>82</v>
      </c>
      <c r="N1555" s="77" t="s">
        <v>83</v>
      </c>
      <c r="Q1555" s="77" t="s">
        <v>1343</v>
      </c>
      <c r="T1555" s="77" t="s">
        <v>1359</v>
      </c>
      <c r="U1555" s="77" t="s">
        <v>85</v>
      </c>
      <c r="V1555" s="80" t="s">
        <v>105</v>
      </c>
      <c r="X1555" s="77" t="s">
        <v>106</v>
      </c>
      <c r="Y1555" s="78" t="s">
        <v>101</v>
      </c>
      <c r="AA1555" s="77" t="s">
        <v>1345</v>
      </c>
      <c r="AB1555" s="77" t="s">
        <v>1346</v>
      </c>
      <c r="AC1555" s="77" t="s">
        <v>90</v>
      </c>
      <c r="AD1555" s="77" t="s">
        <v>102</v>
      </c>
      <c r="AE1555" s="77" t="s">
        <v>2874</v>
      </c>
      <c r="AG1555" s="77" t="s">
        <v>1359</v>
      </c>
    </row>
    <row r="1556" spans="1:33" x14ac:dyDescent="0.3">
      <c r="A1556" s="77" t="s">
        <v>2904</v>
      </c>
      <c r="B1556" s="77" t="s">
        <v>1431</v>
      </c>
      <c r="G1556" s="77" t="s">
        <v>2873</v>
      </c>
      <c r="H1556" s="77" t="s">
        <v>77</v>
      </c>
      <c r="I1556" s="77" t="s">
        <v>1521</v>
      </c>
      <c r="J1556" s="77" t="s">
        <v>79</v>
      </c>
      <c r="K1556" s="77" t="s">
        <v>1522</v>
      </c>
      <c r="L1556" s="77" t="s">
        <v>1409</v>
      </c>
      <c r="M1556" s="77" t="s">
        <v>82</v>
      </c>
      <c r="N1556" s="77" t="s">
        <v>83</v>
      </c>
      <c r="Q1556" s="77" t="s">
        <v>1343</v>
      </c>
      <c r="T1556" s="77" t="s">
        <v>1410</v>
      </c>
      <c r="U1556" s="77" t="s">
        <v>85</v>
      </c>
      <c r="V1556" s="80" t="s">
        <v>554</v>
      </c>
      <c r="X1556" s="77" t="s">
        <v>555</v>
      </c>
      <c r="Y1556" s="78" t="s">
        <v>88</v>
      </c>
      <c r="AA1556" s="77" t="s">
        <v>1345</v>
      </c>
      <c r="AB1556" s="77" t="s">
        <v>1346</v>
      </c>
      <c r="AC1556" s="77" t="s">
        <v>90</v>
      </c>
      <c r="AD1556" s="77" t="s">
        <v>91</v>
      </c>
      <c r="AE1556" s="77" t="s">
        <v>2874</v>
      </c>
      <c r="AG1556" s="77" t="s">
        <v>1410</v>
      </c>
    </row>
    <row r="1557" spans="1:33" x14ac:dyDescent="0.3">
      <c r="A1557" s="77" t="s">
        <v>2905</v>
      </c>
      <c r="B1557" s="77" t="s">
        <v>1433</v>
      </c>
      <c r="G1557" s="77" t="s">
        <v>2873</v>
      </c>
      <c r="H1557" s="77" t="s">
        <v>77</v>
      </c>
      <c r="I1557" s="77" t="s">
        <v>1521</v>
      </c>
      <c r="J1557" s="77" t="s">
        <v>79</v>
      </c>
      <c r="K1557" s="77" t="s">
        <v>1522</v>
      </c>
      <c r="L1557" s="77" t="s">
        <v>1409</v>
      </c>
      <c r="M1557" s="77" t="s">
        <v>82</v>
      </c>
      <c r="N1557" s="77" t="s">
        <v>83</v>
      </c>
      <c r="Q1557" s="77" t="s">
        <v>1343</v>
      </c>
      <c r="T1557" s="77" t="s">
        <v>1410</v>
      </c>
      <c r="U1557" s="77" t="s">
        <v>85</v>
      </c>
      <c r="V1557" s="80" t="s">
        <v>554</v>
      </c>
      <c r="X1557" s="77" t="s">
        <v>555</v>
      </c>
      <c r="Y1557" s="78" t="s">
        <v>88</v>
      </c>
      <c r="AA1557" s="77" t="s">
        <v>1345</v>
      </c>
      <c r="AB1557" s="77" t="s">
        <v>1346</v>
      </c>
      <c r="AC1557" s="77" t="s">
        <v>90</v>
      </c>
      <c r="AD1557" s="77" t="s">
        <v>91</v>
      </c>
      <c r="AE1557" s="77" t="s">
        <v>2874</v>
      </c>
      <c r="AG1557" s="77" t="s">
        <v>1410</v>
      </c>
    </row>
    <row r="1558" spans="1:33" x14ac:dyDescent="0.3">
      <c r="A1558" s="77" t="s">
        <v>2906</v>
      </c>
      <c r="B1558" s="77" t="s">
        <v>1435</v>
      </c>
      <c r="G1558" s="77" t="s">
        <v>2873</v>
      </c>
      <c r="H1558" s="77" t="s">
        <v>77</v>
      </c>
      <c r="I1558" s="77" t="s">
        <v>1521</v>
      </c>
      <c r="J1558" s="77" t="s">
        <v>79</v>
      </c>
      <c r="K1558" s="77" t="s">
        <v>1522</v>
      </c>
      <c r="L1558" s="77" t="s">
        <v>1409</v>
      </c>
      <c r="M1558" s="77" t="s">
        <v>82</v>
      </c>
      <c r="N1558" s="77" t="s">
        <v>83</v>
      </c>
      <c r="Q1558" s="77" t="s">
        <v>1343</v>
      </c>
      <c r="T1558" s="77" t="s">
        <v>1410</v>
      </c>
      <c r="U1558" s="77" t="s">
        <v>85</v>
      </c>
      <c r="V1558" s="80" t="s">
        <v>561</v>
      </c>
      <c r="X1558" s="77" t="s">
        <v>562</v>
      </c>
      <c r="Y1558" s="78" t="s">
        <v>101</v>
      </c>
      <c r="AA1558" s="77" t="s">
        <v>1345</v>
      </c>
      <c r="AB1558" s="77" t="s">
        <v>1346</v>
      </c>
      <c r="AC1558" s="77" t="s">
        <v>90</v>
      </c>
      <c r="AD1558" s="77" t="s">
        <v>102</v>
      </c>
      <c r="AE1558" s="77" t="s">
        <v>2874</v>
      </c>
      <c r="AG1558" s="77" t="s">
        <v>1410</v>
      </c>
    </row>
    <row r="1559" spans="1:33" x14ac:dyDescent="0.3">
      <c r="A1559" s="77" t="s">
        <v>2907</v>
      </c>
      <c r="B1559" s="77" t="s">
        <v>1437</v>
      </c>
      <c r="G1559" s="77" t="s">
        <v>2873</v>
      </c>
      <c r="H1559" s="77" t="s">
        <v>77</v>
      </c>
      <c r="I1559" s="77" t="s">
        <v>1521</v>
      </c>
      <c r="J1559" s="77" t="s">
        <v>79</v>
      </c>
      <c r="K1559" s="77" t="s">
        <v>1522</v>
      </c>
      <c r="L1559" s="77" t="s">
        <v>1409</v>
      </c>
      <c r="M1559" s="77" t="s">
        <v>82</v>
      </c>
      <c r="N1559" s="77" t="s">
        <v>83</v>
      </c>
      <c r="Q1559" s="77" t="s">
        <v>1343</v>
      </c>
      <c r="T1559" s="77" t="s">
        <v>1410</v>
      </c>
      <c r="U1559" s="77" t="s">
        <v>85</v>
      </c>
      <c r="V1559" s="80" t="s">
        <v>561</v>
      </c>
      <c r="X1559" s="77" t="s">
        <v>562</v>
      </c>
      <c r="Y1559" s="78" t="s">
        <v>101</v>
      </c>
      <c r="AA1559" s="77" t="s">
        <v>1345</v>
      </c>
      <c r="AB1559" s="77" t="s">
        <v>1346</v>
      </c>
      <c r="AC1559" s="77" t="s">
        <v>90</v>
      </c>
      <c r="AD1559" s="77" t="s">
        <v>102</v>
      </c>
      <c r="AE1559" s="77" t="s">
        <v>2874</v>
      </c>
      <c r="AG1559" s="77" t="s">
        <v>1410</v>
      </c>
    </row>
    <row r="1560" spans="1:33" x14ac:dyDescent="0.3">
      <c r="A1560" s="77" t="s">
        <v>2908</v>
      </c>
      <c r="B1560" s="77" t="s">
        <v>1439</v>
      </c>
      <c r="G1560" s="77" t="s">
        <v>2873</v>
      </c>
      <c r="H1560" s="77" t="s">
        <v>77</v>
      </c>
      <c r="I1560" s="77" t="s">
        <v>1521</v>
      </c>
      <c r="J1560" s="77" t="s">
        <v>79</v>
      </c>
      <c r="K1560" s="77" t="s">
        <v>1522</v>
      </c>
      <c r="L1560" s="77" t="s">
        <v>1409</v>
      </c>
      <c r="M1560" s="77" t="s">
        <v>82</v>
      </c>
      <c r="N1560" s="77" t="s">
        <v>83</v>
      </c>
      <c r="Q1560" s="77" t="s">
        <v>1343</v>
      </c>
      <c r="T1560" s="77" t="s">
        <v>1410</v>
      </c>
      <c r="U1560" s="77" t="s">
        <v>85</v>
      </c>
      <c r="V1560" s="80" t="s">
        <v>568</v>
      </c>
      <c r="X1560" s="77" t="s">
        <v>569</v>
      </c>
      <c r="Y1560" s="78" t="s">
        <v>101</v>
      </c>
      <c r="AA1560" s="77" t="s">
        <v>1345</v>
      </c>
      <c r="AB1560" s="77" t="s">
        <v>1346</v>
      </c>
      <c r="AC1560" s="77" t="s">
        <v>90</v>
      </c>
      <c r="AD1560" s="77" t="s">
        <v>102</v>
      </c>
      <c r="AE1560" s="77" t="s">
        <v>2874</v>
      </c>
      <c r="AG1560" s="77" t="s">
        <v>1410</v>
      </c>
    </row>
    <row r="1561" spans="1:33" x14ac:dyDescent="0.3">
      <c r="A1561" s="77" t="s">
        <v>2909</v>
      </c>
      <c r="B1561" s="77" t="s">
        <v>1441</v>
      </c>
      <c r="G1561" s="77" t="s">
        <v>2873</v>
      </c>
      <c r="H1561" s="77" t="s">
        <v>77</v>
      </c>
      <c r="I1561" s="77" t="s">
        <v>1521</v>
      </c>
      <c r="J1561" s="77" t="s">
        <v>79</v>
      </c>
      <c r="K1561" s="77" t="s">
        <v>1522</v>
      </c>
      <c r="L1561" s="77" t="s">
        <v>1409</v>
      </c>
      <c r="M1561" s="77" t="s">
        <v>82</v>
      </c>
      <c r="N1561" s="77" t="s">
        <v>83</v>
      </c>
      <c r="Q1561" s="77" t="s">
        <v>1343</v>
      </c>
      <c r="T1561" s="77" t="s">
        <v>1410</v>
      </c>
      <c r="U1561" s="77" t="s">
        <v>85</v>
      </c>
      <c r="V1561" s="80" t="s">
        <v>568</v>
      </c>
      <c r="X1561" s="77" t="s">
        <v>569</v>
      </c>
      <c r="Y1561" s="78" t="s">
        <v>101</v>
      </c>
      <c r="AA1561" s="77" t="s">
        <v>1345</v>
      </c>
      <c r="AB1561" s="77" t="s">
        <v>1346</v>
      </c>
      <c r="AC1561" s="77" t="s">
        <v>90</v>
      </c>
      <c r="AD1561" s="77" t="s">
        <v>102</v>
      </c>
      <c r="AE1561" s="77" t="s">
        <v>2874</v>
      </c>
      <c r="AG1561" s="77" t="s">
        <v>1410</v>
      </c>
    </row>
    <row r="1562" spans="1:33" x14ac:dyDescent="0.3">
      <c r="A1562" s="77" t="s">
        <v>2910</v>
      </c>
      <c r="B1562" s="77" t="s">
        <v>1443</v>
      </c>
      <c r="G1562" s="77" t="s">
        <v>2873</v>
      </c>
      <c r="H1562" s="77" t="s">
        <v>77</v>
      </c>
      <c r="I1562" s="77" t="s">
        <v>1521</v>
      </c>
      <c r="J1562" s="77" t="s">
        <v>79</v>
      </c>
      <c r="K1562" s="77" t="s">
        <v>1522</v>
      </c>
      <c r="L1562" s="77" t="s">
        <v>1444</v>
      </c>
      <c r="M1562" s="77" t="s">
        <v>82</v>
      </c>
      <c r="N1562" s="77" t="s">
        <v>83</v>
      </c>
      <c r="Q1562" s="77" t="s">
        <v>1343</v>
      </c>
      <c r="T1562" s="77" t="s">
        <v>1377</v>
      </c>
      <c r="U1562" s="77" t="s">
        <v>85</v>
      </c>
      <c r="V1562" s="80" t="s">
        <v>507</v>
      </c>
      <c r="X1562" s="77" t="s">
        <v>508</v>
      </c>
      <c r="Y1562" s="78" t="s">
        <v>88</v>
      </c>
      <c r="AA1562" s="77" t="s">
        <v>1345</v>
      </c>
      <c r="AB1562" s="77" t="s">
        <v>1346</v>
      </c>
      <c r="AC1562" s="77" t="s">
        <v>90</v>
      </c>
      <c r="AD1562" s="77" t="s">
        <v>91</v>
      </c>
      <c r="AE1562" s="77" t="s">
        <v>2874</v>
      </c>
      <c r="AG1562" s="77" t="s">
        <v>1377</v>
      </c>
    </row>
    <row r="1563" spans="1:33" x14ac:dyDescent="0.3">
      <c r="A1563" s="77" t="s">
        <v>2911</v>
      </c>
      <c r="B1563" s="77" t="s">
        <v>1446</v>
      </c>
      <c r="G1563" s="77" t="s">
        <v>2873</v>
      </c>
      <c r="H1563" s="77" t="s">
        <v>77</v>
      </c>
      <c r="I1563" s="77" t="s">
        <v>1521</v>
      </c>
      <c r="J1563" s="77" t="s">
        <v>79</v>
      </c>
      <c r="K1563" s="77" t="s">
        <v>1522</v>
      </c>
      <c r="L1563" s="77" t="s">
        <v>1444</v>
      </c>
      <c r="M1563" s="77" t="s">
        <v>82</v>
      </c>
      <c r="N1563" s="77" t="s">
        <v>83</v>
      </c>
      <c r="Q1563" s="77" t="s">
        <v>1343</v>
      </c>
      <c r="T1563" s="77" t="s">
        <v>1377</v>
      </c>
      <c r="U1563" s="77" t="s">
        <v>85</v>
      </c>
      <c r="V1563" s="80" t="s">
        <v>514</v>
      </c>
      <c r="X1563" s="77" t="s">
        <v>515</v>
      </c>
      <c r="Y1563" s="78" t="s">
        <v>88</v>
      </c>
      <c r="AA1563" s="77" t="s">
        <v>1345</v>
      </c>
      <c r="AB1563" s="77" t="s">
        <v>1346</v>
      </c>
      <c r="AC1563" s="77" t="s">
        <v>90</v>
      </c>
      <c r="AD1563" s="77" t="s">
        <v>91</v>
      </c>
      <c r="AE1563" s="77" t="s">
        <v>2874</v>
      </c>
      <c r="AG1563" s="77" t="s">
        <v>1377</v>
      </c>
    </row>
    <row r="1564" spans="1:33" x14ac:dyDescent="0.3">
      <c r="A1564" s="77" t="s">
        <v>2912</v>
      </c>
      <c r="B1564" s="77" t="s">
        <v>1448</v>
      </c>
      <c r="G1564" s="77" t="s">
        <v>2873</v>
      </c>
      <c r="H1564" s="77" t="s">
        <v>77</v>
      </c>
      <c r="I1564" s="77" t="s">
        <v>1521</v>
      </c>
      <c r="J1564" s="77" t="s">
        <v>79</v>
      </c>
      <c r="K1564" s="77" t="s">
        <v>1522</v>
      </c>
      <c r="L1564" s="77" t="s">
        <v>1444</v>
      </c>
      <c r="M1564" s="77" t="s">
        <v>82</v>
      </c>
      <c r="N1564" s="77" t="s">
        <v>83</v>
      </c>
      <c r="Q1564" s="77" t="s">
        <v>1343</v>
      </c>
      <c r="T1564" s="77" t="s">
        <v>1377</v>
      </c>
      <c r="U1564" s="77" t="s">
        <v>85</v>
      </c>
      <c r="V1564" s="80" t="s">
        <v>521</v>
      </c>
      <c r="X1564" s="77" t="s">
        <v>522</v>
      </c>
      <c r="Y1564" s="78" t="s">
        <v>101</v>
      </c>
      <c r="AA1564" s="77" t="s">
        <v>1345</v>
      </c>
      <c r="AB1564" s="77" t="s">
        <v>1346</v>
      </c>
      <c r="AC1564" s="77" t="s">
        <v>90</v>
      </c>
      <c r="AD1564" s="77" t="s">
        <v>102</v>
      </c>
      <c r="AE1564" s="77" t="s">
        <v>2874</v>
      </c>
      <c r="AG1564" s="77" t="s">
        <v>1377</v>
      </c>
    </row>
    <row r="1565" spans="1:33" x14ac:dyDescent="0.3">
      <c r="A1565" s="77" t="s">
        <v>2913</v>
      </c>
      <c r="B1565" s="77" t="s">
        <v>1450</v>
      </c>
      <c r="G1565" s="77" t="s">
        <v>2873</v>
      </c>
      <c r="H1565" s="77" t="s">
        <v>77</v>
      </c>
      <c r="I1565" s="77" t="s">
        <v>1521</v>
      </c>
      <c r="J1565" s="77" t="s">
        <v>79</v>
      </c>
      <c r="K1565" s="77" t="s">
        <v>1522</v>
      </c>
      <c r="L1565" s="77" t="s">
        <v>1444</v>
      </c>
      <c r="M1565" s="77" t="s">
        <v>82</v>
      </c>
      <c r="N1565" s="77" t="s">
        <v>83</v>
      </c>
      <c r="Q1565" s="77" t="s">
        <v>1343</v>
      </c>
      <c r="T1565" s="77" t="s">
        <v>1377</v>
      </c>
      <c r="U1565" s="77" t="s">
        <v>85</v>
      </c>
      <c r="V1565" s="80" t="s">
        <v>528</v>
      </c>
      <c r="X1565" s="77" t="s">
        <v>529</v>
      </c>
      <c r="Y1565" s="78" t="s">
        <v>101</v>
      </c>
      <c r="AA1565" s="77" t="s">
        <v>1345</v>
      </c>
      <c r="AB1565" s="77" t="s">
        <v>1346</v>
      </c>
      <c r="AC1565" s="77" t="s">
        <v>90</v>
      </c>
      <c r="AD1565" s="77" t="s">
        <v>102</v>
      </c>
      <c r="AE1565" s="77" t="s">
        <v>2874</v>
      </c>
      <c r="AG1565" s="77" t="s">
        <v>1377</v>
      </c>
    </row>
    <row r="1566" spans="1:33" x14ac:dyDescent="0.3">
      <c r="A1566" s="77" t="s">
        <v>2914</v>
      </c>
      <c r="B1566" s="77" t="s">
        <v>1452</v>
      </c>
      <c r="G1566" s="77" t="s">
        <v>2873</v>
      </c>
      <c r="H1566" s="77" t="s">
        <v>77</v>
      </c>
      <c r="I1566" s="77" t="s">
        <v>1521</v>
      </c>
      <c r="J1566" s="77" t="s">
        <v>79</v>
      </c>
      <c r="K1566" s="77" t="s">
        <v>1522</v>
      </c>
      <c r="L1566" s="77" t="s">
        <v>1415</v>
      </c>
      <c r="M1566" s="77" t="s">
        <v>82</v>
      </c>
      <c r="N1566" s="77" t="s">
        <v>83</v>
      </c>
      <c r="Q1566" s="77" t="s">
        <v>1343</v>
      </c>
      <c r="T1566" s="77" t="s">
        <v>1453</v>
      </c>
      <c r="U1566" s="77" t="s">
        <v>85</v>
      </c>
      <c r="V1566" s="80" t="s">
        <v>238</v>
      </c>
      <c r="X1566" s="77" t="s">
        <v>239</v>
      </c>
      <c r="Y1566" s="78" t="s">
        <v>88</v>
      </c>
      <c r="AA1566" s="77" t="s">
        <v>1345</v>
      </c>
      <c r="AB1566" s="77" t="s">
        <v>1346</v>
      </c>
      <c r="AC1566" s="77" t="s">
        <v>90</v>
      </c>
      <c r="AD1566" s="77" t="s">
        <v>91</v>
      </c>
      <c r="AE1566" s="77" t="s">
        <v>2874</v>
      </c>
      <c r="AG1566" s="77" t="s">
        <v>1453</v>
      </c>
    </row>
    <row r="1567" spans="1:33" x14ac:dyDescent="0.3">
      <c r="A1567" s="77" t="s">
        <v>2915</v>
      </c>
      <c r="B1567" s="77" t="s">
        <v>1455</v>
      </c>
      <c r="G1567" s="77" t="s">
        <v>2873</v>
      </c>
      <c r="H1567" s="77" t="s">
        <v>77</v>
      </c>
      <c r="I1567" s="77" t="s">
        <v>1521</v>
      </c>
      <c r="J1567" s="77" t="s">
        <v>79</v>
      </c>
      <c r="K1567" s="77" t="s">
        <v>1522</v>
      </c>
      <c r="L1567" s="77" t="s">
        <v>1415</v>
      </c>
      <c r="M1567" s="77" t="s">
        <v>82</v>
      </c>
      <c r="N1567" s="77" t="s">
        <v>83</v>
      </c>
      <c r="Q1567" s="77" t="s">
        <v>1343</v>
      </c>
      <c r="T1567" s="77" t="s">
        <v>1453</v>
      </c>
      <c r="U1567" s="77" t="s">
        <v>85</v>
      </c>
      <c r="V1567" s="80" t="s">
        <v>245</v>
      </c>
      <c r="X1567" s="77" t="s">
        <v>246</v>
      </c>
      <c r="Y1567" s="78" t="s">
        <v>88</v>
      </c>
      <c r="AA1567" s="77" t="s">
        <v>1345</v>
      </c>
      <c r="AB1567" s="77" t="s">
        <v>1346</v>
      </c>
      <c r="AC1567" s="77" t="s">
        <v>90</v>
      </c>
      <c r="AD1567" s="77" t="s">
        <v>91</v>
      </c>
      <c r="AE1567" s="77" t="s">
        <v>2874</v>
      </c>
      <c r="AG1567" s="77" t="s">
        <v>1453</v>
      </c>
    </row>
    <row r="1568" spans="1:33" x14ac:dyDescent="0.3">
      <c r="A1568" s="77" t="s">
        <v>2916</v>
      </c>
      <c r="B1568" s="77" t="s">
        <v>1457</v>
      </c>
      <c r="G1568" s="77" t="s">
        <v>2873</v>
      </c>
      <c r="H1568" s="77" t="s">
        <v>77</v>
      </c>
      <c r="I1568" s="77" t="s">
        <v>1521</v>
      </c>
      <c r="J1568" s="77" t="s">
        <v>79</v>
      </c>
      <c r="K1568" s="77" t="s">
        <v>1522</v>
      </c>
      <c r="L1568" s="77" t="s">
        <v>1415</v>
      </c>
      <c r="M1568" s="77" t="s">
        <v>82</v>
      </c>
      <c r="N1568" s="77" t="s">
        <v>83</v>
      </c>
      <c r="Q1568" s="77" t="s">
        <v>1343</v>
      </c>
      <c r="T1568" s="77" t="s">
        <v>1453</v>
      </c>
      <c r="U1568" s="77" t="s">
        <v>85</v>
      </c>
      <c r="V1568" s="80" t="s">
        <v>252</v>
      </c>
      <c r="X1568" s="77" t="s">
        <v>253</v>
      </c>
      <c r="Y1568" s="78" t="s">
        <v>101</v>
      </c>
      <c r="AA1568" s="77" t="s">
        <v>1345</v>
      </c>
      <c r="AB1568" s="77" t="s">
        <v>1346</v>
      </c>
      <c r="AC1568" s="77" t="s">
        <v>90</v>
      </c>
      <c r="AD1568" s="77" t="s">
        <v>102</v>
      </c>
      <c r="AE1568" s="77" t="s">
        <v>2874</v>
      </c>
      <c r="AG1568" s="77" t="s">
        <v>1453</v>
      </c>
    </row>
    <row r="1569" spans="1:33" x14ac:dyDescent="0.3">
      <c r="A1569" s="77" t="s">
        <v>2917</v>
      </c>
      <c r="B1569" s="77" t="s">
        <v>1459</v>
      </c>
      <c r="G1569" s="77" t="s">
        <v>2873</v>
      </c>
      <c r="H1569" s="77" t="s">
        <v>77</v>
      </c>
      <c r="I1569" s="77" t="s">
        <v>1521</v>
      </c>
      <c r="J1569" s="77" t="s">
        <v>79</v>
      </c>
      <c r="K1569" s="77" t="s">
        <v>1522</v>
      </c>
      <c r="L1569" s="77" t="s">
        <v>1415</v>
      </c>
      <c r="M1569" s="77" t="s">
        <v>82</v>
      </c>
      <c r="N1569" s="77" t="s">
        <v>83</v>
      </c>
      <c r="Q1569" s="77" t="s">
        <v>1343</v>
      </c>
      <c r="T1569" s="77" t="s">
        <v>1453</v>
      </c>
      <c r="U1569" s="77" t="s">
        <v>85</v>
      </c>
      <c r="V1569" s="80" t="s">
        <v>259</v>
      </c>
      <c r="X1569" s="77" t="s">
        <v>260</v>
      </c>
      <c r="Y1569" s="78" t="s">
        <v>101</v>
      </c>
      <c r="AA1569" s="77" t="s">
        <v>1345</v>
      </c>
      <c r="AB1569" s="77" t="s">
        <v>1346</v>
      </c>
      <c r="AC1569" s="77" t="s">
        <v>90</v>
      </c>
      <c r="AD1569" s="77" t="s">
        <v>102</v>
      </c>
      <c r="AE1569" s="77" t="s">
        <v>2874</v>
      </c>
      <c r="AG1569" s="77" t="s">
        <v>1453</v>
      </c>
    </row>
    <row r="1570" spans="1:33" x14ac:dyDescent="0.3">
      <c r="A1570" s="77" t="s">
        <v>2918</v>
      </c>
      <c r="B1570" s="77" t="s">
        <v>1461</v>
      </c>
      <c r="G1570" s="77" t="s">
        <v>2873</v>
      </c>
      <c r="H1570" s="77" t="s">
        <v>77</v>
      </c>
      <c r="I1570" s="77" t="s">
        <v>1521</v>
      </c>
      <c r="J1570" s="77" t="s">
        <v>79</v>
      </c>
      <c r="K1570" s="77" t="s">
        <v>1522</v>
      </c>
      <c r="L1570" s="77" t="s">
        <v>1462</v>
      </c>
      <c r="M1570" s="77" t="s">
        <v>82</v>
      </c>
      <c r="N1570" s="77" t="s">
        <v>83</v>
      </c>
      <c r="Q1570" s="77" t="s">
        <v>1343</v>
      </c>
      <c r="T1570" s="77" t="s">
        <v>1463</v>
      </c>
      <c r="U1570" s="77" t="s">
        <v>85</v>
      </c>
      <c r="V1570" s="80" t="s">
        <v>547</v>
      </c>
      <c r="X1570" s="77" t="s">
        <v>548</v>
      </c>
      <c r="Y1570" s="78" t="s">
        <v>88</v>
      </c>
      <c r="AA1570" s="77" t="s">
        <v>1345</v>
      </c>
      <c r="AB1570" s="77" t="s">
        <v>1346</v>
      </c>
      <c r="AC1570" s="77" t="s">
        <v>90</v>
      </c>
      <c r="AD1570" s="77" t="s">
        <v>91</v>
      </c>
      <c r="AE1570" s="77" t="s">
        <v>2874</v>
      </c>
      <c r="AG1570" s="77" t="s">
        <v>1463</v>
      </c>
    </row>
    <row r="1571" spans="1:33" x14ac:dyDescent="0.3">
      <c r="A1571" s="77" t="s">
        <v>2919</v>
      </c>
      <c r="B1571" s="77" t="s">
        <v>1465</v>
      </c>
      <c r="G1571" s="77" t="s">
        <v>2873</v>
      </c>
      <c r="H1571" s="77" t="s">
        <v>77</v>
      </c>
      <c r="I1571" s="77" t="s">
        <v>1521</v>
      </c>
      <c r="J1571" s="77" t="s">
        <v>79</v>
      </c>
      <c r="K1571" s="77" t="s">
        <v>1522</v>
      </c>
      <c r="L1571" s="77" t="s">
        <v>1462</v>
      </c>
      <c r="M1571" s="77" t="s">
        <v>82</v>
      </c>
      <c r="N1571" s="77" t="s">
        <v>83</v>
      </c>
      <c r="Q1571" s="77" t="s">
        <v>1343</v>
      </c>
      <c r="T1571" s="77" t="s">
        <v>1463</v>
      </c>
      <c r="U1571" s="77" t="s">
        <v>85</v>
      </c>
      <c r="V1571" s="80" t="s">
        <v>554</v>
      </c>
      <c r="X1571" s="77" t="s">
        <v>555</v>
      </c>
      <c r="Y1571" s="78" t="s">
        <v>88</v>
      </c>
      <c r="AA1571" s="77" t="s">
        <v>1345</v>
      </c>
      <c r="AB1571" s="77" t="s">
        <v>1346</v>
      </c>
      <c r="AC1571" s="77" t="s">
        <v>90</v>
      </c>
      <c r="AD1571" s="77" t="s">
        <v>91</v>
      </c>
      <c r="AE1571" s="77" t="s">
        <v>2874</v>
      </c>
      <c r="AG1571" s="77" t="s">
        <v>1463</v>
      </c>
    </row>
    <row r="1572" spans="1:33" x14ac:dyDescent="0.3">
      <c r="A1572" s="77" t="s">
        <v>2920</v>
      </c>
      <c r="B1572" s="77" t="s">
        <v>1467</v>
      </c>
      <c r="G1572" s="77" t="s">
        <v>2873</v>
      </c>
      <c r="H1572" s="77" t="s">
        <v>77</v>
      </c>
      <c r="I1572" s="77" t="s">
        <v>1521</v>
      </c>
      <c r="J1572" s="77" t="s">
        <v>79</v>
      </c>
      <c r="K1572" s="77" t="s">
        <v>1522</v>
      </c>
      <c r="L1572" s="77" t="s">
        <v>1462</v>
      </c>
      <c r="M1572" s="77" t="s">
        <v>82</v>
      </c>
      <c r="N1572" s="77" t="s">
        <v>83</v>
      </c>
      <c r="Q1572" s="77" t="s">
        <v>1343</v>
      </c>
      <c r="T1572" s="77" t="s">
        <v>1463</v>
      </c>
      <c r="U1572" s="77" t="s">
        <v>85</v>
      </c>
      <c r="V1572" s="80" t="s">
        <v>561</v>
      </c>
      <c r="X1572" s="77" t="s">
        <v>562</v>
      </c>
      <c r="Y1572" s="78" t="s">
        <v>101</v>
      </c>
      <c r="AA1572" s="77" t="s">
        <v>1345</v>
      </c>
      <c r="AB1572" s="77" t="s">
        <v>1346</v>
      </c>
      <c r="AC1572" s="77" t="s">
        <v>90</v>
      </c>
      <c r="AD1572" s="77" t="s">
        <v>102</v>
      </c>
      <c r="AE1572" s="77" t="s">
        <v>2874</v>
      </c>
      <c r="AG1572" s="77" t="s">
        <v>1463</v>
      </c>
    </row>
    <row r="1573" spans="1:33" x14ac:dyDescent="0.3">
      <c r="A1573" s="77" t="s">
        <v>2921</v>
      </c>
      <c r="B1573" s="77" t="s">
        <v>1469</v>
      </c>
      <c r="G1573" s="77" t="s">
        <v>2873</v>
      </c>
      <c r="H1573" s="77" t="s">
        <v>77</v>
      </c>
      <c r="I1573" s="77" t="s">
        <v>1521</v>
      </c>
      <c r="J1573" s="77" t="s">
        <v>79</v>
      </c>
      <c r="K1573" s="77" t="s">
        <v>1522</v>
      </c>
      <c r="L1573" s="77" t="s">
        <v>1462</v>
      </c>
      <c r="M1573" s="77" t="s">
        <v>82</v>
      </c>
      <c r="N1573" s="77" t="s">
        <v>83</v>
      </c>
      <c r="Q1573" s="77" t="s">
        <v>1343</v>
      </c>
      <c r="T1573" s="77" t="s">
        <v>1463</v>
      </c>
      <c r="U1573" s="77" t="s">
        <v>85</v>
      </c>
      <c r="V1573" s="80" t="s">
        <v>568</v>
      </c>
      <c r="X1573" s="77" t="s">
        <v>569</v>
      </c>
      <c r="Y1573" s="78" t="s">
        <v>101</v>
      </c>
      <c r="AA1573" s="77" t="s">
        <v>1345</v>
      </c>
      <c r="AB1573" s="77" t="s">
        <v>1346</v>
      </c>
      <c r="AC1573" s="77" t="s">
        <v>90</v>
      </c>
      <c r="AD1573" s="77" t="s">
        <v>102</v>
      </c>
      <c r="AE1573" s="77" t="s">
        <v>2874</v>
      </c>
      <c r="AG1573" s="77" t="s">
        <v>1463</v>
      </c>
    </row>
    <row r="1574" spans="1:33" x14ac:dyDescent="0.3">
      <c r="A1574" s="77" t="s">
        <v>2922</v>
      </c>
      <c r="B1574" s="77" t="s">
        <v>1471</v>
      </c>
      <c r="G1574" s="77" t="s">
        <v>2873</v>
      </c>
      <c r="H1574" s="77" t="s">
        <v>77</v>
      </c>
      <c r="I1574" s="77" t="s">
        <v>1521</v>
      </c>
      <c r="J1574" s="77" t="s">
        <v>79</v>
      </c>
      <c r="K1574" s="77" t="s">
        <v>1522</v>
      </c>
      <c r="L1574" s="77" t="s">
        <v>1462</v>
      </c>
      <c r="M1574" s="77" t="s">
        <v>82</v>
      </c>
      <c r="N1574" s="77" t="s">
        <v>83</v>
      </c>
      <c r="Q1574" s="77" t="s">
        <v>1343</v>
      </c>
      <c r="T1574" s="77" t="s">
        <v>1472</v>
      </c>
      <c r="U1574" s="77" t="s">
        <v>85</v>
      </c>
      <c r="V1574" s="80" t="s">
        <v>547</v>
      </c>
      <c r="X1574" s="77" t="s">
        <v>548</v>
      </c>
      <c r="Y1574" s="78" t="s">
        <v>88</v>
      </c>
      <c r="AA1574" s="77" t="s">
        <v>1345</v>
      </c>
      <c r="AB1574" s="77" t="s">
        <v>1346</v>
      </c>
      <c r="AC1574" s="77" t="s">
        <v>90</v>
      </c>
      <c r="AD1574" s="77" t="s">
        <v>91</v>
      </c>
      <c r="AE1574" s="77" t="s">
        <v>2874</v>
      </c>
      <c r="AG1574" s="77" t="s">
        <v>1472</v>
      </c>
    </row>
    <row r="1575" spans="1:33" x14ac:dyDescent="0.3">
      <c r="A1575" s="77" t="s">
        <v>2923</v>
      </c>
      <c r="B1575" s="77" t="s">
        <v>1474</v>
      </c>
      <c r="G1575" s="77" t="s">
        <v>2873</v>
      </c>
      <c r="H1575" s="77" t="s">
        <v>77</v>
      </c>
      <c r="I1575" s="77" t="s">
        <v>1521</v>
      </c>
      <c r="J1575" s="77" t="s">
        <v>79</v>
      </c>
      <c r="K1575" s="77" t="s">
        <v>1522</v>
      </c>
      <c r="L1575" s="77" t="s">
        <v>1462</v>
      </c>
      <c r="M1575" s="77" t="s">
        <v>82</v>
      </c>
      <c r="N1575" s="77" t="s">
        <v>83</v>
      </c>
      <c r="Q1575" s="77" t="s">
        <v>1343</v>
      </c>
      <c r="T1575" s="77" t="s">
        <v>1472</v>
      </c>
      <c r="U1575" s="77" t="s">
        <v>85</v>
      </c>
      <c r="V1575" s="80" t="s">
        <v>554</v>
      </c>
      <c r="X1575" s="77" t="s">
        <v>555</v>
      </c>
      <c r="Y1575" s="78" t="s">
        <v>88</v>
      </c>
      <c r="AA1575" s="77" t="s">
        <v>1345</v>
      </c>
      <c r="AB1575" s="77" t="s">
        <v>1346</v>
      </c>
      <c r="AC1575" s="77" t="s">
        <v>90</v>
      </c>
      <c r="AD1575" s="77" t="s">
        <v>91</v>
      </c>
      <c r="AE1575" s="77" t="s">
        <v>2874</v>
      </c>
      <c r="AG1575" s="77" t="s">
        <v>1472</v>
      </c>
    </row>
    <row r="1576" spans="1:33" x14ac:dyDescent="0.3">
      <c r="A1576" s="77" t="s">
        <v>2924</v>
      </c>
      <c r="B1576" s="77" t="s">
        <v>1476</v>
      </c>
      <c r="G1576" s="77" t="s">
        <v>2873</v>
      </c>
      <c r="H1576" s="77" t="s">
        <v>77</v>
      </c>
      <c r="I1576" s="77" t="s">
        <v>1521</v>
      </c>
      <c r="J1576" s="77" t="s">
        <v>79</v>
      </c>
      <c r="K1576" s="77" t="s">
        <v>1522</v>
      </c>
      <c r="L1576" s="77" t="s">
        <v>1462</v>
      </c>
      <c r="M1576" s="77" t="s">
        <v>82</v>
      </c>
      <c r="N1576" s="77" t="s">
        <v>83</v>
      </c>
      <c r="Q1576" s="77" t="s">
        <v>1343</v>
      </c>
      <c r="T1576" s="77" t="s">
        <v>1472</v>
      </c>
      <c r="U1576" s="77" t="s">
        <v>85</v>
      </c>
      <c r="V1576" s="80" t="s">
        <v>561</v>
      </c>
      <c r="X1576" s="77" t="s">
        <v>562</v>
      </c>
      <c r="Y1576" s="78" t="s">
        <v>101</v>
      </c>
      <c r="AA1576" s="77" t="s">
        <v>1345</v>
      </c>
      <c r="AB1576" s="77" t="s">
        <v>1346</v>
      </c>
      <c r="AC1576" s="77" t="s">
        <v>90</v>
      </c>
      <c r="AD1576" s="77" t="s">
        <v>102</v>
      </c>
      <c r="AE1576" s="77" t="s">
        <v>2874</v>
      </c>
      <c r="AG1576" s="77" t="s">
        <v>1472</v>
      </c>
    </row>
    <row r="1577" spans="1:33" x14ac:dyDescent="0.3">
      <c r="A1577" s="77" t="s">
        <v>2925</v>
      </c>
      <c r="B1577" s="77" t="s">
        <v>1478</v>
      </c>
      <c r="G1577" s="77" t="s">
        <v>2873</v>
      </c>
      <c r="H1577" s="77" t="s">
        <v>77</v>
      </c>
      <c r="I1577" s="77" t="s">
        <v>1521</v>
      </c>
      <c r="J1577" s="77" t="s">
        <v>79</v>
      </c>
      <c r="K1577" s="77" t="s">
        <v>1522</v>
      </c>
      <c r="L1577" s="77" t="s">
        <v>1462</v>
      </c>
      <c r="M1577" s="77" t="s">
        <v>82</v>
      </c>
      <c r="N1577" s="77" t="s">
        <v>83</v>
      </c>
      <c r="Q1577" s="77" t="s">
        <v>1343</v>
      </c>
      <c r="T1577" s="77" t="s">
        <v>1472</v>
      </c>
      <c r="U1577" s="77" t="s">
        <v>85</v>
      </c>
      <c r="V1577" s="80" t="s">
        <v>568</v>
      </c>
      <c r="X1577" s="77" t="s">
        <v>569</v>
      </c>
      <c r="Y1577" s="78" t="s">
        <v>101</v>
      </c>
      <c r="AA1577" s="77" t="s">
        <v>1345</v>
      </c>
      <c r="AB1577" s="77" t="s">
        <v>1346</v>
      </c>
      <c r="AC1577" s="77" t="s">
        <v>90</v>
      </c>
      <c r="AD1577" s="77" t="s">
        <v>102</v>
      </c>
      <c r="AE1577" s="77" t="s">
        <v>2874</v>
      </c>
      <c r="AG1577" s="77" t="s">
        <v>1472</v>
      </c>
    </row>
    <row r="1578" spans="1:33" x14ac:dyDescent="0.3">
      <c r="A1578" s="77" t="s">
        <v>2926</v>
      </c>
      <c r="B1578" s="77" t="s">
        <v>1480</v>
      </c>
      <c r="G1578" s="77" t="s">
        <v>2873</v>
      </c>
      <c r="H1578" s="77" t="s">
        <v>77</v>
      </c>
      <c r="I1578" s="77" t="s">
        <v>1521</v>
      </c>
      <c r="J1578" s="77" t="s">
        <v>79</v>
      </c>
      <c r="K1578" s="77" t="s">
        <v>1522</v>
      </c>
      <c r="L1578" s="77" t="s">
        <v>1481</v>
      </c>
      <c r="M1578" s="77" t="s">
        <v>82</v>
      </c>
      <c r="N1578" s="77" t="s">
        <v>83</v>
      </c>
      <c r="Q1578" s="77" t="s">
        <v>1343</v>
      </c>
      <c r="T1578" s="77" t="s">
        <v>1482</v>
      </c>
      <c r="U1578" s="77" t="s">
        <v>85</v>
      </c>
      <c r="V1578" s="80" t="s">
        <v>341</v>
      </c>
      <c r="X1578" s="77" t="s">
        <v>342</v>
      </c>
      <c r="Y1578" s="78" t="s">
        <v>88</v>
      </c>
      <c r="AA1578" s="77" t="s">
        <v>1345</v>
      </c>
      <c r="AB1578" s="77" t="s">
        <v>1346</v>
      </c>
      <c r="AC1578" s="77" t="s">
        <v>90</v>
      </c>
      <c r="AD1578" s="77" t="s">
        <v>91</v>
      </c>
      <c r="AE1578" s="77" t="s">
        <v>2874</v>
      </c>
      <c r="AG1578" s="77" t="s">
        <v>1482</v>
      </c>
    </row>
    <row r="1579" spans="1:33" x14ac:dyDescent="0.3">
      <c r="A1579" s="77" t="s">
        <v>2927</v>
      </c>
      <c r="B1579" s="77" t="s">
        <v>1484</v>
      </c>
      <c r="G1579" s="77" t="s">
        <v>2873</v>
      </c>
      <c r="H1579" s="77" t="s">
        <v>77</v>
      </c>
      <c r="I1579" s="77" t="s">
        <v>1521</v>
      </c>
      <c r="J1579" s="77" t="s">
        <v>79</v>
      </c>
      <c r="K1579" s="77" t="s">
        <v>1522</v>
      </c>
      <c r="L1579" s="77" t="s">
        <v>1485</v>
      </c>
      <c r="M1579" s="77" t="s">
        <v>82</v>
      </c>
      <c r="N1579" s="77" t="s">
        <v>83</v>
      </c>
      <c r="Q1579" s="77" t="s">
        <v>1343</v>
      </c>
      <c r="T1579" s="77" t="s">
        <v>1344</v>
      </c>
      <c r="U1579" s="77" t="s">
        <v>85</v>
      </c>
      <c r="V1579" s="80" t="s">
        <v>86</v>
      </c>
      <c r="X1579" s="77" t="s">
        <v>87</v>
      </c>
      <c r="Y1579" s="78" t="s">
        <v>88</v>
      </c>
      <c r="AA1579" s="77" t="s">
        <v>1345</v>
      </c>
      <c r="AB1579" s="77" t="s">
        <v>1346</v>
      </c>
      <c r="AC1579" s="77" t="s">
        <v>90</v>
      </c>
      <c r="AD1579" s="77" t="s">
        <v>91</v>
      </c>
      <c r="AE1579" s="77" t="s">
        <v>2874</v>
      </c>
      <c r="AG1579" s="77" t="s">
        <v>1344</v>
      </c>
    </row>
    <row r="1580" spans="1:33" x14ac:dyDescent="0.3">
      <c r="A1580" s="77" t="s">
        <v>2928</v>
      </c>
      <c r="B1580" s="77" t="s">
        <v>1487</v>
      </c>
      <c r="G1580" s="77" t="s">
        <v>2873</v>
      </c>
      <c r="H1580" s="77" t="s">
        <v>77</v>
      </c>
      <c r="I1580" s="77" t="s">
        <v>1521</v>
      </c>
      <c r="J1580" s="77" t="s">
        <v>79</v>
      </c>
      <c r="K1580" s="77" t="s">
        <v>1522</v>
      </c>
      <c r="L1580" s="77" t="s">
        <v>1485</v>
      </c>
      <c r="M1580" s="77" t="s">
        <v>82</v>
      </c>
      <c r="N1580" s="77" t="s">
        <v>83</v>
      </c>
      <c r="Q1580" s="77" t="s">
        <v>1343</v>
      </c>
      <c r="T1580" s="77" t="s">
        <v>1351</v>
      </c>
      <c r="U1580" s="77" t="s">
        <v>85</v>
      </c>
      <c r="V1580" s="80" t="s">
        <v>95</v>
      </c>
      <c r="X1580" s="77" t="s">
        <v>96</v>
      </c>
      <c r="Y1580" s="78" t="s">
        <v>88</v>
      </c>
      <c r="AA1580" s="77" t="s">
        <v>1345</v>
      </c>
      <c r="AB1580" s="77" t="s">
        <v>1346</v>
      </c>
      <c r="AC1580" s="77" t="s">
        <v>90</v>
      </c>
      <c r="AD1580" s="77" t="s">
        <v>91</v>
      </c>
      <c r="AE1580" s="77" t="s">
        <v>2874</v>
      </c>
      <c r="AG1580" s="77" t="s">
        <v>1351</v>
      </c>
    </row>
    <row r="1581" spans="1:33" x14ac:dyDescent="0.3">
      <c r="A1581" s="77" t="s">
        <v>2929</v>
      </c>
      <c r="B1581" s="77" t="s">
        <v>1489</v>
      </c>
      <c r="G1581" s="77" t="s">
        <v>2873</v>
      </c>
      <c r="H1581" s="77" t="s">
        <v>77</v>
      </c>
      <c r="I1581" s="77" t="s">
        <v>1521</v>
      </c>
      <c r="J1581" s="77" t="s">
        <v>79</v>
      </c>
      <c r="K1581" s="77" t="s">
        <v>1522</v>
      </c>
      <c r="L1581" s="77" t="s">
        <v>1485</v>
      </c>
      <c r="M1581" s="77" t="s">
        <v>82</v>
      </c>
      <c r="N1581" s="77" t="s">
        <v>83</v>
      </c>
      <c r="Q1581" s="77" t="s">
        <v>1343</v>
      </c>
      <c r="T1581" s="77" t="s">
        <v>1355</v>
      </c>
      <c r="U1581" s="77" t="s">
        <v>85</v>
      </c>
      <c r="V1581" s="80" t="s">
        <v>99</v>
      </c>
      <c r="X1581" s="77" t="s">
        <v>100</v>
      </c>
      <c r="Y1581" s="78" t="s">
        <v>101</v>
      </c>
      <c r="AA1581" s="77" t="s">
        <v>1345</v>
      </c>
      <c r="AB1581" s="77" t="s">
        <v>1346</v>
      </c>
      <c r="AC1581" s="77" t="s">
        <v>90</v>
      </c>
      <c r="AD1581" s="77" t="s">
        <v>102</v>
      </c>
      <c r="AE1581" s="77" t="s">
        <v>2874</v>
      </c>
      <c r="AG1581" s="77" t="s">
        <v>1355</v>
      </c>
    </row>
    <row r="1582" spans="1:33" x14ac:dyDescent="0.3">
      <c r="A1582" s="77" t="s">
        <v>2930</v>
      </c>
      <c r="B1582" s="77" t="s">
        <v>1491</v>
      </c>
      <c r="G1582" s="77" t="s">
        <v>2873</v>
      </c>
      <c r="H1582" s="77" t="s">
        <v>77</v>
      </c>
      <c r="I1582" s="77" t="s">
        <v>1521</v>
      </c>
      <c r="J1582" s="77" t="s">
        <v>79</v>
      </c>
      <c r="K1582" s="77" t="s">
        <v>1522</v>
      </c>
      <c r="L1582" s="77" t="s">
        <v>1485</v>
      </c>
      <c r="M1582" s="77" t="s">
        <v>82</v>
      </c>
      <c r="N1582" s="77" t="s">
        <v>83</v>
      </c>
      <c r="Q1582" s="77" t="s">
        <v>1343</v>
      </c>
      <c r="T1582" s="77" t="s">
        <v>1359</v>
      </c>
      <c r="U1582" s="77" t="s">
        <v>85</v>
      </c>
      <c r="V1582" s="80" t="s">
        <v>105</v>
      </c>
      <c r="X1582" s="77" t="s">
        <v>106</v>
      </c>
      <c r="Y1582" s="78" t="s">
        <v>101</v>
      </c>
      <c r="AA1582" s="77" t="s">
        <v>1345</v>
      </c>
      <c r="AB1582" s="77" t="s">
        <v>1346</v>
      </c>
      <c r="AC1582" s="77" t="s">
        <v>90</v>
      </c>
      <c r="AD1582" s="77" t="s">
        <v>102</v>
      </c>
      <c r="AE1582" s="77" t="s">
        <v>2874</v>
      </c>
      <c r="AG1582" s="77" t="s">
        <v>1359</v>
      </c>
    </row>
    <row r="1583" spans="1:33" x14ac:dyDescent="0.3">
      <c r="A1583" s="77" t="s">
        <v>2931</v>
      </c>
      <c r="B1583" s="77" t="s">
        <v>1493</v>
      </c>
      <c r="G1583" s="77" t="s">
        <v>2873</v>
      </c>
      <c r="H1583" s="77" t="s">
        <v>77</v>
      </c>
      <c r="I1583" s="77" t="s">
        <v>1521</v>
      </c>
      <c r="J1583" s="77" t="s">
        <v>79</v>
      </c>
      <c r="K1583" s="77" t="s">
        <v>1522</v>
      </c>
      <c r="L1583" s="77" t="s">
        <v>1494</v>
      </c>
      <c r="M1583" s="77" t="s">
        <v>82</v>
      </c>
      <c r="N1583" s="77" t="s">
        <v>83</v>
      </c>
      <c r="Q1583" s="77" t="s">
        <v>1343</v>
      </c>
      <c r="T1583" s="77" t="s">
        <v>1453</v>
      </c>
      <c r="U1583" s="77" t="s">
        <v>85</v>
      </c>
      <c r="V1583" s="80" t="s">
        <v>238</v>
      </c>
      <c r="X1583" s="77" t="s">
        <v>239</v>
      </c>
      <c r="Y1583" s="78" t="s">
        <v>88</v>
      </c>
      <c r="AA1583" s="77" t="s">
        <v>1345</v>
      </c>
      <c r="AB1583" s="77" t="s">
        <v>1346</v>
      </c>
      <c r="AC1583" s="77" t="s">
        <v>90</v>
      </c>
      <c r="AD1583" s="77" t="s">
        <v>91</v>
      </c>
      <c r="AE1583" s="77" t="s">
        <v>2874</v>
      </c>
      <c r="AG1583" s="77" t="s">
        <v>1453</v>
      </c>
    </row>
    <row r="1584" spans="1:33" x14ac:dyDescent="0.3">
      <c r="A1584" s="77" t="s">
        <v>2932</v>
      </c>
      <c r="B1584" s="77" t="s">
        <v>1496</v>
      </c>
      <c r="G1584" s="77" t="s">
        <v>2873</v>
      </c>
      <c r="H1584" s="77" t="s">
        <v>77</v>
      </c>
      <c r="I1584" s="77" t="s">
        <v>1521</v>
      </c>
      <c r="J1584" s="77" t="s">
        <v>79</v>
      </c>
      <c r="K1584" s="77" t="s">
        <v>1522</v>
      </c>
      <c r="L1584" s="77" t="s">
        <v>1494</v>
      </c>
      <c r="M1584" s="77" t="s">
        <v>82</v>
      </c>
      <c r="N1584" s="77" t="s">
        <v>83</v>
      </c>
      <c r="Q1584" s="77" t="s">
        <v>1343</v>
      </c>
      <c r="T1584" s="77" t="s">
        <v>1453</v>
      </c>
      <c r="U1584" s="77" t="s">
        <v>85</v>
      </c>
      <c r="V1584" s="80" t="s">
        <v>245</v>
      </c>
      <c r="X1584" s="77" t="s">
        <v>246</v>
      </c>
      <c r="Y1584" s="78" t="s">
        <v>88</v>
      </c>
      <c r="AA1584" s="77" t="s">
        <v>1345</v>
      </c>
      <c r="AB1584" s="77" t="s">
        <v>1346</v>
      </c>
      <c r="AC1584" s="77" t="s">
        <v>90</v>
      </c>
      <c r="AD1584" s="77" t="s">
        <v>91</v>
      </c>
      <c r="AE1584" s="77" t="s">
        <v>2874</v>
      </c>
      <c r="AG1584" s="77" t="s">
        <v>1453</v>
      </c>
    </row>
    <row r="1585" spans="1:33" x14ac:dyDescent="0.3">
      <c r="A1585" s="77" t="s">
        <v>2933</v>
      </c>
      <c r="B1585" s="77" t="s">
        <v>1498</v>
      </c>
      <c r="G1585" s="77" t="s">
        <v>2873</v>
      </c>
      <c r="H1585" s="77" t="s">
        <v>77</v>
      </c>
      <c r="I1585" s="77" t="s">
        <v>1521</v>
      </c>
      <c r="J1585" s="77" t="s">
        <v>79</v>
      </c>
      <c r="K1585" s="77" t="s">
        <v>1522</v>
      </c>
      <c r="L1585" s="77" t="s">
        <v>1494</v>
      </c>
      <c r="M1585" s="77" t="s">
        <v>82</v>
      </c>
      <c r="N1585" s="77" t="s">
        <v>83</v>
      </c>
      <c r="Q1585" s="77" t="s">
        <v>1343</v>
      </c>
      <c r="T1585" s="77" t="s">
        <v>1453</v>
      </c>
      <c r="U1585" s="77" t="s">
        <v>85</v>
      </c>
      <c r="V1585" s="80" t="s">
        <v>252</v>
      </c>
      <c r="X1585" s="77" t="s">
        <v>253</v>
      </c>
      <c r="Y1585" s="78" t="s">
        <v>101</v>
      </c>
      <c r="AA1585" s="77" t="s">
        <v>1345</v>
      </c>
      <c r="AB1585" s="77" t="s">
        <v>1346</v>
      </c>
      <c r="AC1585" s="77" t="s">
        <v>90</v>
      </c>
      <c r="AD1585" s="77" t="s">
        <v>102</v>
      </c>
      <c r="AE1585" s="77" t="s">
        <v>2874</v>
      </c>
      <c r="AG1585" s="77" t="s">
        <v>1453</v>
      </c>
    </row>
    <row r="1586" spans="1:33" x14ac:dyDescent="0.3">
      <c r="A1586" s="77" t="s">
        <v>2934</v>
      </c>
      <c r="B1586" s="77" t="s">
        <v>1500</v>
      </c>
      <c r="G1586" s="77" t="s">
        <v>2873</v>
      </c>
      <c r="H1586" s="77" t="s">
        <v>77</v>
      </c>
      <c r="I1586" s="77" t="s">
        <v>1521</v>
      </c>
      <c r="J1586" s="77" t="s">
        <v>79</v>
      </c>
      <c r="K1586" s="77" t="s">
        <v>1522</v>
      </c>
      <c r="L1586" s="77" t="s">
        <v>1494</v>
      </c>
      <c r="M1586" s="77" t="s">
        <v>82</v>
      </c>
      <c r="N1586" s="77" t="s">
        <v>83</v>
      </c>
      <c r="Q1586" s="77" t="s">
        <v>1343</v>
      </c>
      <c r="T1586" s="77" t="s">
        <v>1453</v>
      </c>
      <c r="U1586" s="77" t="s">
        <v>85</v>
      </c>
      <c r="V1586" s="80" t="s">
        <v>259</v>
      </c>
      <c r="X1586" s="77" t="s">
        <v>260</v>
      </c>
      <c r="Y1586" s="78" t="s">
        <v>101</v>
      </c>
      <c r="AA1586" s="77" t="s">
        <v>1345</v>
      </c>
      <c r="AB1586" s="77" t="s">
        <v>1346</v>
      </c>
      <c r="AC1586" s="77" t="s">
        <v>90</v>
      </c>
      <c r="AD1586" s="77" t="s">
        <v>102</v>
      </c>
      <c r="AE1586" s="77" t="s">
        <v>2874</v>
      </c>
      <c r="AG1586" s="77" t="s">
        <v>1453</v>
      </c>
    </row>
    <row r="1587" spans="1:33" x14ac:dyDescent="0.3">
      <c r="A1587" s="77" t="s">
        <v>2935</v>
      </c>
      <c r="B1587" s="77" t="s">
        <v>1502</v>
      </c>
      <c r="G1587" s="77" t="s">
        <v>2873</v>
      </c>
      <c r="H1587" s="77" t="s">
        <v>77</v>
      </c>
      <c r="I1587" s="77" t="s">
        <v>1521</v>
      </c>
      <c r="J1587" s="77" t="s">
        <v>79</v>
      </c>
      <c r="K1587" s="77" t="s">
        <v>1522</v>
      </c>
      <c r="L1587" s="77" t="s">
        <v>1503</v>
      </c>
      <c r="M1587" s="77" t="s">
        <v>82</v>
      </c>
      <c r="N1587" s="77" t="s">
        <v>83</v>
      </c>
      <c r="Q1587" s="77" t="s">
        <v>1343</v>
      </c>
      <c r="T1587" s="77" t="s">
        <v>1504</v>
      </c>
      <c r="U1587" s="77" t="s">
        <v>85</v>
      </c>
      <c r="V1587" s="80" t="s">
        <v>925</v>
      </c>
      <c r="X1587" s="77" t="s">
        <v>926</v>
      </c>
      <c r="Y1587" s="78" t="s">
        <v>101</v>
      </c>
      <c r="AA1587" s="77" t="s">
        <v>1345</v>
      </c>
      <c r="AB1587" s="77" t="s">
        <v>1346</v>
      </c>
      <c r="AC1587" s="77" t="s">
        <v>90</v>
      </c>
      <c r="AD1587" s="77" t="s">
        <v>274</v>
      </c>
      <c r="AE1587" s="77" t="s">
        <v>2874</v>
      </c>
      <c r="AG1587" s="77" t="s">
        <v>1504</v>
      </c>
    </row>
    <row r="1588" spans="1:33" x14ac:dyDescent="0.3">
      <c r="A1588" s="77" t="s">
        <v>2936</v>
      </c>
      <c r="B1588" s="77" t="s">
        <v>1506</v>
      </c>
      <c r="G1588" s="77" t="s">
        <v>2873</v>
      </c>
      <c r="H1588" s="77" t="s">
        <v>77</v>
      </c>
      <c r="I1588" s="77" t="s">
        <v>1521</v>
      </c>
      <c r="J1588" s="77" t="s">
        <v>79</v>
      </c>
      <c r="K1588" s="77" t="s">
        <v>1522</v>
      </c>
      <c r="L1588" s="77" t="s">
        <v>1507</v>
      </c>
      <c r="M1588" s="77" t="s">
        <v>82</v>
      </c>
      <c r="N1588" s="77" t="s">
        <v>83</v>
      </c>
      <c r="Q1588" s="77" t="s">
        <v>1343</v>
      </c>
      <c r="T1588" s="77" t="s">
        <v>1508</v>
      </c>
      <c r="U1588" s="77" t="s">
        <v>85</v>
      </c>
      <c r="V1588" s="80" t="s">
        <v>930</v>
      </c>
      <c r="X1588" s="77" t="s">
        <v>931</v>
      </c>
      <c r="Y1588" s="78" t="s">
        <v>88</v>
      </c>
      <c r="AA1588" s="77" t="s">
        <v>1345</v>
      </c>
      <c r="AB1588" s="77" t="s">
        <v>1346</v>
      </c>
      <c r="AC1588" s="77" t="s">
        <v>90</v>
      </c>
      <c r="AD1588" s="77" t="s">
        <v>91</v>
      </c>
      <c r="AE1588" s="77" t="s">
        <v>2874</v>
      </c>
      <c r="AG1588" s="77" t="s">
        <v>1508</v>
      </c>
    </row>
    <row r="1589" spans="1:33" x14ac:dyDescent="0.3">
      <c r="A1589" s="77" t="s">
        <v>2937</v>
      </c>
      <c r="B1589" s="77" t="s">
        <v>1510</v>
      </c>
      <c r="G1589" s="77" t="s">
        <v>2873</v>
      </c>
      <c r="H1589" s="77" t="s">
        <v>77</v>
      </c>
      <c r="I1589" s="77" t="s">
        <v>1521</v>
      </c>
      <c r="J1589" s="77" t="s">
        <v>79</v>
      </c>
      <c r="K1589" s="77" t="s">
        <v>1522</v>
      </c>
      <c r="L1589" s="77" t="s">
        <v>1511</v>
      </c>
      <c r="M1589" s="77" t="s">
        <v>82</v>
      </c>
      <c r="N1589" s="77" t="s">
        <v>83</v>
      </c>
      <c r="Q1589" s="77" t="s">
        <v>1343</v>
      </c>
      <c r="T1589" s="77" t="s">
        <v>1377</v>
      </c>
      <c r="U1589" s="77" t="s">
        <v>85</v>
      </c>
      <c r="V1589" s="80" t="s">
        <v>507</v>
      </c>
      <c r="X1589" s="77" t="s">
        <v>508</v>
      </c>
      <c r="Y1589" s="78" t="s">
        <v>88</v>
      </c>
      <c r="AA1589" s="77" t="s">
        <v>1345</v>
      </c>
      <c r="AB1589" s="77" t="s">
        <v>1346</v>
      </c>
      <c r="AC1589" s="77" t="s">
        <v>90</v>
      </c>
      <c r="AD1589" s="77" t="s">
        <v>91</v>
      </c>
      <c r="AE1589" s="77" t="s">
        <v>2874</v>
      </c>
    </row>
    <row r="1590" spans="1:33" x14ac:dyDescent="0.3">
      <c r="A1590" s="77" t="s">
        <v>2938</v>
      </c>
      <c r="B1590" s="77" t="s">
        <v>1513</v>
      </c>
      <c r="G1590" s="77" t="s">
        <v>2873</v>
      </c>
      <c r="H1590" s="77" t="s">
        <v>77</v>
      </c>
      <c r="I1590" s="77" t="s">
        <v>1521</v>
      </c>
      <c r="J1590" s="77" t="s">
        <v>79</v>
      </c>
      <c r="K1590" s="77" t="s">
        <v>1522</v>
      </c>
      <c r="L1590" s="77" t="s">
        <v>1511</v>
      </c>
      <c r="M1590" s="77" t="s">
        <v>82</v>
      </c>
      <c r="N1590" s="77" t="s">
        <v>83</v>
      </c>
      <c r="Q1590" s="77" t="s">
        <v>1343</v>
      </c>
      <c r="T1590" s="77" t="s">
        <v>1377</v>
      </c>
      <c r="U1590" s="77" t="s">
        <v>85</v>
      </c>
      <c r="V1590" s="80" t="s">
        <v>514</v>
      </c>
      <c r="X1590" s="77" t="s">
        <v>515</v>
      </c>
      <c r="Y1590" s="78" t="s">
        <v>88</v>
      </c>
      <c r="AA1590" s="77" t="s">
        <v>1345</v>
      </c>
      <c r="AB1590" s="77" t="s">
        <v>1346</v>
      </c>
      <c r="AC1590" s="77" t="s">
        <v>90</v>
      </c>
      <c r="AD1590" s="77" t="s">
        <v>91</v>
      </c>
      <c r="AE1590" s="77" t="s">
        <v>2874</v>
      </c>
    </row>
    <row r="1591" spans="1:33" x14ac:dyDescent="0.3">
      <c r="A1591" s="77" t="s">
        <v>2939</v>
      </c>
      <c r="B1591" s="77" t="s">
        <v>1515</v>
      </c>
      <c r="G1591" s="77" t="s">
        <v>2873</v>
      </c>
      <c r="H1591" s="77" t="s">
        <v>77</v>
      </c>
      <c r="I1591" s="77" t="s">
        <v>1521</v>
      </c>
      <c r="J1591" s="77" t="s">
        <v>79</v>
      </c>
      <c r="K1591" s="77" t="s">
        <v>1522</v>
      </c>
      <c r="L1591" s="77" t="s">
        <v>1511</v>
      </c>
      <c r="M1591" s="77" t="s">
        <v>82</v>
      </c>
      <c r="N1591" s="77" t="s">
        <v>83</v>
      </c>
      <c r="Q1591" s="77" t="s">
        <v>1343</v>
      </c>
      <c r="T1591" s="77" t="s">
        <v>1377</v>
      </c>
      <c r="U1591" s="77" t="s">
        <v>85</v>
      </c>
      <c r="V1591" s="80" t="s">
        <v>521</v>
      </c>
      <c r="X1591" s="77" t="s">
        <v>522</v>
      </c>
      <c r="Y1591" s="78" t="s">
        <v>101</v>
      </c>
      <c r="AA1591" s="77" t="s">
        <v>1345</v>
      </c>
      <c r="AB1591" s="77" t="s">
        <v>1346</v>
      </c>
      <c r="AC1591" s="77" t="s">
        <v>90</v>
      </c>
      <c r="AD1591" s="77" t="s">
        <v>102</v>
      </c>
      <c r="AE1591" s="77" t="s">
        <v>2874</v>
      </c>
    </row>
    <row r="1592" spans="1:33" x14ac:dyDescent="0.3">
      <c r="A1592" s="77" t="s">
        <v>2940</v>
      </c>
      <c r="B1592" s="77" t="s">
        <v>1517</v>
      </c>
      <c r="G1592" s="77" t="s">
        <v>2873</v>
      </c>
      <c r="H1592" s="77" t="s">
        <v>77</v>
      </c>
      <c r="I1592" s="77" t="s">
        <v>1521</v>
      </c>
      <c r="J1592" s="77" t="s">
        <v>79</v>
      </c>
      <c r="K1592" s="77" t="s">
        <v>1522</v>
      </c>
      <c r="L1592" s="77" t="s">
        <v>1511</v>
      </c>
      <c r="M1592" s="77" t="s">
        <v>82</v>
      </c>
      <c r="N1592" s="77" t="s">
        <v>83</v>
      </c>
      <c r="Q1592" s="77" t="s">
        <v>1343</v>
      </c>
      <c r="T1592" s="77" t="s">
        <v>1377</v>
      </c>
      <c r="U1592" s="77" t="s">
        <v>85</v>
      </c>
      <c r="V1592" s="80" t="s">
        <v>528</v>
      </c>
      <c r="X1592" s="77" t="s">
        <v>529</v>
      </c>
      <c r="Y1592" s="78" t="s">
        <v>101</v>
      </c>
      <c r="AA1592" s="77" t="s">
        <v>1345</v>
      </c>
      <c r="AB1592" s="77" t="s">
        <v>1346</v>
      </c>
      <c r="AC1592" s="77" t="s">
        <v>90</v>
      </c>
      <c r="AD1592" s="77" t="s">
        <v>102</v>
      </c>
      <c r="AE1592" s="77" t="s">
        <v>2874</v>
      </c>
    </row>
    <row r="1593" spans="1:33" x14ac:dyDescent="0.3">
      <c r="A1593" s="77" t="s">
        <v>3497</v>
      </c>
      <c r="B1593" s="77" t="s">
        <v>1565</v>
      </c>
      <c r="G1593" s="77" t="s">
        <v>3498</v>
      </c>
      <c r="H1593" s="77" t="s">
        <v>77</v>
      </c>
      <c r="I1593" s="77" t="s">
        <v>1521</v>
      </c>
      <c r="J1593" s="77" t="s">
        <v>3039</v>
      </c>
      <c r="K1593" s="77" t="s">
        <v>1522</v>
      </c>
      <c r="L1593" s="77" t="s">
        <v>1567</v>
      </c>
      <c r="M1593" s="77" t="s">
        <v>82</v>
      </c>
      <c r="N1593" s="77" t="s">
        <v>83</v>
      </c>
      <c r="Q1593" s="77" t="s">
        <v>111</v>
      </c>
      <c r="S1593" s="77" t="s">
        <v>111</v>
      </c>
      <c r="U1593" s="77" t="s">
        <v>85</v>
      </c>
      <c r="V1593" s="80" t="s">
        <v>86</v>
      </c>
      <c r="X1593" s="77" t="s">
        <v>87</v>
      </c>
      <c r="Y1593" s="78" t="s">
        <v>88</v>
      </c>
      <c r="AA1593" s="77" t="s">
        <v>1568</v>
      </c>
      <c r="AB1593" s="77" t="s">
        <v>1521</v>
      </c>
      <c r="AC1593" s="77" t="s">
        <v>90</v>
      </c>
      <c r="AD1593" s="77" t="s">
        <v>91</v>
      </c>
      <c r="AE1593" s="77" t="s">
        <v>3499</v>
      </c>
    </row>
    <row r="1594" spans="1:33" x14ac:dyDescent="0.3">
      <c r="A1594" s="77" t="s">
        <v>3500</v>
      </c>
      <c r="B1594" s="77" t="s">
        <v>1571</v>
      </c>
      <c r="G1594" s="77" t="s">
        <v>3498</v>
      </c>
      <c r="H1594" s="77" t="s">
        <v>77</v>
      </c>
      <c r="I1594" s="77" t="s">
        <v>1521</v>
      </c>
      <c r="J1594" s="77" t="s">
        <v>3039</v>
      </c>
      <c r="K1594" s="77" t="s">
        <v>1522</v>
      </c>
      <c r="L1594" s="77" t="s">
        <v>1572</v>
      </c>
      <c r="M1594" s="77" t="s">
        <v>82</v>
      </c>
      <c r="N1594" s="77" t="s">
        <v>83</v>
      </c>
      <c r="Q1594" s="77" t="s">
        <v>111</v>
      </c>
      <c r="S1594" s="77" t="s">
        <v>111</v>
      </c>
      <c r="U1594" s="77" t="s">
        <v>85</v>
      </c>
      <c r="V1594" s="80" t="s">
        <v>95</v>
      </c>
      <c r="X1594" s="77" t="s">
        <v>96</v>
      </c>
      <c r="Y1594" s="78" t="s">
        <v>88</v>
      </c>
      <c r="AA1594" s="77" t="s">
        <v>1568</v>
      </c>
      <c r="AB1594" s="77" t="s">
        <v>1521</v>
      </c>
      <c r="AC1594" s="77" t="s">
        <v>90</v>
      </c>
      <c r="AD1594" s="77" t="s">
        <v>91</v>
      </c>
      <c r="AE1594" s="77" t="s">
        <v>3499</v>
      </c>
    </row>
    <row r="1595" spans="1:33" x14ac:dyDescent="0.3">
      <c r="A1595" s="77" t="s">
        <v>3501</v>
      </c>
      <c r="B1595" s="77" t="s">
        <v>1574</v>
      </c>
      <c r="G1595" s="77" t="s">
        <v>3498</v>
      </c>
      <c r="H1595" s="77" t="s">
        <v>77</v>
      </c>
      <c r="I1595" s="77" t="s">
        <v>1521</v>
      </c>
      <c r="J1595" s="77" t="s">
        <v>3039</v>
      </c>
      <c r="K1595" s="77" t="s">
        <v>1522</v>
      </c>
      <c r="L1595" s="77" t="s">
        <v>1575</v>
      </c>
      <c r="M1595" s="77" t="s">
        <v>82</v>
      </c>
      <c r="N1595" s="77" t="s">
        <v>83</v>
      </c>
      <c r="Q1595" s="77" t="s">
        <v>111</v>
      </c>
      <c r="S1595" s="77" t="s">
        <v>111</v>
      </c>
      <c r="U1595" s="77" t="s">
        <v>85</v>
      </c>
      <c r="V1595" s="80" t="s">
        <v>99</v>
      </c>
      <c r="X1595" s="77" t="s">
        <v>100</v>
      </c>
      <c r="Y1595" s="78" t="s">
        <v>101</v>
      </c>
      <c r="AA1595" s="77" t="s">
        <v>1568</v>
      </c>
      <c r="AB1595" s="77" t="s">
        <v>1521</v>
      </c>
      <c r="AC1595" s="77" t="s">
        <v>90</v>
      </c>
      <c r="AD1595" s="77" t="s">
        <v>102</v>
      </c>
      <c r="AE1595" s="77" t="s">
        <v>3499</v>
      </c>
    </row>
    <row r="1596" spans="1:33" x14ac:dyDescent="0.3">
      <c r="A1596" s="77" t="s">
        <v>3502</v>
      </c>
      <c r="B1596" s="77" t="s">
        <v>1577</v>
      </c>
      <c r="G1596" s="77" t="s">
        <v>3498</v>
      </c>
      <c r="H1596" s="77" t="s">
        <v>77</v>
      </c>
      <c r="I1596" s="77" t="s">
        <v>1521</v>
      </c>
      <c r="J1596" s="77" t="s">
        <v>3039</v>
      </c>
      <c r="K1596" s="77" t="s">
        <v>1522</v>
      </c>
      <c r="L1596" s="77" t="s">
        <v>1578</v>
      </c>
      <c r="M1596" s="77" t="s">
        <v>82</v>
      </c>
      <c r="N1596" s="77" t="s">
        <v>83</v>
      </c>
      <c r="Q1596" s="77" t="s">
        <v>111</v>
      </c>
      <c r="S1596" s="77" t="s">
        <v>111</v>
      </c>
      <c r="U1596" s="77" t="s">
        <v>85</v>
      </c>
      <c r="V1596" s="80" t="s">
        <v>105</v>
      </c>
      <c r="X1596" s="77" t="s">
        <v>106</v>
      </c>
      <c r="Y1596" s="78" t="s">
        <v>101</v>
      </c>
      <c r="AA1596" s="77" t="s">
        <v>1568</v>
      </c>
      <c r="AB1596" s="77" t="s">
        <v>1521</v>
      </c>
      <c r="AC1596" s="77" t="s">
        <v>90</v>
      </c>
      <c r="AD1596" s="77" t="s">
        <v>102</v>
      </c>
      <c r="AE1596" s="77" t="s">
        <v>3499</v>
      </c>
    </row>
    <row r="1597" spans="1:33" x14ac:dyDescent="0.3">
      <c r="A1597" s="77" t="s">
        <v>3503</v>
      </c>
      <c r="B1597" s="77" t="s">
        <v>1580</v>
      </c>
      <c r="G1597" s="77" t="s">
        <v>3498</v>
      </c>
      <c r="H1597" s="77" t="s">
        <v>77</v>
      </c>
      <c r="I1597" s="77" t="s">
        <v>1521</v>
      </c>
      <c r="J1597" s="77" t="s">
        <v>3039</v>
      </c>
      <c r="K1597" s="77" t="s">
        <v>1522</v>
      </c>
      <c r="L1597" s="77" t="s">
        <v>1581</v>
      </c>
      <c r="M1597" s="77" t="s">
        <v>82</v>
      </c>
      <c r="N1597" s="77" t="s">
        <v>83</v>
      </c>
      <c r="Q1597" s="77" t="s">
        <v>111</v>
      </c>
      <c r="S1597" s="77" t="s">
        <v>111</v>
      </c>
      <c r="U1597" s="77" t="s">
        <v>85</v>
      </c>
      <c r="V1597" s="80" t="s">
        <v>231</v>
      </c>
      <c r="X1597" s="77" t="s">
        <v>232</v>
      </c>
      <c r="Y1597" s="78" t="s">
        <v>88</v>
      </c>
      <c r="AA1597" s="77" t="s">
        <v>1568</v>
      </c>
      <c r="AB1597" s="77" t="s">
        <v>1521</v>
      </c>
      <c r="AC1597" s="77" t="s">
        <v>90</v>
      </c>
      <c r="AD1597" s="77" t="s">
        <v>91</v>
      </c>
      <c r="AE1597" s="77" t="s">
        <v>3499</v>
      </c>
    </row>
    <row r="1598" spans="1:33" x14ac:dyDescent="0.3">
      <c r="A1598" s="77" t="s">
        <v>3504</v>
      </c>
      <c r="B1598" s="77" t="s">
        <v>1583</v>
      </c>
      <c r="G1598" s="77" t="s">
        <v>3498</v>
      </c>
      <c r="H1598" s="77" t="s">
        <v>77</v>
      </c>
      <c r="I1598" s="77" t="s">
        <v>1521</v>
      </c>
      <c r="J1598" s="77" t="s">
        <v>3039</v>
      </c>
      <c r="K1598" s="77" t="s">
        <v>1522</v>
      </c>
      <c r="L1598" s="77" t="s">
        <v>1584</v>
      </c>
      <c r="M1598" s="77" t="s">
        <v>82</v>
      </c>
      <c r="N1598" s="77" t="s">
        <v>83</v>
      </c>
      <c r="Q1598" s="77" t="s">
        <v>111</v>
      </c>
      <c r="S1598" s="77" t="s">
        <v>111</v>
      </c>
      <c r="U1598" s="77" t="s">
        <v>85</v>
      </c>
      <c r="V1598" s="80" t="s">
        <v>86</v>
      </c>
      <c r="X1598" s="77" t="s">
        <v>87</v>
      </c>
      <c r="Y1598" s="78" t="s">
        <v>88</v>
      </c>
      <c r="AA1598" s="77" t="s">
        <v>1568</v>
      </c>
      <c r="AB1598" s="77" t="s">
        <v>1521</v>
      </c>
      <c r="AC1598" s="77" t="s">
        <v>90</v>
      </c>
      <c r="AD1598" s="77" t="s">
        <v>91</v>
      </c>
      <c r="AE1598" s="77" t="s">
        <v>3499</v>
      </c>
    </row>
    <row r="1599" spans="1:33" x14ac:dyDescent="0.3">
      <c r="A1599" s="77" t="s">
        <v>3505</v>
      </c>
      <c r="B1599" s="77" t="s">
        <v>1586</v>
      </c>
      <c r="G1599" s="77" t="s">
        <v>3498</v>
      </c>
      <c r="H1599" s="77" t="s">
        <v>77</v>
      </c>
      <c r="I1599" s="77" t="s">
        <v>1521</v>
      </c>
      <c r="J1599" s="77" t="s">
        <v>3039</v>
      </c>
      <c r="K1599" s="77" t="s">
        <v>1522</v>
      </c>
      <c r="L1599" s="77" t="s">
        <v>1584</v>
      </c>
      <c r="M1599" s="77" t="s">
        <v>82</v>
      </c>
      <c r="N1599" s="77" t="s">
        <v>83</v>
      </c>
      <c r="Q1599" s="77" t="s">
        <v>111</v>
      </c>
      <c r="S1599" s="77" t="s">
        <v>111</v>
      </c>
      <c r="U1599" s="77" t="s">
        <v>85</v>
      </c>
      <c r="V1599" s="80" t="s">
        <v>86</v>
      </c>
      <c r="X1599" s="77" t="s">
        <v>87</v>
      </c>
      <c r="Y1599" s="78" t="s">
        <v>88</v>
      </c>
      <c r="AA1599" s="77" t="s">
        <v>1568</v>
      </c>
      <c r="AB1599" s="77" t="s">
        <v>1521</v>
      </c>
      <c r="AC1599" s="77" t="s">
        <v>90</v>
      </c>
      <c r="AD1599" s="77" t="s">
        <v>91</v>
      </c>
      <c r="AE1599" s="77" t="s">
        <v>3499</v>
      </c>
    </row>
    <row r="1600" spans="1:33" x14ac:dyDescent="0.3">
      <c r="A1600" s="77" t="s">
        <v>3506</v>
      </c>
      <c r="B1600" s="77" t="s">
        <v>1588</v>
      </c>
      <c r="G1600" s="77" t="s">
        <v>3498</v>
      </c>
      <c r="H1600" s="77" t="s">
        <v>77</v>
      </c>
      <c r="I1600" s="77" t="s">
        <v>1521</v>
      </c>
      <c r="J1600" s="77" t="s">
        <v>3039</v>
      </c>
      <c r="K1600" s="77" t="s">
        <v>1522</v>
      </c>
      <c r="L1600" s="77" t="s">
        <v>1584</v>
      </c>
      <c r="M1600" s="77" t="s">
        <v>82</v>
      </c>
      <c r="N1600" s="77" t="s">
        <v>83</v>
      </c>
      <c r="Q1600" s="77" t="s">
        <v>111</v>
      </c>
      <c r="S1600" s="77" t="s">
        <v>111</v>
      </c>
      <c r="U1600" s="77" t="s">
        <v>85</v>
      </c>
      <c r="V1600" s="80" t="s">
        <v>86</v>
      </c>
      <c r="X1600" s="77" t="s">
        <v>87</v>
      </c>
      <c r="Y1600" s="78" t="s">
        <v>88</v>
      </c>
      <c r="AA1600" s="77" t="s">
        <v>1568</v>
      </c>
      <c r="AB1600" s="77" t="s">
        <v>1521</v>
      </c>
      <c r="AC1600" s="77" t="s">
        <v>90</v>
      </c>
      <c r="AD1600" s="77" t="s">
        <v>91</v>
      </c>
      <c r="AE1600" s="77" t="s">
        <v>3499</v>
      </c>
    </row>
    <row r="1601" spans="1:31" x14ac:dyDescent="0.3">
      <c r="A1601" s="77" t="s">
        <v>3507</v>
      </c>
      <c r="B1601" s="77" t="s">
        <v>1590</v>
      </c>
      <c r="G1601" s="77" t="s">
        <v>3498</v>
      </c>
      <c r="H1601" s="77" t="s">
        <v>77</v>
      </c>
      <c r="I1601" s="77" t="s">
        <v>1521</v>
      </c>
      <c r="J1601" s="77" t="s">
        <v>3039</v>
      </c>
      <c r="K1601" s="77" t="s">
        <v>1522</v>
      </c>
      <c r="L1601" s="77" t="s">
        <v>1591</v>
      </c>
      <c r="M1601" s="77" t="s">
        <v>82</v>
      </c>
      <c r="N1601" s="77" t="s">
        <v>83</v>
      </c>
      <c r="Q1601" s="77" t="s">
        <v>111</v>
      </c>
      <c r="S1601" s="77" t="s">
        <v>111</v>
      </c>
      <c r="U1601" s="77" t="s">
        <v>85</v>
      </c>
      <c r="V1601" s="80" t="s">
        <v>95</v>
      </c>
      <c r="X1601" s="77" t="s">
        <v>96</v>
      </c>
      <c r="Y1601" s="78" t="s">
        <v>88</v>
      </c>
      <c r="AA1601" s="77" t="s">
        <v>1568</v>
      </c>
      <c r="AB1601" s="77" t="s">
        <v>1521</v>
      </c>
      <c r="AC1601" s="77" t="s">
        <v>90</v>
      </c>
      <c r="AD1601" s="77" t="s">
        <v>91</v>
      </c>
      <c r="AE1601" s="77" t="s">
        <v>3499</v>
      </c>
    </row>
    <row r="1602" spans="1:31" x14ac:dyDescent="0.3">
      <c r="A1602" s="77" t="s">
        <v>3508</v>
      </c>
      <c r="B1602" s="77" t="s">
        <v>1593</v>
      </c>
      <c r="G1602" s="77" t="s">
        <v>3498</v>
      </c>
      <c r="H1602" s="77" t="s">
        <v>77</v>
      </c>
      <c r="I1602" s="77" t="s">
        <v>1521</v>
      </c>
      <c r="J1602" s="77" t="s">
        <v>3039</v>
      </c>
      <c r="K1602" s="77" t="s">
        <v>1522</v>
      </c>
      <c r="L1602" s="77" t="s">
        <v>1591</v>
      </c>
      <c r="M1602" s="77" t="s">
        <v>82</v>
      </c>
      <c r="N1602" s="77" t="s">
        <v>83</v>
      </c>
      <c r="Q1602" s="77" t="s">
        <v>111</v>
      </c>
      <c r="S1602" s="77" t="s">
        <v>111</v>
      </c>
      <c r="U1602" s="77" t="s">
        <v>85</v>
      </c>
      <c r="V1602" s="80" t="s">
        <v>95</v>
      </c>
      <c r="X1602" s="77" t="s">
        <v>96</v>
      </c>
      <c r="Y1602" s="78" t="s">
        <v>88</v>
      </c>
      <c r="AA1602" s="77" t="s">
        <v>1568</v>
      </c>
      <c r="AB1602" s="77" t="s">
        <v>1521</v>
      </c>
      <c r="AC1602" s="77" t="s">
        <v>90</v>
      </c>
      <c r="AD1602" s="77" t="s">
        <v>91</v>
      </c>
      <c r="AE1602" s="77" t="s">
        <v>3499</v>
      </c>
    </row>
    <row r="1603" spans="1:31" x14ac:dyDescent="0.3">
      <c r="A1603" s="77" t="s">
        <v>3509</v>
      </c>
      <c r="B1603" s="77" t="s">
        <v>1595</v>
      </c>
      <c r="G1603" s="77" t="s">
        <v>3498</v>
      </c>
      <c r="H1603" s="77" t="s">
        <v>77</v>
      </c>
      <c r="I1603" s="77" t="s">
        <v>1521</v>
      </c>
      <c r="J1603" s="77" t="s">
        <v>3039</v>
      </c>
      <c r="K1603" s="77" t="s">
        <v>1522</v>
      </c>
      <c r="L1603" s="77" t="s">
        <v>1591</v>
      </c>
      <c r="M1603" s="77" t="s">
        <v>82</v>
      </c>
      <c r="N1603" s="77" t="s">
        <v>83</v>
      </c>
      <c r="Q1603" s="77" t="s">
        <v>111</v>
      </c>
      <c r="S1603" s="77" t="s">
        <v>111</v>
      </c>
      <c r="U1603" s="77" t="s">
        <v>85</v>
      </c>
      <c r="V1603" s="80" t="s">
        <v>95</v>
      </c>
      <c r="X1603" s="77" t="s">
        <v>96</v>
      </c>
      <c r="Y1603" s="78" t="s">
        <v>88</v>
      </c>
      <c r="AA1603" s="77" t="s">
        <v>1568</v>
      </c>
      <c r="AB1603" s="77" t="s">
        <v>1521</v>
      </c>
      <c r="AC1603" s="77" t="s">
        <v>90</v>
      </c>
      <c r="AD1603" s="77" t="s">
        <v>91</v>
      </c>
      <c r="AE1603" s="77" t="s">
        <v>3499</v>
      </c>
    </row>
    <row r="1604" spans="1:31" x14ac:dyDescent="0.3">
      <c r="A1604" s="77" t="s">
        <v>3510</v>
      </c>
      <c r="B1604" s="77" t="s">
        <v>1597</v>
      </c>
      <c r="G1604" s="77" t="s">
        <v>3498</v>
      </c>
      <c r="H1604" s="77" t="s">
        <v>77</v>
      </c>
      <c r="I1604" s="77" t="s">
        <v>1521</v>
      </c>
      <c r="J1604" s="77" t="s">
        <v>3039</v>
      </c>
      <c r="K1604" s="77" t="s">
        <v>1522</v>
      </c>
      <c r="L1604" s="77" t="s">
        <v>1598</v>
      </c>
      <c r="M1604" s="77" t="s">
        <v>82</v>
      </c>
      <c r="N1604" s="77" t="s">
        <v>83</v>
      </c>
      <c r="Q1604" s="77" t="s">
        <v>111</v>
      </c>
      <c r="S1604" s="77" t="s">
        <v>111</v>
      </c>
      <c r="U1604" s="77" t="s">
        <v>85</v>
      </c>
      <c r="V1604" s="80" t="s">
        <v>99</v>
      </c>
      <c r="X1604" s="77" t="s">
        <v>100</v>
      </c>
      <c r="Y1604" s="78" t="s">
        <v>101</v>
      </c>
      <c r="AA1604" s="77" t="s">
        <v>1568</v>
      </c>
      <c r="AB1604" s="77" t="s">
        <v>1521</v>
      </c>
      <c r="AC1604" s="77" t="s">
        <v>90</v>
      </c>
      <c r="AD1604" s="77" t="s">
        <v>102</v>
      </c>
      <c r="AE1604" s="77" t="s">
        <v>3499</v>
      </c>
    </row>
    <row r="1605" spans="1:31" x14ac:dyDescent="0.3">
      <c r="A1605" s="77" t="s">
        <v>3511</v>
      </c>
      <c r="B1605" s="77" t="s">
        <v>1600</v>
      </c>
      <c r="G1605" s="77" t="s">
        <v>3498</v>
      </c>
      <c r="H1605" s="77" t="s">
        <v>77</v>
      </c>
      <c r="I1605" s="77" t="s">
        <v>1521</v>
      </c>
      <c r="J1605" s="77" t="s">
        <v>3039</v>
      </c>
      <c r="K1605" s="77" t="s">
        <v>1522</v>
      </c>
      <c r="L1605" s="77" t="s">
        <v>1598</v>
      </c>
      <c r="M1605" s="77" t="s">
        <v>82</v>
      </c>
      <c r="N1605" s="77" t="s">
        <v>83</v>
      </c>
      <c r="Q1605" s="77" t="s">
        <v>111</v>
      </c>
      <c r="S1605" s="77" t="s">
        <v>111</v>
      </c>
      <c r="U1605" s="77" t="s">
        <v>85</v>
      </c>
      <c r="V1605" s="80" t="s">
        <v>99</v>
      </c>
      <c r="X1605" s="77" t="s">
        <v>100</v>
      </c>
      <c r="Y1605" s="78" t="s">
        <v>101</v>
      </c>
      <c r="AA1605" s="77" t="s">
        <v>1568</v>
      </c>
      <c r="AB1605" s="77" t="s">
        <v>1521</v>
      </c>
      <c r="AC1605" s="77" t="s">
        <v>90</v>
      </c>
      <c r="AD1605" s="77" t="s">
        <v>102</v>
      </c>
      <c r="AE1605" s="77" t="s">
        <v>3499</v>
      </c>
    </row>
    <row r="1606" spans="1:31" x14ac:dyDescent="0.3">
      <c r="A1606" s="77" t="s">
        <v>3512</v>
      </c>
      <c r="B1606" s="77" t="s">
        <v>1602</v>
      </c>
      <c r="G1606" s="77" t="s">
        <v>3498</v>
      </c>
      <c r="H1606" s="77" t="s">
        <v>77</v>
      </c>
      <c r="I1606" s="77" t="s">
        <v>1521</v>
      </c>
      <c r="J1606" s="77" t="s">
        <v>3039</v>
      </c>
      <c r="K1606" s="77" t="s">
        <v>1522</v>
      </c>
      <c r="L1606" s="77" t="s">
        <v>1598</v>
      </c>
      <c r="M1606" s="77" t="s">
        <v>82</v>
      </c>
      <c r="N1606" s="77" t="s">
        <v>83</v>
      </c>
      <c r="Q1606" s="77" t="s">
        <v>111</v>
      </c>
      <c r="S1606" s="77" t="s">
        <v>111</v>
      </c>
      <c r="U1606" s="77" t="s">
        <v>85</v>
      </c>
      <c r="V1606" s="80" t="s">
        <v>99</v>
      </c>
      <c r="X1606" s="77" t="s">
        <v>100</v>
      </c>
      <c r="Y1606" s="78" t="s">
        <v>101</v>
      </c>
      <c r="AA1606" s="77" t="s">
        <v>1568</v>
      </c>
      <c r="AB1606" s="77" t="s">
        <v>1521</v>
      </c>
      <c r="AC1606" s="77" t="s">
        <v>90</v>
      </c>
      <c r="AD1606" s="77" t="s">
        <v>102</v>
      </c>
      <c r="AE1606" s="77" t="s">
        <v>3499</v>
      </c>
    </row>
    <row r="1607" spans="1:31" x14ac:dyDescent="0.3">
      <c r="A1607" s="77" t="s">
        <v>3513</v>
      </c>
      <c r="B1607" s="77" t="s">
        <v>1604</v>
      </c>
      <c r="G1607" s="77" t="s">
        <v>3498</v>
      </c>
      <c r="H1607" s="77" t="s">
        <v>77</v>
      </c>
      <c r="I1607" s="77" t="s">
        <v>1521</v>
      </c>
      <c r="J1607" s="77" t="s">
        <v>3039</v>
      </c>
      <c r="K1607" s="77" t="s">
        <v>1522</v>
      </c>
      <c r="L1607" s="77" t="s">
        <v>1605</v>
      </c>
      <c r="M1607" s="77" t="s">
        <v>82</v>
      </c>
      <c r="N1607" s="77" t="s">
        <v>83</v>
      </c>
      <c r="Q1607" s="77" t="s">
        <v>111</v>
      </c>
      <c r="S1607" s="77" t="s">
        <v>111</v>
      </c>
      <c r="U1607" s="77" t="s">
        <v>85</v>
      </c>
      <c r="V1607" s="80" t="s">
        <v>105</v>
      </c>
      <c r="X1607" s="77" t="s">
        <v>106</v>
      </c>
      <c r="Y1607" s="78" t="s">
        <v>101</v>
      </c>
      <c r="AA1607" s="77" t="s">
        <v>1568</v>
      </c>
      <c r="AB1607" s="77" t="s">
        <v>1521</v>
      </c>
      <c r="AC1607" s="77" t="s">
        <v>90</v>
      </c>
      <c r="AD1607" s="77" t="s">
        <v>102</v>
      </c>
      <c r="AE1607" s="77" t="s">
        <v>3499</v>
      </c>
    </row>
    <row r="1608" spans="1:31" x14ac:dyDescent="0.3">
      <c r="A1608" s="77" t="s">
        <v>3514</v>
      </c>
      <c r="B1608" s="77" t="s">
        <v>1607</v>
      </c>
      <c r="G1608" s="77" t="s">
        <v>3498</v>
      </c>
      <c r="H1608" s="77" t="s">
        <v>77</v>
      </c>
      <c r="I1608" s="77" t="s">
        <v>1521</v>
      </c>
      <c r="J1608" s="77" t="s">
        <v>3039</v>
      </c>
      <c r="K1608" s="77" t="s">
        <v>1522</v>
      </c>
      <c r="L1608" s="77" t="s">
        <v>1605</v>
      </c>
      <c r="M1608" s="77" t="s">
        <v>82</v>
      </c>
      <c r="N1608" s="77" t="s">
        <v>83</v>
      </c>
      <c r="Q1608" s="77" t="s">
        <v>111</v>
      </c>
      <c r="S1608" s="77" t="s">
        <v>111</v>
      </c>
      <c r="U1608" s="77" t="s">
        <v>85</v>
      </c>
      <c r="V1608" s="80" t="s">
        <v>105</v>
      </c>
      <c r="X1608" s="77" t="s">
        <v>106</v>
      </c>
      <c r="Y1608" s="78" t="s">
        <v>101</v>
      </c>
      <c r="AA1608" s="77" t="s">
        <v>1568</v>
      </c>
      <c r="AB1608" s="77" t="s">
        <v>1521</v>
      </c>
      <c r="AC1608" s="77" t="s">
        <v>90</v>
      </c>
      <c r="AD1608" s="77" t="s">
        <v>102</v>
      </c>
      <c r="AE1608" s="77" t="s">
        <v>3499</v>
      </c>
    </row>
    <row r="1609" spans="1:31" x14ac:dyDescent="0.3">
      <c r="A1609" s="77" t="s">
        <v>3515</v>
      </c>
      <c r="B1609" s="77" t="s">
        <v>1609</v>
      </c>
      <c r="G1609" s="77" t="s">
        <v>3498</v>
      </c>
      <c r="H1609" s="77" t="s">
        <v>77</v>
      </c>
      <c r="I1609" s="77" t="s">
        <v>1521</v>
      </c>
      <c r="J1609" s="77" t="s">
        <v>3039</v>
      </c>
      <c r="K1609" s="77" t="s">
        <v>1522</v>
      </c>
      <c r="L1609" s="77" t="s">
        <v>1605</v>
      </c>
      <c r="M1609" s="77" t="s">
        <v>82</v>
      </c>
      <c r="N1609" s="77" t="s">
        <v>83</v>
      </c>
      <c r="Q1609" s="77" t="s">
        <v>111</v>
      </c>
      <c r="S1609" s="77" t="s">
        <v>111</v>
      </c>
      <c r="U1609" s="77" t="s">
        <v>85</v>
      </c>
      <c r="V1609" s="80" t="s">
        <v>105</v>
      </c>
      <c r="X1609" s="77" t="s">
        <v>106</v>
      </c>
      <c r="Y1609" s="78" t="s">
        <v>101</v>
      </c>
      <c r="AA1609" s="77" t="s">
        <v>1568</v>
      </c>
      <c r="AB1609" s="77" t="s">
        <v>1521</v>
      </c>
      <c r="AC1609" s="77" t="s">
        <v>90</v>
      </c>
      <c r="AD1609" s="77" t="s">
        <v>102</v>
      </c>
      <c r="AE1609" s="77" t="s">
        <v>3499</v>
      </c>
    </row>
    <row r="1610" spans="1:31" x14ac:dyDescent="0.3">
      <c r="A1610" s="77" t="s">
        <v>3516</v>
      </c>
      <c r="B1610" s="77" t="s">
        <v>1611</v>
      </c>
      <c r="G1610" s="77" t="s">
        <v>3498</v>
      </c>
      <c r="H1610" s="77" t="s">
        <v>77</v>
      </c>
      <c r="I1610" s="77" t="s">
        <v>1521</v>
      </c>
      <c r="J1610" s="77" t="s">
        <v>3039</v>
      </c>
      <c r="K1610" s="77" t="s">
        <v>1522</v>
      </c>
      <c r="L1610" s="77" t="s">
        <v>1612</v>
      </c>
      <c r="M1610" s="77" t="s">
        <v>82</v>
      </c>
      <c r="N1610" s="77" t="s">
        <v>83</v>
      </c>
      <c r="Q1610" s="77" t="s">
        <v>111</v>
      </c>
      <c r="S1610" s="77" t="s">
        <v>111</v>
      </c>
      <c r="U1610" s="77" t="s">
        <v>85</v>
      </c>
      <c r="V1610" s="80" t="s">
        <v>211</v>
      </c>
      <c r="X1610" s="77" t="s">
        <v>212</v>
      </c>
      <c r="Y1610" s="78" t="s">
        <v>88</v>
      </c>
      <c r="AA1610" s="77" t="s">
        <v>1568</v>
      </c>
      <c r="AB1610" s="77" t="s">
        <v>1521</v>
      </c>
      <c r="AC1610" s="77" t="s">
        <v>90</v>
      </c>
      <c r="AD1610" s="77" t="s">
        <v>91</v>
      </c>
      <c r="AE1610" s="77" t="s">
        <v>3499</v>
      </c>
    </row>
    <row r="1611" spans="1:31" x14ac:dyDescent="0.3">
      <c r="A1611" s="77" t="s">
        <v>3517</v>
      </c>
      <c r="B1611" s="77" t="s">
        <v>1614</v>
      </c>
      <c r="G1611" s="77" t="s">
        <v>3498</v>
      </c>
      <c r="H1611" s="77" t="s">
        <v>77</v>
      </c>
      <c r="I1611" s="77" t="s">
        <v>1521</v>
      </c>
      <c r="J1611" s="77" t="s">
        <v>3039</v>
      </c>
      <c r="K1611" s="77" t="s">
        <v>1522</v>
      </c>
      <c r="L1611" s="77" t="s">
        <v>1612</v>
      </c>
      <c r="M1611" s="77" t="s">
        <v>82</v>
      </c>
      <c r="N1611" s="77" t="s">
        <v>83</v>
      </c>
      <c r="Q1611" s="77" t="s">
        <v>111</v>
      </c>
      <c r="S1611" s="77" t="s">
        <v>111</v>
      </c>
      <c r="U1611" s="77" t="s">
        <v>85</v>
      </c>
      <c r="V1611" s="80" t="s">
        <v>211</v>
      </c>
      <c r="X1611" s="77" t="s">
        <v>212</v>
      </c>
      <c r="Y1611" s="78" t="s">
        <v>88</v>
      </c>
      <c r="AA1611" s="77" t="s">
        <v>1568</v>
      </c>
      <c r="AB1611" s="77" t="s">
        <v>1521</v>
      </c>
      <c r="AC1611" s="77" t="s">
        <v>90</v>
      </c>
      <c r="AD1611" s="77" t="s">
        <v>91</v>
      </c>
      <c r="AE1611" s="77" t="s">
        <v>3499</v>
      </c>
    </row>
    <row r="1612" spans="1:31" x14ac:dyDescent="0.3">
      <c r="A1612" s="77" t="s">
        <v>3518</v>
      </c>
      <c r="B1612" s="77" t="s">
        <v>1616</v>
      </c>
      <c r="G1612" s="77" t="s">
        <v>3498</v>
      </c>
      <c r="H1612" s="77" t="s">
        <v>77</v>
      </c>
      <c r="I1612" s="77" t="s">
        <v>1521</v>
      </c>
      <c r="J1612" s="77" t="s">
        <v>3039</v>
      </c>
      <c r="K1612" s="77" t="s">
        <v>1522</v>
      </c>
      <c r="L1612" s="77" t="s">
        <v>1617</v>
      </c>
      <c r="M1612" s="77" t="s">
        <v>82</v>
      </c>
      <c r="N1612" s="77" t="s">
        <v>83</v>
      </c>
      <c r="Q1612" s="77" t="s">
        <v>111</v>
      </c>
      <c r="S1612" s="77" t="s">
        <v>111</v>
      </c>
      <c r="U1612" s="77" t="s">
        <v>85</v>
      </c>
      <c r="V1612" s="80" t="s">
        <v>216</v>
      </c>
      <c r="X1612" s="77" t="s">
        <v>217</v>
      </c>
      <c r="Y1612" s="78" t="s">
        <v>88</v>
      </c>
      <c r="AA1612" s="77" t="s">
        <v>1568</v>
      </c>
      <c r="AB1612" s="77" t="s">
        <v>1521</v>
      </c>
      <c r="AC1612" s="77" t="s">
        <v>90</v>
      </c>
      <c r="AD1612" s="77" t="s">
        <v>91</v>
      </c>
      <c r="AE1612" s="77" t="s">
        <v>3499</v>
      </c>
    </row>
    <row r="1613" spans="1:31" x14ac:dyDescent="0.3">
      <c r="A1613" s="77" t="s">
        <v>3519</v>
      </c>
      <c r="B1613" s="77" t="s">
        <v>1619</v>
      </c>
      <c r="G1613" s="77" t="s">
        <v>3498</v>
      </c>
      <c r="H1613" s="77" t="s">
        <v>77</v>
      </c>
      <c r="I1613" s="77" t="s">
        <v>1521</v>
      </c>
      <c r="J1613" s="77" t="s">
        <v>3039</v>
      </c>
      <c r="K1613" s="77" t="s">
        <v>1522</v>
      </c>
      <c r="L1613" s="77" t="s">
        <v>1617</v>
      </c>
      <c r="M1613" s="77" t="s">
        <v>82</v>
      </c>
      <c r="N1613" s="77" t="s">
        <v>83</v>
      </c>
      <c r="Q1613" s="77" t="s">
        <v>111</v>
      </c>
      <c r="S1613" s="77" t="s">
        <v>111</v>
      </c>
      <c r="U1613" s="77" t="s">
        <v>85</v>
      </c>
      <c r="V1613" s="80" t="s">
        <v>216</v>
      </c>
      <c r="X1613" s="77" t="s">
        <v>217</v>
      </c>
      <c r="Y1613" s="78" t="s">
        <v>88</v>
      </c>
      <c r="AA1613" s="77" t="s">
        <v>1568</v>
      </c>
      <c r="AB1613" s="77" t="s">
        <v>1521</v>
      </c>
      <c r="AC1613" s="77" t="s">
        <v>90</v>
      </c>
      <c r="AD1613" s="77" t="s">
        <v>91</v>
      </c>
      <c r="AE1613" s="77" t="s">
        <v>3499</v>
      </c>
    </row>
    <row r="1614" spans="1:31" x14ac:dyDescent="0.3">
      <c r="A1614" s="77" t="s">
        <v>3520</v>
      </c>
      <c r="B1614" s="77" t="s">
        <v>1621</v>
      </c>
      <c r="G1614" s="77" t="s">
        <v>3498</v>
      </c>
      <c r="H1614" s="77" t="s">
        <v>77</v>
      </c>
      <c r="I1614" s="77" t="s">
        <v>1521</v>
      </c>
      <c r="J1614" s="77" t="s">
        <v>3039</v>
      </c>
      <c r="K1614" s="77" t="s">
        <v>1522</v>
      </c>
      <c r="L1614" s="77" t="s">
        <v>1622</v>
      </c>
      <c r="M1614" s="77" t="s">
        <v>82</v>
      </c>
      <c r="N1614" s="77" t="s">
        <v>83</v>
      </c>
      <c r="Q1614" s="77" t="s">
        <v>111</v>
      </c>
      <c r="S1614" s="77" t="s">
        <v>111</v>
      </c>
      <c r="U1614" s="77" t="s">
        <v>85</v>
      </c>
      <c r="V1614" s="80" t="s">
        <v>221</v>
      </c>
      <c r="X1614" s="77" t="s">
        <v>222</v>
      </c>
      <c r="Y1614" s="78" t="s">
        <v>101</v>
      </c>
      <c r="AA1614" s="77" t="s">
        <v>1568</v>
      </c>
      <c r="AB1614" s="77" t="s">
        <v>1521</v>
      </c>
      <c r="AC1614" s="77" t="s">
        <v>90</v>
      </c>
      <c r="AD1614" s="77" t="s">
        <v>102</v>
      </c>
      <c r="AE1614" s="77" t="s">
        <v>3499</v>
      </c>
    </row>
    <row r="1615" spans="1:31" x14ac:dyDescent="0.3">
      <c r="A1615" s="77" t="s">
        <v>3521</v>
      </c>
      <c r="B1615" s="77" t="s">
        <v>1624</v>
      </c>
      <c r="G1615" s="77" t="s">
        <v>3498</v>
      </c>
      <c r="H1615" s="77" t="s">
        <v>77</v>
      </c>
      <c r="I1615" s="77" t="s">
        <v>1521</v>
      </c>
      <c r="J1615" s="77" t="s">
        <v>3039</v>
      </c>
      <c r="K1615" s="77" t="s">
        <v>1522</v>
      </c>
      <c r="L1615" s="77" t="s">
        <v>1622</v>
      </c>
      <c r="M1615" s="77" t="s">
        <v>82</v>
      </c>
      <c r="N1615" s="77" t="s">
        <v>83</v>
      </c>
      <c r="Q1615" s="77" t="s">
        <v>111</v>
      </c>
      <c r="S1615" s="77" t="s">
        <v>111</v>
      </c>
      <c r="U1615" s="77" t="s">
        <v>85</v>
      </c>
      <c r="V1615" s="80" t="s">
        <v>221</v>
      </c>
      <c r="X1615" s="77" t="s">
        <v>222</v>
      </c>
      <c r="Y1615" s="78" t="s">
        <v>101</v>
      </c>
      <c r="AA1615" s="77" t="s">
        <v>1568</v>
      </c>
      <c r="AB1615" s="77" t="s">
        <v>1521</v>
      </c>
      <c r="AC1615" s="77" t="s">
        <v>90</v>
      </c>
      <c r="AD1615" s="77" t="s">
        <v>102</v>
      </c>
      <c r="AE1615" s="77" t="s">
        <v>3499</v>
      </c>
    </row>
    <row r="1616" spans="1:31" x14ac:dyDescent="0.3">
      <c r="A1616" s="77" t="s">
        <v>3522</v>
      </c>
      <c r="B1616" s="77" t="s">
        <v>1626</v>
      </c>
      <c r="G1616" s="77" t="s">
        <v>3498</v>
      </c>
      <c r="H1616" s="77" t="s">
        <v>77</v>
      </c>
      <c r="I1616" s="77" t="s">
        <v>1521</v>
      </c>
      <c r="J1616" s="77" t="s">
        <v>3039</v>
      </c>
      <c r="K1616" s="77" t="s">
        <v>1522</v>
      </c>
      <c r="L1616" s="77" t="s">
        <v>1627</v>
      </c>
      <c r="M1616" s="77" t="s">
        <v>82</v>
      </c>
      <c r="N1616" s="77" t="s">
        <v>83</v>
      </c>
      <c r="Q1616" s="77" t="s">
        <v>111</v>
      </c>
      <c r="S1616" s="77" t="s">
        <v>111</v>
      </c>
      <c r="U1616" s="77" t="s">
        <v>85</v>
      </c>
      <c r="V1616" s="80" t="s">
        <v>226</v>
      </c>
      <c r="X1616" s="77" t="s">
        <v>227</v>
      </c>
      <c r="Y1616" s="78" t="s">
        <v>101</v>
      </c>
      <c r="AA1616" s="77" t="s">
        <v>1568</v>
      </c>
      <c r="AB1616" s="77" t="s">
        <v>1521</v>
      </c>
      <c r="AC1616" s="77" t="s">
        <v>90</v>
      </c>
      <c r="AD1616" s="77" t="s">
        <v>102</v>
      </c>
      <c r="AE1616" s="77" t="s">
        <v>3499</v>
      </c>
    </row>
    <row r="1617" spans="1:31" x14ac:dyDescent="0.3">
      <c r="A1617" s="77" t="s">
        <v>3523</v>
      </c>
      <c r="B1617" s="77" t="s">
        <v>1629</v>
      </c>
      <c r="G1617" s="77" t="s">
        <v>3498</v>
      </c>
      <c r="H1617" s="77" t="s">
        <v>77</v>
      </c>
      <c r="I1617" s="77" t="s">
        <v>1521</v>
      </c>
      <c r="J1617" s="77" t="s">
        <v>3039</v>
      </c>
      <c r="K1617" s="77" t="s">
        <v>1522</v>
      </c>
      <c r="L1617" s="77" t="s">
        <v>1627</v>
      </c>
      <c r="M1617" s="77" t="s">
        <v>82</v>
      </c>
      <c r="N1617" s="77" t="s">
        <v>83</v>
      </c>
      <c r="Q1617" s="77" t="s">
        <v>111</v>
      </c>
      <c r="S1617" s="77" t="s">
        <v>111</v>
      </c>
      <c r="U1617" s="77" t="s">
        <v>85</v>
      </c>
      <c r="V1617" s="80" t="s">
        <v>226</v>
      </c>
      <c r="X1617" s="77" t="s">
        <v>227</v>
      </c>
      <c r="Y1617" s="78" t="s">
        <v>101</v>
      </c>
      <c r="AA1617" s="77" t="s">
        <v>1568</v>
      </c>
      <c r="AB1617" s="77" t="s">
        <v>1521</v>
      </c>
      <c r="AC1617" s="77" t="s">
        <v>90</v>
      </c>
      <c r="AD1617" s="77" t="s">
        <v>102</v>
      </c>
      <c r="AE1617" s="77" t="s">
        <v>3499</v>
      </c>
    </row>
    <row r="1618" spans="1:31" x14ac:dyDescent="0.3">
      <c r="A1618" s="77" t="s">
        <v>3524</v>
      </c>
      <c r="B1618" s="77" t="s">
        <v>1631</v>
      </c>
      <c r="G1618" s="77" t="s">
        <v>3498</v>
      </c>
      <c r="H1618" s="77" t="s">
        <v>77</v>
      </c>
      <c r="I1618" s="77" t="s">
        <v>1521</v>
      </c>
      <c r="J1618" s="77" t="s">
        <v>3039</v>
      </c>
      <c r="K1618" s="77" t="s">
        <v>1522</v>
      </c>
      <c r="L1618" s="77" t="s">
        <v>1632</v>
      </c>
      <c r="M1618" s="77" t="s">
        <v>82</v>
      </c>
      <c r="N1618" s="77" t="s">
        <v>83</v>
      </c>
      <c r="Q1618" s="77" t="s">
        <v>111</v>
      </c>
      <c r="S1618" s="77" t="s">
        <v>111</v>
      </c>
      <c r="U1618" s="77" t="s">
        <v>85</v>
      </c>
      <c r="V1618" s="80" t="s">
        <v>231</v>
      </c>
      <c r="X1618" s="77" t="s">
        <v>232</v>
      </c>
      <c r="Y1618" s="78" t="s">
        <v>88</v>
      </c>
      <c r="AA1618" s="77" t="s">
        <v>1568</v>
      </c>
      <c r="AB1618" s="77" t="s">
        <v>1521</v>
      </c>
      <c r="AC1618" s="77" t="s">
        <v>90</v>
      </c>
      <c r="AD1618" s="77" t="s">
        <v>91</v>
      </c>
      <c r="AE1618" s="77" t="s">
        <v>3499</v>
      </c>
    </row>
    <row r="1619" spans="1:31" x14ac:dyDescent="0.3">
      <c r="A1619" s="77" t="s">
        <v>3525</v>
      </c>
      <c r="B1619" s="77" t="s">
        <v>1634</v>
      </c>
      <c r="G1619" s="77" t="s">
        <v>3498</v>
      </c>
      <c r="H1619" s="77" t="s">
        <v>77</v>
      </c>
      <c r="I1619" s="77" t="s">
        <v>1521</v>
      </c>
      <c r="J1619" s="77" t="s">
        <v>3039</v>
      </c>
      <c r="K1619" s="77" t="s">
        <v>1522</v>
      </c>
      <c r="L1619" s="77" t="s">
        <v>1632</v>
      </c>
      <c r="M1619" s="77" t="s">
        <v>82</v>
      </c>
      <c r="N1619" s="77" t="s">
        <v>83</v>
      </c>
      <c r="Q1619" s="77" t="s">
        <v>111</v>
      </c>
      <c r="S1619" s="77" t="s">
        <v>111</v>
      </c>
      <c r="U1619" s="77" t="s">
        <v>85</v>
      </c>
      <c r="V1619" s="80" t="s">
        <v>231</v>
      </c>
      <c r="X1619" s="77" t="s">
        <v>232</v>
      </c>
      <c r="Y1619" s="78" t="s">
        <v>88</v>
      </c>
      <c r="AA1619" s="77" t="s">
        <v>1568</v>
      </c>
      <c r="AB1619" s="77" t="s">
        <v>1521</v>
      </c>
      <c r="AC1619" s="77" t="s">
        <v>90</v>
      </c>
      <c r="AD1619" s="77" t="s">
        <v>91</v>
      </c>
      <c r="AE1619" s="77" t="s">
        <v>3499</v>
      </c>
    </row>
    <row r="1620" spans="1:31" x14ac:dyDescent="0.3">
      <c r="A1620" s="77" t="s">
        <v>3526</v>
      </c>
      <c r="B1620" s="77" t="s">
        <v>1636</v>
      </c>
      <c r="G1620" s="77" t="s">
        <v>3498</v>
      </c>
      <c r="H1620" s="77" t="s">
        <v>77</v>
      </c>
      <c r="I1620" s="77" t="s">
        <v>1521</v>
      </c>
      <c r="J1620" s="77" t="s">
        <v>3039</v>
      </c>
      <c r="K1620" s="77" t="s">
        <v>1522</v>
      </c>
      <c r="L1620" s="77" t="s">
        <v>1637</v>
      </c>
      <c r="M1620" s="77" t="s">
        <v>82</v>
      </c>
      <c r="N1620" s="77" t="s">
        <v>83</v>
      </c>
      <c r="Q1620" s="77" t="s">
        <v>111</v>
      </c>
      <c r="S1620" s="77" t="s">
        <v>111</v>
      </c>
      <c r="U1620" s="77" t="s">
        <v>85</v>
      </c>
      <c r="V1620" s="80" t="s">
        <v>231</v>
      </c>
      <c r="X1620" s="77" t="s">
        <v>232</v>
      </c>
      <c r="Y1620" s="78" t="s">
        <v>88</v>
      </c>
      <c r="AA1620" s="77" t="s">
        <v>1568</v>
      </c>
      <c r="AB1620" s="77" t="s">
        <v>1521</v>
      </c>
      <c r="AC1620" s="77" t="s">
        <v>90</v>
      </c>
      <c r="AD1620" s="77" t="s">
        <v>91</v>
      </c>
      <c r="AE1620" s="77" t="s">
        <v>3499</v>
      </c>
    </row>
    <row r="1621" spans="1:31" x14ac:dyDescent="0.3">
      <c r="A1621" s="77" t="s">
        <v>3527</v>
      </c>
      <c r="B1621" s="77" t="s">
        <v>1639</v>
      </c>
      <c r="G1621" s="77" t="s">
        <v>3498</v>
      </c>
      <c r="H1621" s="77" t="s">
        <v>77</v>
      </c>
      <c r="I1621" s="77" t="s">
        <v>1521</v>
      </c>
      <c r="J1621" s="77" t="s">
        <v>3039</v>
      </c>
      <c r="K1621" s="77" t="s">
        <v>1522</v>
      </c>
      <c r="L1621" s="77" t="s">
        <v>1637</v>
      </c>
      <c r="M1621" s="77" t="s">
        <v>82</v>
      </c>
      <c r="N1621" s="77" t="s">
        <v>83</v>
      </c>
      <c r="Q1621" s="77" t="s">
        <v>111</v>
      </c>
      <c r="S1621" s="77" t="s">
        <v>111</v>
      </c>
      <c r="U1621" s="77" t="s">
        <v>85</v>
      </c>
      <c r="V1621" s="80" t="s">
        <v>231</v>
      </c>
      <c r="X1621" s="77" t="s">
        <v>232</v>
      </c>
      <c r="Y1621" s="78" t="s">
        <v>88</v>
      </c>
      <c r="AA1621" s="77" t="s">
        <v>1568</v>
      </c>
      <c r="AB1621" s="77" t="s">
        <v>1521</v>
      </c>
      <c r="AC1621" s="77" t="s">
        <v>90</v>
      </c>
      <c r="AD1621" s="77" t="s">
        <v>91</v>
      </c>
      <c r="AE1621" s="77" t="s">
        <v>3499</v>
      </c>
    </row>
    <row r="1622" spans="1:31" x14ac:dyDescent="0.3">
      <c r="A1622" s="77" t="s">
        <v>3528</v>
      </c>
      <c r="B1622" s="77" t="s">
        <v>1641</v>
      </c>
      <c r="G1622" s="77" t="s">
        <v>3498</v>
      </c>
      <c r="H1622" s="77" t="s">
        <v>77</v>
      </c>
      <c r="I1622" s="77" t="s">
        <v>1521</v>
      </c>
      <c r="J1622" s="77" t="s">
        <v>3039</v>
      </c>
      <c r="K1622" s="77" t="s">
        <v>1522</v>
      </c>
      <c r="L1622" s="77" t="s">
        <v>1642</v>
      </c>
      <c r="M1622" s="77" t="s">
        <v>82</v>
      </c>
      <c r="N1622" s="77" t="s">
        <v>83</v>
      </c>
      <c r="Q1622" s="77" t="s">
        <v>111</v>
      </c>
      <c r="S1622" s="77" t="s">
        <v>111</v>
      </c>
      <c r="U1622" s="77" t="s">
        <v>85</v>
      </c>
      <c r="V1622" s="80" t="s">
        <v>238</v>
      </c>
      <c r="X1622" s="77" t="s">
        <v>239</v>
      </c>
      <c r="Y1622" s="78" t="s">
        <v>88</v>
      </c>
      <c r="AA1622" s="77" t="s">
        <v>1568</v>
      </c>
      <c r="AB1622" s="77" t="s">
        <v>1521</v>
      </c>
      <c r="AC1622" s="77" t="s">
        <v>90</v>
      </c>
      <c r="AD1622" s="77" t="s">
        <v>91</v>
      </c>
      <c r="AE1622" s="77" t="s">
        <v>3499</v>
      </c>
    </row>
    <row r="1623" spans="1:31" x14ac:dyDescent="0.3">
      <c r="A1623" s="77" t="s">
        <v>3529</v>
      </c>
      <c r="B1623" s="77" t="s">
        <v>1644</v>
      </c>
      <c r="G1623" s="77" t="s">
        <v>3498</v>
      </c>
      <c r="H1623" s="77" t="s">
        <v>77</v>
      </c>
      <c r="I1623" s="77" t="s">
        <v>1521</v>
      </c>
      <c r="J1623" s="77" t="s">
        <v>3039</v>
      </c>
      <c r="K1623" s="77" t="s">
        <v>1522</v>
      </c>
      <c r="L1623" s="77" t="s">
        <v>1645</v>
      </c>
      <c r="M1623" s="77" t="s">
        <v>82</v>
      </c>
      <c r="N1623" s="77" t="s">
        <v>83</v>
      </c>
      <c r="Q1623" s="77" t="s">
        <v>111</v>
      </c>
      <c r="S1623" s="77" t="s">
        <v>111</v>
      </c>
      <c r="U1623" s="77" t="s">
        <v>85</v>
      </c>
      <c r="V1623" s="80" t="s">
        <v>245</v>
      </c>
      <c r="X1623" s="77" t="s">
        <v>246</v>
      </c>
      <c r="Y1623" s="78" t="s">
        <v>88</v>
      </c>
      <c r="AA1623" s="77" t="s">
        <v>1568</v>
      </c>
      <c r="AB1623" s="77" t="s">
        <v>1521</v>
      </c>
      <c r="AC1623" s="77" t="s">
        <v>90</v>
      </c>
      <c r="AD1623" s="77" t="s">
        <v>91</v>
      </c>
      <c r="AE1623" s="77" t="s">
        <v>3499</v>
      </c>
    </row>
    <row r="1624" spans="1:31" x14ac:dyDescent="0.3">
      <c r="A1624" s="77" t="s">
        <v>3530</v>
      </c>
      <c r="B1624" s="77" t="s">
        <v>1647</v>
      </c>
      <c r="G1624" s="77" t="s">
        <v>3498</v>
      </c>
      <c r="H1624" s="77" t="s">
        <v>77</v>
      </c>
      <c r="I1624" s="77" t="s">
        <v>1521</v>
      </c>
      <c r="J1624" s="77" t="s">
        <v>3039</v>
      </c>
      <c r="K1624" s="77" t="s">
        <v>1522</v>
      </c>
      <c r="L1624" s="77" t="s">
        <v>1648</v>
      </c>
      <c r="M1624" s="77" t="s">
        <v>82</v>
      </c>
      <c r="N1624" s="77" t="s">
        <v>83</v>
      </c>
      <c r="Q1624" s="77" t="s">
        <v>111</v>
      </c>
      <c r="S1624" s="77" t="s">
        <v>111</v>
      </c>
      <c r="U1624" s="77" t="s">
        <v>85</v>
      </c>
      <c r="V1624" s="80" t="s">
        <v>252</v>
      </c>
      <c r="X1624" s="77" t="s">
        <v>253</v>
      </c>
      <c r="Y1624" s="78" t="s">
        <v>101</v>
      </c>
      <c r="AA1624" s="77" t="s">
        <v>1568</v>
      </c>
      <c r="AB1624" s="77" t="s">
        <v>1521</v>
      </c>
      <c r="AC1624" s="77" t="s">
        <v>90</v>
      </c>
      <c r="AD1624" s="77" t="s">
        <v>102</v>
      </c>
      <c r="AE1624" s="77" t="s">
        <v>3499</v>
      </c>
    </row>
    <row r="1625" spans="1:31" x14ac:dyDescent="0.3">
      <c r="A1625" s="77" t="s">
        <v>3531</v>
      </c>
      <c r="B1625" s="77" t="s">
        <v>1650</v>
      </c>
      <c r="G1625" s="77" t="s">
        <v>3498</v>
      </c>
      <c r="H1625" s="77" t="s">
        <v>77</v>
      </c>
      <c r="I1625" s="77" t="s">
        <v>1521</v>
      </c>
      <c r="J1625" s="77" t="s">
        <v>3039</v>
      </c>
      <c r="K1625" s="77" t="s">
        <v>1522</v>
      </c>
      <c r="L1625" s="77" t="s">
        <v>1651</v>
      </c>
      <c r="M1625" s="77" t="s">
        <v>82</v>
      </c>
      <c r="N1625" s="77" t="s">
        <v>83</v>
      </c>
      <c r="Q1625" s="77" t="s">
        <v>111</v>
      </c>
      <c r="S1625" s="77" t="s">
        <v>111</v>
      </c>
      <c r="U1625" s="77" t="s">
        <v>85</v>
      </c>
      <c r="V1625" s="80" t="s">
        <v>259</v>
      </c>
      <c r="X1625" s="77" t="s">
        <v>260</v>
      </c>
      <c r="Y1625" s="78" t="s">
        <v>101</v>
      </c>
      <c r="AA1625" s="77" t="s">
        <v>1568</v>
      </c>
      <c r="AB1625" s="77" t="s">
        <v>1521</v>
      </c>
      <c r="AC1625" s="77" t="s">
        <v>90</v>
      </c>
      <c r="AD1625" s="77" t="s">
        <v>102</v>
      </c>
      <c r="AE1625" s="77" t="s">
        <v>3499</v>
      </c>
    </row>
    <row r="1626" spans="1:31" x14ac:dyDescent="0.3">
      <c r="A1626" s="77" t="s">
        <v>3532</v>
      </c>
      <c r="B1626" s="77" t="s">
        <v>1653</v>
      </c>
      <c r="G1626" s="77" t="s">
        <v>3498</v>
      </c>
      <c r="H1626" s="77" t="s">
        <v>77</v>
      </c>
      <c r="I1626" s="77" t="s">
        <v>1521</v>
      </c>
      <c r="J1626" s="77" t="s">
        <v>3039</v>
      </c>
      <c r="K1626" s="77" t="s">
        <v>1522</v>
      </c>
      <c r="L1626" s="77" t="s">
        <v>1642</v>
      </c>
      <c r="M1626" s="77" t="s">
        <v>82</v>
      </c>
      <c r="N1626" s="77" t="s">
        <v>83</v>
      </c>
      <c r="Q1626" s="77" t="s">
        <v>111</v>
      </c>
      <c r="S1626" s="77" t="s">
        <v>111</v>
      </c>
      <c r="U1626" s="77" t="s">
        <v>85</v>
      </c>
      <c r="V1626" s="80" t="s">
        <v>238</v>
      </c>
      <c r="X1626" s="77" t="s">
        <v>239</v>
      </c>
      <c r="Y1626" s="78" t="s">
        <v>88</v>
      </c>
      <c r="AA1626" s="77" t="s">
        <v>1568</v>
      </c>
      <c r="AB1626" s="77" t="s">
        <v>1521</v>
      </c>
      <c r="AC1626" s="77" t="s">
        <v>90</v>
      </c>
      <c r="AD1626" s="77" t="s">
        <v>91</v>
      </c>
      <c r="AE1626" s="77" t="s">
        <v>3499</v>
      </c>
    </row>
    <row r="1627" spans="1:31" x14ac:dyDescent="0.3">
      <c r="A1627" s="77" t="s">
        <v>3533</v>
      </c>
      <c r="B1627" s="77" t="s">
        <v>1655</v>
      </c>
      <c r="G1627" s="77" t="s">
        <v>3498</v>
      </c>
      <c r="H1627" s="77" t="s">
        <v>77</v>
      </c>
      <c r="I1627" s="77" t="s">
        <v>1521</v>
      </c>
      <c r="J1627" s="77" t="s">
        <v>3039</v>
      </c>
      <c r="K1627" s="77" t="s">
        <v>1522</v>
      </c>
      <c r="L1627" s="77" t="s">
        <v>1645</v>
      </c>
      <c r="M1627" s="77" t="s">
        <v>82</v>
      </c>
      <c r="N1627" s="77" t="s">
        <v>83</v>
      </c>
      <c r="Q1627" s="77" t="s">
        <v>111</v>
      </c>
      <c r="S1627" s="77" t="s">
        <v>111</v>
      </c>
      <c r="U1627" s="77" t="s">
        <v>85</v>
      </c>
      <c r="V1627" s="80" t="s">
        <v>245</v>
      </c>
      <c r="X1627" s="77" t="s">
        <v>246</v>
      </c>
      <c r="Y1627" s="78" t="s">
        <v>88</v>
      </c>
      <c r="AA1627" s="77" t="s">
        <v>1568</v>
      </c>
      <c r="AB1627" s="77" t="s">
        <v>1521</v>
      </c>
      <c r="AC1627" s="77" t="s">
        <v>90</v>
      </c>
      <c r="AD1627" s="77" t="s">
        <v>91</v>
      </c>
      <c r="AE1627" s="77" t="s">
        <v>3499</v>
      </c>
    </row>
    <row r="1628" spans="1:31" x14ac:dyDescent="0.3">
      <c r="A1628" s="77" t="s">
        <v>3534</v>
      </c>
      <c r="B1628" s="77" t="s">
        <v>1657</v>
      </c>
      <c r="G1628" s="77" t="s">
        <v>3498</v>
      </c>
      <c r="H1628" s="77" t="s">
        <v>77</v>
      </c>
      <c r="I1628" s="77" t="s">
        <v>1521</v>
      </c>
      <c r="J1628" s="77" t="s">
        <v>3039</v>
      </c>
      <c r="K1628" s="77" t="s">
        <v>1522</v>
      </c>
      <c r="L1628" s="77" t="s">
        <v>1648</v>
      </c>
      <c r="M1628" s="77" t="s">
        <v>82</v>
      </c>
      <c r="N1628" s="77" t="s">
        <v>83</v>
      </c>
      <c r="Q1628" s="77" t="s">
        <v>111</v>
      </c>
      <c r="S1628" s="77" t="s">
        <v>111</v>
      </c>
      <c r="U1628" s="77" t="s">
        <v>85</v>
      </c>
      <c r="V1628" s="80" t="s">
        <v>252</v>
      </c>
      <c r="X1628" s="77" t="s">
        <v>253</v>
      </c>
      <c r="Y1628" s="78" t="s">
        <v>101</v>
      </c>
      <c r="AA1628" s="77" t="s">
        <v>1568</v>
      </c>
      <c r="AB1628" s="77" t="s">
        <v>1521</v>
      </c>
      <c r="AC1628" s="77" t="s">
        <v>90</v>
      </c>
      <c r="AD1628" s="77" t="s">
        <v>102</v>
      </c>
      <c r="AE1628" s="77" t="s">
        <v>3499</v>
      </c>
    </row>
    <row r="1629" spans="1:31" x14ac:dyDescent="0.3">
      <c r="A1629" s="77" t="s">
        <v>3535</v>
      </c>
      <c r="B1629" s="77" t="s">
        <v>1659</v>
      </c>
      <c r="G1629" s="77" t="s">
        <v>3498</v>
      </c>
      <c r="H1629" s="77" t="s">
        <v>77</v>
      </c>
      <c r="I1629" s="77" t="s">
        <v>1521</v>
      </c>
      <c r="J1629" s="77" t="s">
        <v>3039</v>
      </c>
      <c r="K1629" s="77" t="s">
        <v>1522</v>
      </c>
      <c r="L1629" s="77" t="s">
        <v>1651</v>
      </c>
      <c r="M1629" s="77" t="s">
        <v>82</v>
      </c>
      <c r="N1629" s="77" t="s">
        <v>83</v>
      </c>
      <c r="Q1629" s="77" t="s">
        <v>111</v>
      </c>
      <c r="S1629" s="77" t="s">
        <v>111</v>
      </c>
      <c r="U1629" s="77" t="s">
        <v>85</v>
      </c>
      <c r="V1629" s="80" t="s">
        <v>259</v>
      </c>
      <c r="X1629" s="77" t="s">
        <v>260</v>
      </c>
      <c r="Y1629" s="78" t="s">
        <v>101</v>
      </c>
      <c r="AA1629" s="77" t="s">
        <v>1568</v>
      </c>
      <c r="AB1629" s="77" t="s">
        <v>1521</v>
      </c>
      <c r="AC1629" s="77" t="s">
        <v>90</v>
      </c>
      <c r="AD1629" s="77" t="s">
        <v>102</v>
      </c>
      <c r="AE1629" s="77" t="s">
        <v>3499</v>
      </c>
    </row>
    <row r="1630" spans="1:31" x14ac:dyDescent="0.3">
      <c r="A1630" s="77" t="s">
        <v>3536</v>
      </c>
      <c r="B1630" s="77" t="s">
        <v>1661</v>
      </c>
      <c r="G1630" s="77" t="s">
        <v>3498</v>
      </c>
      <c r="H1630" s="77" t="s">
        <v>77</v>
      </c>
      <c r="I1630" s="77" t="s">
        <v>1521</v>
      </c>
      <c r="J1630" s="77" t="s">
        <v>3039</v>
      </c>
      <c r="K1630" s="77" t="s">
        <v>1522</v>
      </c>
      <c r="L1630" s="77" t="s">
        <v>1662</v>
      </c>
      <c r="M1630" s="77" t="s">
        <v>82</v>
      </c>
      <c r="N1630" s="77" t="s">
        <v>83</v>
      </c>
      <c r="Q1630" s="77" t="s">
        <v>111</v>
      </c>
      <c r="S1630" s="77" t="s">
        <v>111</v>
      </c>
      <c r="U1630" s="77" t="s">
        <v>85</v>
      </c>
      <c r="V1630" s="80" t="s">
        <v>272</v>
      </c>
      <c r="X1630" s="77" t="s">
        <v>273</v>
      </c>
      <c r="Y1630" s="78" t="s">
        <v>101</v>
      </c>
      <c r="AA1630" s="77" t="s">
        <v>1568</v>
      </c>
      <c r="AB1630" s="77" t="s">
        <v>1521</v>
      </c>
      <c r="AC1630" s="77" t="s">
        <v>90</v>
      </c>
      <c r="AD1630" s="77" t="s">
        <v>274</v>
      </c>
      <c r="AE1630" s="77" t="s">
        <v>3499</v>
      </c>
    </row>
    <row r="1631" spans="1:31" x14ac:dyDescent="0.3">
      <c r="A1631" s="77" t="s">
        <v>3537</v>
      </c>
      <c r="B1631" s="77" t="s">
        <v>1664</v>
      </c>
      <c r="G1631" s="77" t="s">
        <v>3498</v>
      </c>
      <c r="H1631" s="77" t="s">
        <v>77</v>
      </c>
      <c r="I1631" s="77" t="s">
        <v>1521</v>
      </c>
      <c r="J1631" s="77" t="s">
        <v>3039</v>
      </c>
      <c r="K1631" s="77" t="s">
        <v>1522</v>
      </c>
      <c r="L1631" s="77" t="s">
        <v>1665</v>
      </c>
      <c r="M1631" s="77" t="s">
        <v>82</v>
      </c>
      <c r="N1631" s="77" t="s">
        <v>83</v>
      </c>
      <c r="Q1631" s="77" t="s">
        <v>111</v>
      </c>
      <c r="T1631" s="77" t="s">
        <v>1666</v>
      </c>
      <c r="U1631" s="77" t="s">
        <v>85</v>
      </c>
      <c r="V1631" s="80" t="s">
        <v>325</v>
      </c>
      <c r="X1631" s="77" t="s">
        <v>326</v>
      </c>
      <c r="Y1631" s="78" t="s">
        <v>101</v>
      </c>
      <c r="AA1631" s="77" t="s">
        <v>1568</v>
      </c>
      <c r="AB1631" s="77" t="s">
        <v>1521</v>
      </c>
      <c r="AC1631" s="77" t="s">
        <v>90</v>
      </c>
      <c r="AD1631" s="77" t="s">
        <v>327</v>
      </c>
      <c r="AE1631" s="77" t="s">
        <v>3499</v>
      </c>
    </row>
    <row r="1632" spans="1:31" x14ac:dyDescent="0.3">
      <c r="A1632" s="77" t="s">
        <v>3538</v>
      </c>
      <c r="B1632" s="77" t="s">
        <v>1668</v>
      </c>
      <c r="G1632" s="77" t="s">
        <v>3498</v>
      </c>
      <c r="H1632" s="77" t="s">
        <v>77</v>
      </c>
      <c r="I1632" s="77" t="s">
        <v>1521</v>
      </c>
      <c r="J1632" s="77" t="s">
        <v>3039</v>
      </c>
      <c r="K1632" s="77" t="s">
        <v>1522</v>
      </c>
      <c r="L1632" s="77" t="s">
        <v>1669</v>
      </c>
      <c r="M1632" s="77" t="s">
        <v>82</v>
      </c>
      <c r="N1632" s="77" t="s">
        <v>83</v>
      </c>
      <c r="Q1632" s="77" t="s">
        <v>111</v>
      </c>
      <c r="T1632" s="77" t="s">
        <v>1666</v>
      </c>
      <c r="U1632" s="77" t="s">
        <v>85</v>
      </c>
      <c r="V1632" s="80" t="s">
        <v>325</v>
      </c>
      <c r="X1632" s="77" t="s">
        <v>326</v>
      </c>
      <c r="Y1632" s="78" t="s">
        <v>101</v>
      </c>
      <c r="AA1632" s="77" t="s">
        <v>1568</v>
      </c>
      <c r="AB1632" s="77" t="s">
        <v>1521</v>
      </c>
      <c r="AC1632" s="77" t="s">
        <v>90</v>
      </c>
      <c r="AD1632" s="77" t="s">
        <v>327</v>
      </c>
      <c r="AE1632" s="77" t="s">
        <v>3499</v>
      </c>
    </row>
    <row r="1633" spans="1:32" x14ac:dyDescent="0.3">
      <c r="A1633" s="77" t="s">
        <v>3539</v>
      </c>
      <c r="B1633" s="77" t="s">
        <v>1671</v>
      </c>
      <c r="G1633" s="77" t="s">
        <v>3498</v>
      </c>
      <c r="H1633" s="77" t="s">
        <v>77</v>
      </c>
      <c r="I1633" s="77" t="s">
        <v>1521</v>
      </c>
      <c r="J1633" s="77" t="s">
        <v>3039</v>
      </c>
      <c r="K1633" s="77" t="s">
        <v>1522</v>
      </c>
      <c r="L1633" s="77" t="s">
        <v>1672</v>
      </c>
      <c r="M1633" s="77" t="s">
        <v>82</v>
      </c>
      <c r="N1633" s="77" t="s">
        <v>83</v>
      </c>
      <c r="Q1633" s="77" t="s">
        <v>111</v>
      </c>
      <c r="T1633" s="77" t="s">
        <v>1666</v>
      </c>
      <c r="U1633" s="77" t="s">
        <v>85</v>
      </c>
      <c r="V1633" s="80" t="s">
        <v>325</v>
      </c>
      <c r="X1633" s="77" t="s">
        <v>326</v>
      </c>
      <c r="Y1633" s="78" t="s">
        <v>101</v>
      </c>
      <c r="AA1633" s="77" t="s">
        <v>1568</v>
      </c>
      <c r="AB1633" s="77" t="s">
        <v>1521</v>
      </c>
      <c r="AC1633" s="77" t="s">
        <v>90</v>
      </c>
      <c r="AD1633" s="77" t="s">
        <v>327</v>
      </c>
      <c r="AE1633" s="77" t="s">
        <v>3499</v>
      </c>
    </row>
    <row r="1634" spans="1:32" x14ac:dyDescent="0.3">
      <c r="A1634" s="77" t="s">
        <v>3540</v>
      </c>
      <c r="B1634" s="77" t="s">
        <v>1674</v>
      </c>
      <c r="G1634" s="77" t="s">
        <v>3498</v>
      </c>
      <c r="H1634" s="77" t="s">
        <v>77</v>
      </c>
      <c r="I1634" s="77" t="s">
        <v>1521</v>
      </c>
      <c r="J1634" s="77" t="s">
        <v>3039</v>
      </c>
      <c r="K1634" s="77" t="s">
        <v>1522</v>
      </c>
      <c r="L1634" s="77" t="s">
        <v>1675</v>
      </c>
      <c r="M1634" s="77" t="s">
        <v>82</v>
      </c>
      <c r="N1634" s="77" t="s">
        <v>83</v>
      </c>
      <c r="Q1634" s="77" t="s">
        <v>111</v>
      </c>
      <c r="T1634" s="77" t="s">
        <v>1666</v>
      </c>
      <c r="U1634" s="77" t="s">
        <v>85</v>
      </c>
      <c r="V1634" s="80" t="s">
        <v>325</v>
      </c>
      <c r="X1634" s="77" t="s">
        <v>326</v>
      </c>
      <c r="Y1634" s="78" t="s">
        <v>101</v>
      </c>
      <c r="AA1634" s="77" t="s">
        <v>1568</v>
      </c>
      <c r="AB1634" s="77" t="s">
        <v>1521</v>
      </c>
      <c r="AC1634" s="77" t="s">
        <v>90</v>
      </c>
      <c r="AD1634" s="77" t="s">
        <v>327</v>
      </c>
      <c r="AE1634" s="77" t="s">
        <v>3499</v>
      </c>
    </row>
    <row r="1635" spans="1:32" x14ac:dyDescent="0.3">
      <c r="A1635" s="77" t="s">
        <v>3541</v>
      </c>
      <c r="B1635" s="77" t="s">
        <v>1677</v>
      </c>
      <c r="G1635" s="77" t="s">
        <v>3498</v>
      </c>
      <c r="H1635" s="77" t="s">
        <v>77</v>
      </c>
      <c r="I1635" s="77" t="s">
        <v>1521</v>
      </c>
      <c r="J1635" s="77" t="s">
        <v>3039</v>
      </c>
      <c r="K1635" s="77" t="s">
        <v>1522</v>
      </c>
      <c r="L1635" s="77" t="s">
        <v>1678</v>
      </c>
      <c r="M1635" s="77" t="s">
        <v>82</v>
      </c>
      <c r="N1635" s="77" t="s">
        <v>83</v>
      </c>
      <c r="Q1635" s="77" t="s">
        <v>111</v>
      </c>
      <c r="T1635" s="77" t="s">
        <v>1666</v>
      </c>
      <c r="U1635" s="77" t="s">
        <v>85</v>
      </c>
      <c r="V1635" s="80" t="s">
        <v>325</v>
      </c>
      <c r="X1635" s="77" t="s">
        <v>326</v>
      </c>
      <c r="Y1635" s="78" t="s">
        <v>101</v>
      </c>
      <c r="AA1635" s="77" t="s">
        <v>1568</v>
      </c>
      <c r="AB1635" s="77" t="s">
        <v>1521</v>
      </c>
      <c r="AC1635" s="77" t="s">
        <v>90</v>
      </c>
      <c r="AD1635" s="77" t="s">
        <v>327</v>
      </c>
      <c r="AE1635" s="77" t="s">
        <v>3499</v>
      </c>
    </row>
    <row r="1636" spans="1:32" x14ac:dyDescent="0.3">
      <c r="A1636" s="77" t="s">
        <v>3542</v>
      </c>
      <c r="B1636" s="77" t="s">
        <v>1680</v>
      </c>
      <c r="G1636" s="77" t="s">
        <v>3498</v>
      </c>
      <c r="H1636" s="77" t="s">
        <v>77</v>
      </c>
      <c r="I1636" s="77" t="s">
        <v>1521</v>
      </c>
      <c r="J1636" s="77" t="s">
        <v>3039</v>
      </c>
      <c r="K1636" s="77" t="s">
        <v>1522</v>
      </c>
      <c r="L1636" s="77" t="s">
        <v>1681</v>
      </c>
      <c r="M1636" s="77" t="s">
        <v>82</v>
      </c>
      <c r="N1636" s="77" t="s">
        <v>83</v>
      </c>
      <c r="Q1636" s="77" t="s">
        <v>111</v>
      </c>
      <c r="T1636" s="77" t="s">
        <v>1666</v>
      </c>
      <c r="U1636" s="77" t="s">
        <v>85</v>
      </c>
      <c r="V1636" s="80" t="s">
        <v>325</v>
      </c>
      <c r="X1636" s="77" t="s">
        <v>326</v>
      </c>
      <c r="Y1636" s="78" t="s">
        <v>101</v>
      </c>
      <c r="AA1636" s="77" t="s">
        <v>1568</v>
      </c>
      <c r="AB1636" s="77" t="s">
        <v>1521</v>
      </c>
      <c r="AC1636" s="77" t="s">
        <v>90</v>
      </c>
      <c r="AD1636" s="77" t="s">
        <v>327</v>
      </c>
      <c r="AE1636" s="77" t="s">
        <v>3499</v>
      </c>
    </row>
    <row r="1637" spans="1:32" x14ac:dyDescent="0.3">
      <c r="A1637" s="77" t="s">
        <v>3543</v>
      </c>
      <c r="B1637" s="77" t="s">
        <v>1683</v>
      </c>
      <c r="G1637" s="77" t="s">
        <v>3498</v>
      </c>
      <c r="H1637" s="77" t="s">
        <v>77</v>
      </c>
      <c r="I1637" s="77" t="s">
        <v>1521</v>
      </c>
      <c r="J1637" s="77" t="s">
        <v>3039</v>
      </c>
      <c r="K1637" s="77" t="s">
        <v>1522</v>
      </c>
      <c r="L1637" s="77" t="s">
        <v>1684</v>
      </c>
      <c r="M1637" s="77" t="s">
        <v>82</v>
      </c>
      <c r="N1637" s="77" t="s">
        <v>83</v>
      </c>
      <c r="Q1637" s="77" t="s">
        <v>111</v>
      </c>
      <c r="T1637" s="77" t="s">
        <v>1666</v>
      </c>
      <c r="U1637" s="77" t="s">
        <v>85</v>
      </c>
      <c r="V1637" s="80" t="s">
        <v>325</v>
      </c>
      <c r="X1637" s="77" t="s">
        <v>326</v>
      </c>
      <c r="Y1637" s="78" t="s">
        <v>101</v>
      </c>
      <c r="AA1637" s="77" t="s">
        <v>1568</v>
      </c>
      <c r="AB1637" s="77" t="s">
        <v>1521</v>
      </c>
      <c r="AC1637" s="77" t="s">
        <v>90</v>
      </c>
      <c r="AD1637" s="77" t="s">
        <v>327</v>
      </c>
      <c r="AE1637" s="77" t="s">
        <v>3499</v>
      </c>
    </row>
    <row r="1638" spans="1:32" x14ac:dyDescent="0.3">
      <c r="A1638" s="77" t="s">
        <v>3544</v>
      </c>
      <c r="B1638" s="77" t="s">
        <v>1686</v>
      </c>
      <c r="G1638" s="77" t="s">
        <v>3498</v>
      </c>
      <c r="H1638" s="77" t="s">
        <v>77</v>
      </c>
      <c r="I1638" s="77" t="s">
        <v>1521</v>
      </c>
      <c r="J1638" s="77" t="s">
        <v>3039</v>
      </c>
      <c r="K1638" s="77" t="s">
        <v>1522</v>
      </c>
      <c r="L1638" s="77" t="s">
        <v>1687</v>
      </c>
      <c r="M1638" s="77" t="s">
        <v>82</v>
      </c>
      <c r="N1638" s="77" t="s">
        <v>83</v>
      </c>
      <c r="Q1638" s="77" t="s">
        <v>111</v>
      </c>
      <c r="T1638" s="77" t="s">
        <v>1666</v>
      </c>
      <c r="U1638" s="77" t="s">
        <v>85</v>
      </c>
      <c r="V1638" s="80" t="s">
        <v>325</v>
      </c>
      <c r="X1638" s="77" t="s">
        <v>326</v>
      </c>
      <c r="Y1638" s="78" t="s">
        <v>101</v>
      </c>
      <c r="AA1638" s="77" t="s">
        <v>1568</v>
      </c>
      <c r="AB1638" s="77" t="s">
        <v>1521</v>
      </c>
      <c r="AC1638" s="77" t="s">
        <v>90</v>
      </c>
      <c r="AD1638" s="77" t="s">
        <v>327</v>
      </c>
      <c r="AE1638" s="77" t="s">
        <v>3499</v>
      </c>
    </row>
    <row r="1639" spans="1:32" x14ac:dyDescent="0.3">
      <c r="A1639" s="77" t="s">
        <v>3545</v>
      </c>
      <c r="B1639" s="77" t="s">
        <v>1689</v>
      </c>
      <c r="G1639" s="77" t="s">
        <v>3498</v>
      </c>
      <c r="H1639" s="77" t="s">
        <v>77</v>
      </c>
      <c r="I1639" s="77" t="s">
        <v>1521</v>
      </c>
      <c r="J1639" s="77" t="s">
        <v>3039</v>
      </c>
      <c r="K1639" s="77" t="s">
        <v>1522</v>
      </c>
      <c r="L1639" s="77" t="s">
        <v>1690</v>
      </c>
      <c r="M1639" s="77" t="s">
        <v>82</v>
      </c>
      <c r="N1639" s="77" t="s">
        <v>83</v>
      </c>
      <c r="Q1639" s="77" t="s">
        <v>111</v>
      </c>
      <c r="T1639" s="77" t="s">
        <v>1666</v>
      </c>
      <c r="U1639" s="77" t="s">
        <v>85</v>
      </c>
      <c r="V1639" s="80" t="s">
        <v>325</v>
      </c>
      <c r="X1639" s="77" t="s">
        <v>326</v>
      </c>
      <c r="Y1639" s="78" t="s">
        <v>101</v>
      </c>
      <c r="AA1639" s="77" t="s">
        <v>1568</v>
      </c>
      <c r="AB1639" s="77" t="s">
        <v>1521</v>
      </c>
      <c r="AC1639" s="77" t="s">
        <v>90</v>
      </c>
      <c r="AD1639" s="77" t="s">
        <v>327</v>
      </c>
      <c r="AE1639" s="77" t="s">
        <v>3499</v>
      </c>
    </row>
    <row r="1640" spans="1:32" x14ac:dyDescent="0.3">
      <c r="A1640" s="77" t="s">
        <v>3546</v>
      </c>
      <c r="B1640" s="77" t="s">
        <v>1692</v>
      </c>
      <c r="G1640" s="77" t="s">
        <v>3498</v>
      </c>
      <c r="H1640" s="77" t="s">
        <v>77</v>
      </c>
      <c r="I1640" s="77" t="s">
        <v>1521</v>
      </c>
      <c r="J1640" s="77" t="s">
        <v>3039</v>
      </c>
      <c r="K1640" s="77" t="s">
        <v>1522</v>
      </c>
      <c r="L1640" s="77" t="s">
        <v>1693</v>
      </c>
      <c r="M1640" s="77" t="s">
        <v>82</v>
      </c>
      <c r="N1640" s="77" t="s">
        <v>83</v>
      </c>
      <c r="Q1640" s="77" t="s">
        <v>111</v>
      </c>
      <c r="T1640" s="77" t="s">
        <v>1666</v>
      </c>
      <c r="U1640" s="77" t="s">
        <v>85</v>
      </c>
      <c r="V1640" s="80" t="s">
        <v>325</v>
      </c>
      <c r="X1640" s="77" t="s">
        <v>326</v>
      </c>
      <c r="Y1640" s="78" t="s">
        <v>101</v>
      </c>
      <c r="AA1640" s="77" t="s">
        <v>1568</v>
      </c>
      <c r="AB1640" s="77" t="s">
        <v>1521</v>
      </c>
      <c r="AC1640" s="77" t="s">
        <v>90</v>
      </c>
      <c r="AD1640" s="77" t="s">
        <v>327</v>
      </c>
      <c r="AE1640" s="77" t="s">
        <v>3499</v>
      </c>
    </row>
    <row r="1641" spans="1:32" hidden="1" x14ac:dyDescent="0.3">
      <c r="A1641" s="77" t="s">
        <v>3547</v>
      </c>
      <c r="B1641" s="77" t="s">
        <v>1695</v>
      </c>
      <c r="G1641" s="77" t="s">
        <v>3498</v>
      </c>
      <c r="H1641" s="77" t="s">
        <v>77</v>
      </c>
      <c r="I1641" s="77" t="s">
        <v>1521</v>
      </c>
      <c r="J1641" s="77" t="s">
        <v>3039</v>
      </c>
      <c r="K1641" s="77" t="s">
        <v>1522</v>
      </c>
      <c r="L1641" s="77" t="s">
        <v>1696</v>
      </c>
      <c r="M1641" s="77" t="s">
        <v>82</v>
      </c>
      <c r="N1641" s="77" t="s">
        <v>83</v>
      </c>
      <c r="Q1641" s="77" t="s">
        <v>111</v>
      </c>
      <c r="T1641" s="77" t="s">
        <v>1666</v>
      </c>
      <c r="U1641" s="77" t="s">
        <v>85</v>
      </c>
      <c r="V1641" s="77" t="s">
        <v>331</v>
      </c>
      <c r="W1641" s="79">
        <v>46213.693613622687</v>
      </c>
      <c r="X1641" s="77" t="s">
        <v>332</v>
      </c>
      <c r="Y1641" s="78" t="s">
        <v>88</v>
      </c>
      <c r="AA1641" s="77" t="s">
        <v>1568</v>
      </c>
      <c r="AB1641" s="77" t="s">
        <v>1521</v>
      </c>
      <c r="AC1641" s="77" t="s">
        <v>114</v>
      </c>
      <c r="AD1641" s="77" t="s">
        <v>91</v>
      </c>
      <c r="AE1641" s="77" t="s">
        <v>3499</v>
      </c>
      <c r="AF1641" s="77" t="s">
        <v>2706</v>
      </c>
    </row>
    <row r="1642" spans="1:32" hidden="1" x14ac:dyDescent="0.3">
      <c r="A1642" s="77" t="s">
        <v>3548</v>
      </c>
      <c r="B1642" s="77" t="s">
        <v>1698</v>
      </c>
      <c r="G1642" s="77" t="s">
        <v>3498</v>
      </c>
      <c r="H1642" s="77" t="s">
        <v>77</v>
      </c>
      <c r="I1642" s="77" t="s">
        <v>1521</v>
      </c>
      <c r="J1642" s="77" t="s">
        <v>3039</v>
      </c>
      <c r="K1642" s="77" t="s">
        <v>1522</v>
      </c>
      <c r="L1642" s="77" t="s">
        <v>1699</v>
      </c>
      <c r="M1642" s="77" t="s">
        <v>82</v>
      </c>
      <c r="N1642" s="77" t="s">
        <v>83</v>
      </c>
      <c r="Q1642" s="77" t="s">
        <v>111</v>
      </c>
      <c r="T1642" s="77" t="s">
        <v>1666</v>
      </c>
      <c r="U1642" s="77" t="s">
        <v>85</v>
      </c>
      <c r="V1642" s="77" t="s">
        <v>341</v>
      </c>
      <c r="W1642" s="79">
        <v>46213.717064386576</v>
      </c>
      <c r="X1642" s="77" t="s">
        <v>342</v>
      </c>
      <c r="Y1642" s="78" t="s">
        <v>88</v>
      </c>
      <c r="AA1642" s="77" t="s">
        <v>1568</v>
      </c>
      <c r="AB1642" s="77" t="s">
        <v>1521</v>
      </c>
      <c r="AC1642" s="77" t="s">
        <v>114</v>
      </c>
      <c r="AD1642" s="77" t="s">
        <v>91</v>
      </c>
      <c r="AE1642" s="77" t="s">
        <v>3499</v>
      </c>
      <c r="AF1642" s="77" t="s">
        <v>2706</v>
      </c>
    </row>
    <row r="1643" spans="1:32" hidden="1" x14ac:dyDescent="0.3">
      <c r="A1643" s="77" t="s">
        <v>3549</v>
      </c>
      <c r="B1643" s="77" t="s">
        <v>1701</v>
      </c>
      <c r="G1643" s="77" t="s">
        <v>3498</v>
      </c>
      <c r="H1643" s="77" t="s">
        <v>77</v>
      </c>
      <c r="I1643" s="77" t="s">
        <v>1521</v>
      </c>
      <c r="J1643" s="77" t="s">
        <v>3039</v>
      </c>
      <c r="K1643" s="77" t="s">
        <v>1522</v>
      </c>
      <c r="L1643" s="77" t="s">
        <v>1702</v>
      </c>
      <c r="M1643" s="77" t="s">
        <v>82</v>
      </c>
      <c r="N1643" s="77" t="s">
        <v>83</v>
      </c>
      <c r="Q1643" s="77" t="s">
        <v>111</v>
      </c>
      <c r="T1643" s="77" t="s">
        <v>1666</v>
      </c>
      <c r="U1643" s="77" t="s">
        <v>85</v>
      </c>
      <c r="V1643" s="80" t="s">
        <v>365</v>
      </c>
      <c r="W1643" s="79">
        <v>46213.68717488426</v>
      </c>
      <c r="X1643" s="77" t="s">
        <v>366</v>
      </c>
      <c r="Y1643" s="78" t="s">
        <v>88</v>
      </c>
      <c r="AA1643" s="77" t="s">
        <v>1568</v>
      </c>
      <c r="AB1643" s="77" t="s">
        <v>1521</v>
      </c>
      <c r="AC1643" s="77" t="s">
        <v>114</v>
      </c>
      <c r="AD1643" s="77" t="s">
        <v>91</v>
      </c>
      <c r="AE1643" s="77" t="s">
        <v>3499</v>
      </c>
      <c r="AF1643" s="77" t="s">
        <v>2706</v>
      </c>
    </row>
    <row r="1644" spans="1:32" hidden="1" x14ac:dyDescent="0.3">
      <c r="A1644" s="77" t="s">
        <v>3550</v>
      </c>
      <c r="B1644" s="77" t="s">
        <v>1704</v>
      </c>
      <c r="G1644" s="77" t="s">
        <v>3498</v>
      </c>
      <c r="H1644" s="77" t="s">
        <v>77</v>
      </c>
      <c r="I1644" s="77" t="s">
        <v>1521</v>
      </c>
      <c r="J1644" s="77" t="s">
        <v>3039</v>
      </c>
      <c r="K1644" s="77" t="s">
        <v>1522</v>
      </c>
      <c r="L1644" s="77" t="s">
        <v>1705</v>
      </c>
      <c r="M1644" s="77" t="s">
        <v>82</v>
      </c>
      <c r="N1644" s="77" t="s">
        <v>83</v>
      </c>
      <c r="Q1644" s="77" t="s">
        <v>111</v>
      </c>
      <c r="T1644" s="77" t="s">
        <v>1666</v>
      </c>
      <c r="U1644" s="77" t="s">
        <v>85</v>
      </c>
      <c r="V1644" s="77" t="s">
        <v>370</v>
      </c>
      <c r="W1644" s="79">
        <v>46213.687452395832</v>
      </c>
      <c r="X1644" s="77" t="s">
        <v>371</v>
      </c>
      <c r="Y1644" s="78" t="s">
        <v>88</v>
      </c>
      <c r="AA1644" s="77" t="s">
        <v>1568</v>
      </c>
      <c r="AB1644" s="77" t="s">
        <v>1521</v>
      </c>
      <c r="AC1644" s="77" t="s">
        <v>114</v>
      </c>
      <c r="AD1644" s="77" t="s">
        <v>91</v>
      </c>
      <c r="AE1644" s="77" t="s">
        <v>3499</v>
      </c>
      <c r="AF1644" s="77" t="s">
        <v>2706</v>
      </c>
    </row>
    <row r="1645" spans="1:32" hidden="1" x14ac:dyDescent="0.3">
      <c r="A1645" s="77" t="s">
        <v>3551</v>
      </c>
      <c r="B1645" s="77" t="s">
        <v>1707</v>
      </c>
      <c r="G1645" s="77" t="s">
        <v>3498</v>
      </c>
      <c r="H1645" s="77" t="s">
        <v>77</v>
      </c>
      <c r="I1645" s="77" t="s">
        <v>1521</v>
      </c>
      <c r="J1645" s="77" t="s">
        <v>3039</v>
      </c>
      <c r="K1645" s="77" t="s">
        <v>1522</v>
      </c>
      <c r="L1645" s="77" t="s">
        <v>1708</v>
      </c>
      <c r="M1645" s="77" t="s">
        <v>82</v>
      </c>
      <c r="N1645" s="77" t="s">
        <v>83</v>
      </c>
      <c r="Q1645" s="77" t="s">
        <v>111</v>
      </c>
      <c r="T1645" s="77" t="s">
        <v>1666</v>
      </c>
      <c r="U1645" s="77" t="s">
        <v>85</v>
      </c>
      <c r="V1645" s="77" t="s">
        <v>375</v>
      </c>
      <c r="W1645" s="79">
        <v>46213.688487581021</v>
      </c>
      <c r="X1645" s="77" t="s">
        <v>376</v>
      </c>
      <c r="Y1645" s="78" t="s">
        <v>101</v>
      </c>
      <c r="AA1645" s="77" t="s">
        <v>1568</v>
      </c>
      <c r="AB1645" s="77" t="s">
        <v>1521</v>
      </c>
      <c r="AC1645" s="77" t="s">
        <v>114</v>
      </c>
      <c r="AD1645" s="77" t="s">
        <v>102</v>
      </c>
      <c r="AE1645" s="77" t="s">
        <v>3499</v>
      </c>
      <c r="AF1645" s="77" t="s">
        <v>2706</v>
      </c>
    </row>
    <row r="1646" spans="1:32" hidden="1" x14ac:dyDescent="0.3">
      <c r="A1646" s="77" t="s">
        <v>3552</v>
      </c>
      <c r="B1646" s="77" t="s">
        <v>1710</v>
      </c>
      <c r="G1646" s="77" t="s">
        <v>3498</v>
      </c>
      <c r="H1646" s="77" t="s">
        <v>77</v>
      </c>
      <c r="I1646" s="77" t="s">
        <v>1521</v>
      </c>
      <c r="J1646" s="77" t="s">
        <v>3039</v>
      </c>
      <c r="K1646" s="77" t="s">
        <v>1522</v>
      </c>
      <c r="L1646" s="77" t="s">
        <v>1711</v>
      </c>
      <c r="M1646" s="77" t="s">
        <v>82</v>
      </c>
      <c r="N1646" s="77" t="s">
        <v>83</v>
      </c>
      <c r="Q1646" s="77" t="s">
        <v>111</v>
      </c>
      <c r="T1646" s="77" t="s">
        <v>1666</v>
      </c>
      <c r="U1646" s="77" t="s">
        <v>85</v>
      </c>
      <c r="V1646" s="77" t="s">
        <v>380</v>
      </c>
      <c r="W1646" s="79">
        <v>46213.688248067127</v>
      </c>
      <c r="X1646" s="77" t="s">
        <v>381</v>
      </c>
      <c r="Y1646" s="78" t="s">
        <v>101</v>
      </c>
      <c r="AA1646" s="77" t="s">
        <v>1568</v>
      </c>
      <c r="AB1646" s="77" t="s">
        <v>1521</v>
      </c>
      <c r="AC1646" s="77" t="s">
        <v>114</v>
      </c>
      <c r="AD1646" s="77" t="s">
        <v>102</v>
      </c>
      <c r="AE1646" s="77" t="s">
        <v>3499</v>
      </c>
      <c r="AF1646" s="77" t="s">
        <v>2706</v>
      </c>
    </row>
    <row r="1647" spans="1:32" hidden="1" x14ac:dyDescent="0.3">
      <c r="A1647" s="77" t="s">
        <v>3553</v>
      </c>
      <c r="B1647" s="77" t="s">
        <v>1713</v>
      </c>
      <c r="G1647" s="77" t="s">
        <v>3498</v>
      </c>
      <c r="H1647" s="77" t="s">
        <v>77</v>
      </c>
      <c r="I1647" s="77" t="s">
        <v>1521</v>
      </c>
      <c r="J1647" s="77" t="s">
        <v>3039</v>
      </c>
      <c r="K1647" s="77" t="s">
        <v>1522</v>
      </c>
      <c r="L1647" s="77" t="s">
        <v>1714</v>
      </c>
      <c r="M1647" s="77" t="s">
        <v>82</v>
      </c>
      <c r="N1647" s="77" t="s">
        <v>83</v>
      </c>
      <c r="Q1647" s="77" t="s">
        <v>111</v>
      </c>
      <c r="T1647" s="77" t="s">
        <v>1666</v>
      </c>
      <c r="U1647" s="77" t="s">
        <v>85</v>
      </c>
      <c r="V1647" s="80" t="s">
        <v>86</v>
      </c>
      <c r="W1647" s="79">
        <v>46213.665512581021</v>
      </c>
      <c r="X1647" s="77" t="s">
        <v>87</v>
      </c>
      <c r="Y1647" s="78" t="s">
        <v>88</v>
      </c>
      <c r="AA1647" s="77" t="s">
        <v>1568</v>
      </c>
      <c r="AB1647" s="77" t="s">
        <v>1521</v>
      </c>
      <c r="AC1647" s="77" t="s">
        <v>114</v>
      </c>
      <c r="AD1647" s="77" t="s">
        <v>91</v>
      </c>
      <c r="AE1647" s="77" t="s">
        <v>3499</v>
      </c>
      <c r="AF1647" s="77" t="s">
        <v>2706</v>
      </c>
    </row>
    <row r="1648" spans="1:32" hidden="1" x14ac:dyDescent="0.3">
      <c r="A1648" s="77" t="s">
        <v>3554</v>
      </c>
      <c r="B1648" s="77" t="s">
        <v>1716</v>
      </c>
      <c r="G1648" s="77" t="s">
        <v>3498</v>
      </c>
      <c r="H1648" s="77" t="s">
        <v>77</v>
      </c>
      <c r="I1648" s="77" t="s">
        <v>1521</v>
      </c>
      <c r="J1648" s="77" t="s">
        <v>3039</v>
      </c>
      <c r="K1648" s="77" t="s">
        <v>1522</v>
      </c>
      <c r="L1648" s="77" t="s">
        <v>1714</v>
      </c>
      <c r="M1648" s="77" t="s">
        <v>82</v>
      </c>
      <c r="N1648" s="77" t="s">
        <v>83</v>
      </c>
      <c r="Q1648" s="77" t="s">
        <v>111</v>
      </c>
      <c r="T1648" s="77" t="s">
        <v>1666</v>
      </c>
      <c r="U1648" s="77" t="s">
        <v>85</v>
      </c>
      <c r="V1648" s="80" t="s">
        <v>86</v>
      </c>
      <c r="W1648" s="79">
        <v>46213.655145833334</v>
      </c>
      <c r="X1648" s="77" t="s">
        <v>87</v>
      </c>
      <c r="Y1648" s="78" t="s">
        <v>88</v>
      </c>
      <c r="AA1648" s="77" t="s">
        <v>1568</v>
      </c>
      <c r="AB1648" s="77" t="s">
        <v>1521</v>
      </c>
      <c r="AC1648" s="77" t="s">
        <v>114</v>
      </c>
      <c r="AD1648" s="77" t="s">
        <v>91</v>
      </c>
      <c r="AE1648" s="77" t="s">
        <v>3499</v>
      </c>
      <c r="AF1648" s="77" t="s">
        <v>2706</v>
      </c>
    </row>
    <row r="1649" spans="1:32" hidden="1" x14ac:dyDescent="0.3">
      <c r="A1649" s="77" t="s">
        <v>3555</v>
      </c>
      <c r="B1649" s="77" t="s">
        <v>1718</v>
      </c>
      <c r="G1649" s="77" t="s">
        <v>3498</v>
      </c>
      <c r="H1649" s="77" t="s">
        <v>77</v>
      </c>
      <c r="I1649" s="77" t="s">
        <v>1521</v>
      </c>
      <c r="J1649" s="77" t="s">
        <v>3039</v>
      </c>
      <c r="K1649" s="77" t="s">
        <v>1522</v>
      </c>
      <c r="L1649" s="77" t="s">
        <v>1719</v>
      </c>
      <c r="M1649" s="77" t="s">
        <v>82</v>
      </c>
      <c r="N1649" s="77" t="s">
        <v>83</v>
      </c>
      <c r="Q1649" s="77" t="s">
        <v>111</v>
      </c>
      <c r="T1649" s="77" t="s">
        <v>1666</v>
      </c>
      <c r="U1649" s="77" t="s">
        <v>85</v>
      </c>
      <c r="V1649" s="77" t="s">
        <v>95</v>
      </c>
      <c r="W1649" s="79">
        <v>46213.667884027775</v>
      </c>
      <c r="X1649" s="77" t="s">
        <v>96</v>
      </c>
      <c r="Y1649" s="78" t="s">
        <v>88</v>
      </c>
      <c r="AA1649" s="77" t="s">
        <v>1568</v>
      </c>
      <c r="AB1649" s="77" t="s">
        <v>1521</v>
      </c>
      <c r="AC1649" s="77" t="s">
        <v>114</v>
      </c>
      <c r="AD1649" s="77" t="s">
        <v>91</v>
      </c>
      <c r="AE1649" s="77" t="s">
        <v>3499</v>
      </c>
      <c r="AF1649" s="77" t="s">
        <v>2706</v>
      </c>
    </row>
    <row r="1650" spans="1:32" hidden="1" x14ac:dyDescent="0.3">
      <c r="A1650" s="77" t="s">
        <v>3556</v>
      </c>
      <c r="B1650" s="77" t="s">
        <v>1721</v>
      </c>
      <c r="G1650" s="77" t="s">
        <v>3498</v>
      </c>
      <c r="H1650" s="77" t="s">
        <v>77</v>
      </c>
      <c r="I1650" s="77" t="s">
        <v>1521</v>
      </c>
      <c r="J1650" s="77" t="s">
        <v>3039</v>
      </c>
      <c r="K1650" s="77" t="s">
        <v>1522</v>
      </c>
      <c r="L1650" s="77" t="s">
        <v>1719</v>
      </c>
      <c r="M1650" s="77" t="s">
        <v>82</v>
      </c>
      <c r="N1650" s="77" t="s">
        <v>83</v>
      </c>
      <c r="Q1650" s="77" t="s">
        <v>111</v>
      </c>
      <c r="T1650" s="77" t="s">
        <v>1666</v>
      </c>
      <c r="U1650" s="77" t="s">
        <v>85</v>
      </c>
      <c r="V1650" s="77" t="s">
        <v>95</v>
      </c>
      <c r="W1650" s="79">
        <v>46213.656720405095</v>
      </c>
      <c r="X1650" s="77" t="s">
        <v>96</v>
      </c>
      <c r="Y1650" s="78" t="s">
        <v>88</v>
      </c>
      <c r="AA1650" s="77" t="s">
        <v>1568</v>
      </c>
      <c r="AB1650" s="77" t="s">
        <v>1521</v>
      </c>
      <c r="AC1650" s="77" t="s">
        <v>114</v>
      </c>
      <c r="AD1650" s="77" t="s">
        <v>91</v>
      </c>
      <c r="AE1650" s="77" t="s">
        <v>3499</v>
      </c>
      <c r="AF1650" s="77" t="s">
        <v>2706</v>
      </c>
    </row>
    <row r="1651" spans="1:32" hidden="1" x14ac:dyDescent="0.3">
      <c r="A1651" s="77" t="s">
        <v>3557</v>
      </c>
      <c r="B1651" s="77" t="s">
        <v>1723</v>
      </c>
      <c r="G1651" s="77" t="s">
        <v>3498</v>
      </c>
      <c r="H1651" s="77" t="s">
        <v>77</v>
      </c>
      <c r="I1651" s="77" t="s">
        <v>1521</v>
      </c>
      <c r="J1651" s="77" t="s">
        <v>3039</v>
      </c>
      <c r="K1651" s="77" t="s">
        <v>1522</v>
      </c>
      <c r="L1651" s="77" t="s">
        <v>1724</v>
      </c>
      <c r="M1651" s="77" t="s">
        <v>82</v>
      </c>
      <c r="N1651" s="77" t="s">
        <v>83</v>
      </c>
      <c r="Q1651" s="77" t="s">
        <v>111</v>
      </c>
      <c r="T1651" s="77" t="s">
        <v>1666</v>
      </c>
      <c r="U1651" s="77" t="s">
        <v>85</v>
      </c>
      <c r="V1651" s="77" t="s">
        <v>99</v>
      </c>
      <c r="W1651" s="79">
        <v>46213.668859722224</v>
      </c>
      <c r="X1651" s="77" t="s">
        <v>100</v>
      </c>
      <c r="Y1651" s="78" t="s">
        <v>101</v>
      </c>
      <c r="AA1651" s="77" t="s">
        <v>1568</v>
      </c>
      <c r="AB1651" s="77" t="s">
        <v>1521</v>
      </c>
      <c r="AC1651" s="77" t="s">
        <v>114</v>
      </c>
      <c r="AD1651" s="77" t="s">
        <v>102</v>
      </c>
      <c r="AE1651" s="77" t="s">
        <v>3499</v>
      </c>
      <c r="AF1651" s="77" t="s">
        <v>2706</v>
      </c>
    </row>
    <row r="1652" spans="1:32" hidden="1" x14ac:dyDescent="0.3">
      <c r="A1652" s="77" t="s">
        <v>3558</v>
      </c>
      <c r="B1652" s="77" t="s">
        <v>1726</v>
      </c>
      <c r="G1652" s="77" t="s">
        <v>3498</v>
      </c>
      <c r="H1652" s="77" t="s">
        <v>77</v>
      </c>
      <c r="I1652" s="77" t="s">
        <v>1521</v>
      </c>
      <c r="J1652" s="77" t="s">
        <v>3039</v>
      </c>
      <c r="K1652" s="77" t="s">
        <v>1522</v>
      </c>
      <c r="L1652" s="77" t="s">
        <v>1724</v>
      </c>
      <c r="M1652" s="77" t="s">
        <v>82</v>
      </c>
      <c r="N1652" s="77" t="s">
        <v>83</v>
      </c>
      <c r="Q1652" s="77" t="s">
        <v>111</v>
      </c>
      <c r="T1652" s="77" t="s">
        <v>1666</v>
      </c>
      <c r="U1652" s="77" t="s">
        <v>85</v>
      </c>
      <c r="V1652" s="77" t="s">
        <v>99</v>
      </c>
      <c r="W1652" s="79">
        <v>46213.657690659726</v>
      </c>
      <c r="X1652" s="77" t="s">
        <v>100</v>
      </c>
      <c r="Y1652" s="78" t="s">
        <v>101</v>
      </c>
      <c r="AA1652" s="77" t="s">
        <v>1568</v>
      </c>
      <c r="AB1652" s="77" t="s">
        <v>1521</v>
      </c>
      <c r="AC1652" s="77" t="s">
        <v>114</v>
      </c>
      <c r="AD1652" s="77" t="s">
        <v>102</v>
      </c>
      <c r="AE1652" s="77" t="s">
        <v>3499</v>
      </c>
      <c r="AF1652" s="77" t="s">
        <v>2706</v>
      </c>
    </row>
    <row r="1653" spans="1:32" hidden="1" x14ac:dyDescent="0.3">
      <c r="A1653" s="77" t="s">
        <v>3559</v>
      </c>
      <c r="B1653" s="77" t="s">
        <v>1728</v>
      </c>
      <c r="G1653" s="77" t="s">
        <v>3498</v>
      </c>
      <c r="H1653" s="77" t="s">
        <v>77</v>
      </c>
      <c r="I1653" s="77" t="s">
        <v>1521</v>
      </c>
      <c r="J1653" s="77" t="s">
        <v>3039</v>
      </c>
      <c r="K1653" s="77" t="s">
        <v>1522</v>
      </c>
      <c r="L1653" s="77" t="s">
        <v>1729</v>
      </c>
      <c r="M1653" s="77" t="s">
        <v>82</v>
      </c>
      <c r="N1653" s="77" t="s">
        <v>83</v>
      </c>
      <c r="Q1653" s="77" t="s">
        <v>111</v>
      </c>
      <c r="T1653" s="77" t="s">
        <v>1666</v>
      </c>
      <c r="U1653" s="77" t="s">
        <v>85</v>
      </c>
      <c r="V1653" s="77" t="s">
        <v>105</v>
      </c>
      <c r="W1653" s="79">
        <v>46213.670044409722</v>
      </c>
      <c r="X1653" s="77" t="s">
        <v>106</v>
      </c>
      <c r="Y1653" s="78" t="s">
        <v>101</v>
      </c>
      <c r="AA1653" s="77" t="s">
        <v>1568</v>
      </c>
      <c r="AB1653" s="77" t="s">
        <v>1521</v>
      </c>
      <c r="AC1653" s="77" t="s">
        <v>114</v>
      </c>
      <c r="AD1653" s="77" t="s">
        <v>102</v>
      </c>
      <c r="AE1653" s="77" t="s">
        <v>3499</v>
      </c>
      <c r="AF1653" s="77" t="s">
        <v>2706</v>
      </c>
    </row>
    <row r="1654" spans="1:32" hidden="1" x14ac:dyDescent="0.3">
      <c r="A1654" s="77" t="s">
        <v>3560</v>
      </c>
      <c r="B1654" s="77" t="s">
        <v>1731</v>
      </c>
      <c r="G1654" s="77" t="s">
        <v>3498</v>
      </c>
      <c r="H1654" s="77" t="s">
        <v>77</v>
      </c>
      <c r="I1654" s="77" t="s">
        <v>1521</v>
      </c>
      <c r="J1654" s="77" t="s">
        <v>3039</v>
      </c>
      <c r="K1654" s="77" t="s">
        <v>1522</v>
      </c>
      <c r="L1654" s="77" t="s">
        <v>1729</v>
      </c>
      <c r="M1654" s="77" t="s">
        <v>82</v>
      </c>
      <c r="N1654" s="77" t="s">
        <v>83</v>
      </c>
      <c r="Q1654" s="77" t="s">
        <v>111</v>
      </c>
      <c r="T1654" s="77" t="s">
        <v>1666</v>
      </c>
      <c r="U1654" s="77" t="s">
        <v>85</v>
      </c>
      <c r="V1654" s="77" t="s">
        <v>105</v>
      </c>
      <c r="W1654" s="79">
        <v>46213.658640821763</v>
      </c>
      <c r="X1654" s="77" t="s">
        <v>106</v>
      </c>
      <c r="Y1654" s="78" t="s">
        <v>101</v>
      </c>
      <c r="AA1654" s="77" t="s">
        <v>1568</v>
      </c>
      <c r="AB1654" s="77" t="s">
        <v>1521</v>
      </c>
      <c r="AC1654" s="77" t="s">
        <v>114</v>
      </c>
      <c r="AD1654" s="77" t="s">
        <v>102</v>
      </c>
      <c r="AE1654" s="77" t="s">
        <v>3499</v>
      </c>
      <c r="AF1654" s="77" t="s">
        <v>2706</v>
      </c>
    </row>
    <row r="1655" spans="1:32" x14ac:dyDescent="0.3">
      <c r="A1655" s="77" t="s">
        <v>3561</v>
      </c>
      <c r="B1655" s="77" t="s">
        <v>1733</v>
      </c>
      <c r="G1655" s="77" t="s">
        <v>3498</v>
      </c>
      <c r="H1655" s="77" t="s">
        <v>77</v>
      </c>
      <c r="I1655" s="77" t="s">
        <v>1521</v>
      </c>
      <c r="J1655" s="77" t="s">
        <v>3039</v>
      </c>
      <c r="K1655" s="77" t="s">
        <v>1522</v>
      </c>
      <c r="L1655" s="77" t="s">
        <v>1734</v>
      </c>
      <c r="M1655" s="77" t="s">
        <v>82</v>
      </c>
      <c r="N1655" s="77" t="s">
        <v>83</v>
      </c>
      <c r="Q1655" s="77" t="s">
        <v>111</v>
      </c>
      <c r="T1655" s="77" t="s">
        <v>1666</v>
      </c>
      <c r="U1655" s="77" t="s">
        <v>85</v>
      </c>
      <c r="V1655" s="80" t="s">
        <v>231</v>
      </c>
      <c r="X1655" s="77" t="s">
        <v>232</v>
      </c>
      <c r="Y1655" s="78" t="s">
        <v>88</v>
      </c>
      <c r="AA1655" s="77" t="s">
        <v>1568</v>
      </c>
      <c r="AB1655" s="77" t="s">
        <v>1521</v>
      </c>
      <c r="AC1655" s="77" t="s">
        <v>90</v>
      </c>
      <c r="AD1655" s="77" t="s">
        <v>91</v>
      </c>
      <c r="AE1655" s="77" t="s">
        <v>3499</v>
      </c>
    </row>
    <row r="1656" spans="1:32" hidden="1" x14ac:dyDescent="0.3">
      <c r="A1656" s="77" t="s">
        <v>3562</v>
      </c>
      <c r="B1656" s="77" t="s">
        <v>1736</v>
      </c>
      <c r="G1656" s="77" t="s">
        <v>3498</v>
      </c>
      <c r="H1656" s="77" t="s">
        <v>77</v>
      </c>
      <c r="I1656" s="77" t="s">
        <v>1521</v>
      </c>
      <c r="J1656" s="77" t="s">
        <v>3039</v>
      </c>
      <c r="K1656" s="77" t="s">
        <v>1522</v>
      </c>
      <c r="L1656" s="77" t="s">
        <v>1734</v>
      </c>
      <c r="M1656" s="77" t="s">
        <v>82</v>
      </c>
      <c r="N1656" s="77" t="s">
        <v>83</v>
      </c>
      <c r="Q1656" s="77" t="s">
        <v>111</v>
      </c>
      <c r="T1656" s="77" t="s">
        <v>1666</v>
      </c>
      <c r="U1656" s="77" t="s">
        <v>85</v>
      </c>
      <c r="V1656" s="77" t="s">
        <v>231</v>
      </c>
      <c r="W1656" s="79">
        <v>46211.254255405096</v>
      </c>
      <c r="X1656" s="77" t="s">
        <v>232</v>
      </c>
      <c r="Y1656" s="78" t="s">
        <v>88</v>
      </c>
      <c r="AA1656" s="77" t="s">
        <v>1568</v>
      </c>
      <c r="AB1656" s="77" t="s">
        <v>1521</v>
      </c>
      <c r="AC1656" s="77" t="s">
        <v>114</v>
      </c>
      <c r="AD1656" s="77" t="s">
        <v>91</v>
      </c>
      <c r="AE1656" s="77" t="s">
        <v>3499</v>
      </c>
      <c r="AF1656" s="77" t="s">
        <v>2706</v>
      </c>
    </row>
    <row r="1657" spans="1:32" x14ac:dyDescent="0.3">
      <c r="A1657" s="77" t="s">
        <v>3563</v>
      </c>
      <c r="B1657" s="77" t="s">
        <v>1738</v>
      </c>
      <c r="G1657" s="77" t="s">
        <v>3498</v>
      </c>
      <c r="H1657" s="77" t="s">
        <v>77</v>
      </c>
      <c r="I1657" s="77" t="s">
        <v>1521</v>
      </c>
      <c r="J1657" s="77" t="s">
        <v>3039</v>
      </c>
      <c r="K1657" s="77" t="s">
        <v>1522</v>
      </c>
      <c r="L1657" s="77" t="s">
        <v>1734</v>
      </c>
      <c r="M1657" s="77" t="s">
        <v>82</v>
      </c>
      <c r="N1657" s="77" t="s">
        <v>83</v>
      </c>
      <c r="Q1657" s="77" t="s">
        <v>111</v>
      </c>
      <c r="T1657" s="77" t="s">
        <v>1666</v>
      </c>
      <c r="U1657" s="77" t="s">
        <v>85</v>
      </c>
      <c r="V1657" s="80" t="s">
        <v>231</v>
      </c>
      <c r="X1657" s="77" t="s">
        <v>232</v>
      </c>
      <c r="Y1657" s="78" t="s">
        <v>88</v>
      </c>
      <c r="AA1657" s="77" t="s">
        <v>1568</v>
      </c>
      <c r="AB1657" s="77" t="s">
        <v>1521</v>
      </c>
      <c r="AC1657" s="77" t="s">
        <v>90</v>
      </c>
      <c r="AD1657" s="77" t="s">
        <v>91</v>
      </c>
      <c r="AE1657" s="77" t="s">
        <v>3499</v>
      </c>
    </row>
    <row r="1658" spans="1:32" x14ac:dyDescent="0.3">
      <c r="A1658" s="77" t="s">
        <v>3564</v>
      </c>
      <c r="B1658" s="77" t="s">
        <v>1740</v>
      </c>
      <c r="G1658" s="77" t="s">
        <v>3498</v>
      </c>
      <c r="H1658" s="77" t="s">
        <v>77</v>
      </c>
      <c r="I1658" s="77" t="s">
        <v>1521</v>
      </c>
      <c r="J1658" s="77" t="s">
        <v>3039</v>
      </c>
      <c r="K1658" s="77" t="s">
        <v>1522</v>
      </c>
      <c r="L1658" s="77" t="s">
        <v>1734</v>
      </c>
      <c r="M1658" s="77" t="s">
        <v>82</v>
      </c>
      <c r="N1658" s="77" t="s">
        <v>83</v>
      </c>
      <c r="Q1658" s="77" t="s">
        <v>111</v>
      </c>
      <c r="T1658" s="77" t="s">
        <v>1666</v>
      </c>
      <c r="U1658" s="77" t="s">
        <v>85</v>
      </c>
      <c r="V1658" s="80" t="s">
        <v>231</v>
      </c>
      <c r="X1658" s="77" t="s">
        <v>232</v>
      </c>
      <c r="Y1658" s="78" t="s">
        <v>88</v>
      </c>
      <c r="AA1658" s="77" t="s">
        <v>1568</v>
      </c>
      <c r="AB1658" s="77" t="s">
        <v>1521</v>
      </c>
      <c r="AC1658" s="77" t="s">
        <v>90</v>
      </c>
      <c r="AD1658" s="77" t="s">
        <v>91</v>
      </c>
      <c r="AE1658" s="77" t="s">
        <v>3499</v>
      </c>
    </row>
    <row r="1659" spans="1:32" x14ac:dyDescent="0.3">
      <c r="A1659" s="77" t="s">
        <v>3565</v>
      </c>
      <c r="B1659" s="77" t="s">
        <v>1742</v>
      </c>
      <c r="G1659" s="77" t="s">
        <v>3498</v>
      </c>
      <c r="H1659" s="77" t="s">
        <v>77</v>
      </c>
      <c r="I1659" s="77" t="s">
        <v>1521</v>
      </c>
      <c r="J1659" s="77" t="s">
        <v>3039</v>
      </c>
      <c r="K1659" s="77" t="s">
        <v>1522</v>
      </c>
      <c r="L1659" s="77" t="s">
        <v>1581</v>
      </c>
      <c r="M1659" s="77" t="s">
        <v>82</v>
      </c>
      <c r="N1659" s="77" t="s">
        <v>83</v>
      </c>
      <c r="Q1659" s="77" t="s">
        <v>111</v>
      </c>
      <c r="T1659" s="77" t="s">
        <v>1666</v>
      </c>
      <c r="U1659" s="77" t="s">
        <v>85</v>
      </c>
      <c r="V1659" s="80" t="s">
        <v>231</v>
      </c>
      <c r="X1659" s="77" t="s">
        <v>232</v>
      </c>
      <c r="Y1659" s="78" t="s">
        <v>88</v>
      </c>
      <c r="AA1659" s="77" t="s">
        <v>1568</v>
      </c>
      <c r="AB1659" s="77" t="s">
        <v>1521</v>
      </c>
      <c r="AC1659" s="77" t="s">
        <v>90</v>
      </c>
      <c r="AD1659" s="77" t="s">
        <v>91</v>
      </c>
      <c r="AE1659" s="77" t="s">
        <v>3499</v>
      </c>
    </row>
    <row r="1660" spans="1:32" x14ac:dyDescent="0.3">
      <c r="A1660" s="77" t="s">
        <v>3566</v>
      </c>
      <c r="B1660" s="77" t="s">
        <v>1744</v>
      </c>
      <c r="G1660" s="77" t="s">
        <v>3498</v>
      </c>
      <c r="H1660" s="77" t="s">
        <v>77</v>
      </c>
      <c r="I1660" s="77" t="s">
        <v>1521</v>
      </c>
      <c r="J1660" s="77" t="s">
        <v>3039</v>
      </c>
      <c r="K1660" s="77" t="s">
        <v>1522</v>
      </c>
      <c r="L1660" s="77" t="s">
        <v>1581</v>
      </c>
      <c r="M1660" s="77" t="s">
        <v>82</v>
      </c>
      <c r="N1660" s="77" t="s">
        <v>83</v>
      </c>
      <c r="Q1660" s="77" t="s">
        <v>111</v>
      </c>
      <c r="T1660" s="77" t="s">
        <v>1666</v>
      </c>
      <c r="U1660" s="77" t="s">
        <v>85</v>
      </c>
      <c r="V1660" s="80" t="s">
        <v>231</v>
      </c>
      <c r="X1660" s="77" t="s">
        <v>232</v>
      </c>
      <c r="Y1660" s="78" t="s">
        <v>88</v>
      </c>
      <c r="AA1660" s="77" t="s">
        <v>1568</v>
      </c>
      <c r="AB1660" s="77" t="s">
        <v>1521</v>
      </c>
      <c r="AC1660" s="77" t="s">
        <v>90</v>
      </c>
      <c r="AD1660" s="77" t="s">
        <v>91</v>
      </c>
      <c r="AE1660" s="77" t="s">
        <v>3499</v>
      </c>
    </row>
    <row r="1661" spans="1:32" x14ac:dyDescent="0.3">
      <c r="A1661" s="77" t="s">
        <v>3567</v>
      </c>
      <c r="B1661" s="77" t="s">
        <v>1746</v>
      </c>
      <c r="G1661" s="77" t="s">
        <v>3498</v>
      </c>
      <c r="H1661" s="77" t="s">
        <v>77</v>
      </c>
      <c r="I1661" s="77" t="s">
        <v>1521</v>
      </c>
      <c r="J1661" s="77" t="s">
        <v>3039</v>
      </c>
      <c r="K1661" s="77" t="s">
        <v>1522</v>
      </c>
      <c r="L1661" s="77" t="s">
        <v>1747</v>
      </c>
      <c r="M1661" s="77" t="s">
        <v>82</v>
      </c>
      <c r="N1661" s="77" t="s">
        <v>83</v>
      </c>
      <c r="Q1661" s="77" t="s">
        <v>111</v>
      </c>
      <c r="T1661" s="77" t="s">
        <v>1666</v>
      </c>
      <c r="U1661" s="77" t="s">
        <v>85</v>
      </c>
      <c r="V1661" s="80" t="s">
        <v>86</v>
      </c>
      <c r="X1661" s="77" t="s">
        <v>87</v>
      </c>
      <c r="Y1661" s="78" t="s">
        <v>88</v>
      </c>
      <c r="AA1661" s="77" t="s">
        <v>1568</v>
      </c>
      <c r="AB1661" s="77" t="s">
        <v>1521</v>
      </c>
      <c r="AC1661" s="77" t="s">
        <v>90</v>
      </c>
      <c r="AD1661" s="77" t="s">
        <v>91</v>
      </c>
      <c r="AE1661" s="77" t="s">
        <v>3499</v>
      </c>
    </row>
    <row r="1662" spans="1:32" x14ac:dyDescent="0.3">
      <c r="A1662" s="77" t="s">
        <v>3568</v>
      </c>
      <c r="B1662" s="77" t="s">
        <v>1749</v>
      </c>
      <c r="G1662" s="77" t="s">
        <v>3498</v>
      </c>
      <c r="H1662" s="77" t="s">
        <v>77</v>
      </c>
      <c r="I1662" s="77" t="s">
        <v>1521</v>
      </c>
      <c r="J1662" s="77" t="s">
        <v>3039</v>
      </c>
      <c r="K1662" s="77" t="s">
        <v>1522</v>
      </c>
      <c r="L1662" s="77" t="s">
        <v>1750</v>
      </c>
      <c r="M1662" s="77" t="s">
        <v>82</v>
      </c>
      <c r="N1662" s="77" t="s">
        <v>83</v>
      </c>
      <c r="Q1662" s="77" t="s">
        <v>111</v>
      </c>
      <c r="T1662" s="77" t="s">
        <v>1666</v>
      </c>
      <c r="U1662" s="77" t="s">
        <v>85</v>
      </c>
      <c r="V1662" s="80" t="s">
        <v>95</v>
      </c>
      <c r="X1662" s="77" t="s">
        <v>96</v>
      </c>
      <c r="Y1662" s="78" t="s">
        <v>88</v>
      </c>
      <c r="AA1662" s="77" t="s">
        <v>1568</v>
      </c>
      <c r="AB1662" s="77" t="s">
        <v>1521</v>
      </c>
      <c r="AC1662" s="77" t="s">
        <v>90</v>
      </c>
      <c r="AD1662" s="77" t="s">
        <v>91</v>
      </c>
      <c r="AE1662" s="77" t="s">
        <v>3499</v>
      </c>
    </row>
    <row r="1663" spans="1:32" x14ac:dyDescent="0.3">
      <c r="A1663" s="77" t="s">
        <v>3569</v>
      </c>
      <c r="B1663" s="77" t="s">
        <v>1752</v>
      </c>
      <c r="G1663" s="77" t="s">
        <v>3498</v>
      </c>
      <c r="H1663" s="77" t="s">
        <v>77</v>
      </c>
      <c r="I1663" s="77" t="s">
        <v>1521</v>
      </c>
      <c r="J1663" s="77" t="s">
        <v>3039</v>
      </c>
      <c r="K1663" s="77" t="s">
        <v>1522</v>
      </c>
      <c r="L1663" s="77" t="s">
        <v>1753</v>
      </c>
      <c r="M1663" s="77" t="s">
        <v>82</v>
      </c>
      <c r="N1663" s="77" t="s">
        <v>83</v>
      </c>
      <c r="Q1663" s="77" t="s">
        <v>111</v>
      </c>
      <c r="T1663" s="77" t="s">
        <v>1666</v>
      </c>
      <c r="U1663" s="77" t="s">
        <v>85</v>
      </c>
      <c r="V1663" s="80" t="s">
        <v>99</v>
      </c>
      <c r="X1663" s="77" t="s">
        <v>100</v>
      </c>
      <c r="Y1663" s="78" t="s">
        <v>101</v>
      </c>
      <c r="AA1663" s="77" t="s">
        <v>1568</v>
      </c>
      <c r="AB1663" s="77" t="s">
        <v>1521</v>
      </c>
      <c r="AC1663" s="77" t="s">
        <v>90</v>
      </c>
      <c r="AD1663" s="77" t="s">
        <v>102</v>
      </c>
      <c r="AE1663" s="77" t="s">
        <v>3499</v>
      </c>
    </row>
    <row r="1664" spans="1:32" x14ac:dyDescent="0.3">
      <c r="A1664" s="77" t="s">
        <v>3570</v>
      </c>
      <c r="B1664" s="77" t="s">
        <v>1755</v>
      </c>
      <c r="G1664" s="77" t="s">
        <v>3498</v>
      </c>
      <c r="H1664" s="77" t="s">
        <v>77</v>
      </c>
      <c r="I1664" s="77" t="s">
        <v>1521</v>
      </c>
      <c r="J1664" s="77" t="s">
        <v>3039</v>
      </c>
      <c r="K1664" s="77" t="s">
        <v>1522</v>
      </c>
      <c r="L1664" s="77" t="s">
        <v>1756</v>
      </c>
      <c r="M1664" s="77" t="s">
        <v>82</v>
      </c>
      <c r="N1664" s="77" t="s">
        <v>83</v>
      </c>
      <c r="Q1664" s="77" t="s">
        <v>111</v>
      </c>
      <c r="T1664" s="77" t="s">
        <v>1666</v>
      </c>
      <c r="U1664" s="77" t="s">
        <v>85</v>
      </c>
      <c r="V1664" s="80" t="s">
        <v>105</v>
      </c>
      <c r="X1664" s="77" t="s">
        <v>106</v>
      </c>
      <c r="Y1664" s="78" t="s">
        <v>101</v>
      </c>
      <c r="AA1664" s="77" t="s">
        <v>1568</v>
      </c>
      <c r="AB1664" s="77" t="s">
        <v>1521</v>
      </c>
      <c r="AC1664" s="77" t="s">
        <v>90</v>
      </c>
      <c r="AD1664" s="77" t="s">
        <v>102</v>
      </c>
      <c r="AE1664" s="77" t="s">
        <v>3499</v>
      </c>
    </row>
    <row r="1665" spans="1:31" x14ac:dyDescent="0.3">
      <c r="A1665" s="77" t="s">
        <v>3571</v>
      </c>
      <c r="B1665" s="77" t="s">
        <v>1758</v>
      </c>
      <c r="G1665" s="77" t="s">
        <v>3498</v>
      </c>
      <c r="H1665" s="77" t="s">
        <v>77</v>
      </c>
      <c r="I1665" s="77" t="s">
        <v>1521</v>
      </c>
      <c r="J1665" s="77" t="s">
        <v>3039</v>
      </c>
      <c r="K1665" s="77" t="s">
        <v>1522</v>
      </c>
      <c r="L1665" s="77" t="s">
        <v>1759</v>
      </c>
      <c r="M1665" s="77" t="s">
        <v>82</v>
      </c>
      <c r="N1665" s="77" t="s">
        <v>83</v>
      </c>
      <c r="Q1665" s="77" t="s">
        <v>111</v>
      </c>
      <c r="T1665" s="77" t="s">
        <v>1666</v>
      </c>
      <c r="U1665" s="77" t="s">
        <v>85</v>
      </c>
      <c r="V1665" s="80" t="s">
        <v>86</v>
      </c>
      <c r="X1665" s="77" t="s">
        <v>87</v>
      </c>
      <c r="Y1665" s="78" t="s">
        <v>88</v>
      </c>
      <c r="AA1665" s="77" t="s">
        <v>1568</v>
      </c>
      <c r="AB1665" s="77" t="s">
        <v>1521</v>
      </c>
      <c r="AC1665" s="77" t="s">
        <v>90</v>
      </c>
      <c r="AD1665" s="77" t="s">
        <v>91</v>
      </c>
      <c r="AE1665" s="77" t="s">
        <v>3499</v>
      </c>
    </row>
    <row r="1666" spans="1:31" x14ac:dyDescent="0.3">
      <c r="A1666" s="77" t="s">
        <v>3572</v>
      </c>
      <c r="B1666" s="77" t="s">
        <v>1761</v>
      </c>
      <c r="G1666" s="77" t="s">
        <v>3498</v>
      </c>
      <c r="H1666" s="77" t="s">
        <v>77</v>
      </c>
      <c r="I1666" s="77" t="s">
        <v>1521</v>
      </c>
      <c r="J1666" s="77" t="s">
        <v>3039</v>
      </c>
      <c r="K1666" s="77" t="s">
        <v>1522</v>
      </c>
      <c r="L1666" s="77" t="s">
        <v>1759</v>
      </c>
      <c r="M1666" s="77" t="s">
        <v>82</v>
      </c>
      <c r="N1666" s="77" t="s">
        <v>83</v>
      </c>
      <c r="Q1666" s="77" t="s">
        <v>111</v>
      </c>
      <c r="T1666" s="77" t="s">
        <v>1666</v>
      </c>
      <c r="U1666" s="77" t="s">
        <v>85</v>
      </c>
      <c r="V1666" s="80" t="s">
        <v>86</v>
      </c>
      <c r="X1666" s="77" t="s">
        <v>87</v>
      </c>
      <c r="Y1666" s="78" t="s">
        <v>88</v>
      </c>
      <c r="AA1666" s="77" t="s">
        <v>1568</v>
      </c>
      <c r="AB1666" s="77" t="s">
        <v>1521</v>
      </c>
      <c r="AC1666" s="77" t="s">
        <v>90</v>
      </c>
      <c r="AD1666" s="77" t="s">
        <v>91</v>
      </c>
      <c r="AE1666" s="77" t="s">
        <v>3499</v>
      </c>
    </row>
    <row r="1667" spans="1:31" x14ac:dyDescent="0.3">
      <c r="A1667" s="77" t="s">
        <v>3573</v>
      </c>
      <c r="B1667" s="77" t="s">
        <v>1763</v>
      </c>
      <c r="G1667" s="77" t="s">
        <v>3498</v>
      </c>
      <c r="H1667" s="77" t="s">
        <v>77</v>
      </c>
      <c r="I1667" s="77" t="s">
        <v>1521</v>
      </c>
      <c r="J1667" s="77" t="s">
        <v>3039</v>
      </c>
      <c r="K1667" s="77" t="s">
        <v>1522</v>
      </c>
      <c r="L1667" s="77" t="s">
        <v>1764</v>
      </c>
      <c r="M1667" s="77" t="s">
        <v>82</v>
      </c>
      <c r="N1667" s="77" t="s">
        <v>83</v>
      </c>
      <c r="Q1667" s="77" t="s">
        <v>111</v>
      </c>
      <c r="T1667" s="77" t="s">
        <v>1666</v>
      </c>
      <c r="U1667" s="77" t="s">
        <v>85</v>
      </c>
      <c r="V1667" s="80" t="s">
        <v>95</v>
      </c>
      <c r="X1667" s="77" t="s">
        <v>96</v>
      </c>
      <c r="Y1667" s="78" t="s">
        <v>88</v>
      </c>
      <c r="AA1667" s="77" t="s">
        <v>1568</v>
      </c>
      <c r="AB1667" s="77" t="s">
        <v>1521</v>
      </c>
      <c r="AC1667" s="77" t="s">
        <v>90</v>
      </c>
      <c r="AD1667" s="77" t="s">
        <v>91</v>
      </c>
      <c r="AE1667" s="77" t="s">
        <v>3499</v>
      </c>
    </row>
    <row r="1668" spans="1:31" x14ac:dyDescent="0.3">
      <c r="A1668" s="77" t="s">
        <v>3574</v>
      </c>
      <c r="B1668" s="77" t="s">
        <v>1766</v>
      </c>
      <c r="G1668" s="77" t="s">
        <v>3498</v>
      </c>
      <c r="H1668" s="77" t="s">
        <v>77</v>
      </c>
      <c r="I1668" s="77" t="s">
        <v>1521</v>
      </c>
      <c r="J1668" s="77" t="s">
        <v>3039</v>
      </c>
      <c r="K1668" s="77" t="s">
        <v>1522</v>
      </c>
      <c r="L1668" s="77" t="s">
        <v>1764</v>
      </c>
      <c r="M1668" s="77" t="s">
        <v>82</v>
      </c>
      <c r="N1668" s="77" t="s">
        <v>83</v>
      </c>
      <c r="Q1668" s="77" t="s">
        <v>111</v>
      </c>
      <c r="T1668" s="77" t="s">
        <v>1666</v>
      </c>
      <c r="U1668" s="77" t="s">
        <v>85</v>
      </c>
      <c r="V1668" s="80" t="s">
        <v>95</v>
      </c>
      <c r="X1668" s="77" t="s">
        <v>96</v>
      </c>
      <c r="Y1668" s="78" t="s">
        <v>88</v>
      </c>
      <c r="AA1668" s="77" t="s">
        <v>1568</v>
      </c>
      <c r="AB1668" s="77" t="s">
        <v>1521</v>
      </c>
      <c r="AC1668" s="77" t="s">
        <v>90</v>
      </c>
      <c r="AD1668" s="77" t="s">
        <v>91</v>
      </c>
      <c r="AE1668" s="77" t="s">
        <v>3499</v>
      </c>
    </row>
    <row r="1669" spans="1:31" x14ac:dyDescent="0.3">
      <c r="A1669" s="77" t="s">
        <v>3575</v>
      </c>
      <c r="B1669" s="77" t="s">
        <v>1768</v>
      </c>
      <c r="G1669" s="77" t="s">
        <v>3498</v>
      </c>
      <c r="H1669" s="77" t="s">
        <v>77</v>
      </c>
      <c r="I1669" s="77" t="s">
        <v>1521</v>
      </c>
      <c r="J1669" s="77" t="s">
        <v>3039</v>
      </c>
      <c r="K1669" s="77" t="s">
        <v>1522</v>
      </c>
      <c r="L1669" s="77" t="s">
        <v>1769</v>
      </c>
      <c r="M1669" s="77" t="s">
        <v>82</v>
      </c>
      <c r="N1669" s="77" t="s">
        <v>83</v>
      </c>
      <c r="Q1669" s="77" t="s">
        <v>111</v>
      </c>
      <c r="T1669" s="77" t="s">
        <v>1666</v>
      </c>
      <c r="U1669" s="77" t="s">
        <v>85</v>
      </c>
      <c r="V1669" s="80" t="s">
        <v>99</v>
      </c>
      <c r="X1669" s="77" t="s">
        <v>100</v>
      </c>
      <c r="Y1669" s="78" t="s">
        <v>101</v>
      </c>
      <c r="AA1669" s="77" t="s">
        <v>1568</v>
      </c>
      <c r="AB1669" s="77" t="s">
        <v>1521</v>
      </c>
      <c r="AC1669" s="77" t="s">
        <v>90</v>
      </c>
      <c r="AD1669" s="77" t="s">
        <v>102</v>
      </c>
      <c r="AE1669" s="77" t="s">
        <v>3499</v>
      </c>
    </row>
    <row r="1670" spans="1:31" x14ac:dyDescent="0.3">
      <c r="A1670" s="77" t="s">
        <v>3576</v>
      </c>
      <c r="B1670" s="77" t="s">
        <v>1771</v>
      </c>
      <c r="G1670" s="77" t="s">
        <v>3498</v>
      </c>
      <c r="H1670" s="77" t="s">
        <v>77</v>
      </c>
      <c r="I1670" s="77" t="s">
        <v>1521</v>
      </c>
      <c r="J1670" s="77" t="s">
        <v>3039</v>
      </c>
      <c r="K1670" s="77" t="s">
        <v>1522</v>
      </c>
      <c r="L1670" s="77" t="s">
        <v>1769</v>
      </c>
      <c r="M1670" s="77" t="s">
        <v>82</v>
      </c>
      <c r="N1670" s="77" t="s">
        <v>83</v>
      </c>
      <c r="Q1670" s="77" t="s">
        <v>111</v>
      </c>
      <c r="T1670" s="77" t="s">
        <v>1666</v>
      </c>
      <c r="U1670" s="77" t="s">
        <v>85</v>
      </c>
      <c r="V1670" s="80" t="s">
        <v>99</v>
      </c>
      <c r="X1670" s="77" t="s">
        <v>100</v>
      </c>
      <c r="Y1670" s="78" t="s">
        <v>101</v>
      </c>
      <c r="AA1670" s="77" t="s">
        <v>1568</v>
      </c>
      <c r="AB1670" s="77" t="s">
        <v>1521</v>
      </c>
      <c r="AC1670" s="77" t="s">
        <v>90</v>
      </c>
      <c r="AD1670" s="77" t="s">
        <v>102</v>
      </c>
      <c r="AE1670" s="77" t="s">
        <v>3499</v>
      </c>
    </row>
    <row r="1671" spans="1:31" x14ac:dyDescent="0.3">
      <c r="A1671" s="77" t="s">
        <v>3577</v>
      </c>
      <c r="B1671" s="77" t="s">
        <v>1773</v>
      </c>
      <c r="G1671" s="77" t="s">
        <v>3498</v>
      </c>
      <c r="H1671" s="77" t="s">
        <v>77</v>
      </c>
      <c r="I1671" s="77" t="s">
        <v>1521</v>
      </c>
      <c r="J1671" s="77" t="s">
        <v>3039</v>
      </c>
      <c r="K1671" s="77" t="s">
        <v>1522</v>
      </c>
      <c r="L1671" s="77" t="s">
        <v>1774</v>
      </c>
      <c r="M1671" s="77" t="s">
        <v>82</v>
      </c>
      <c r="N1671" s="77" t="s">
        <v>83</v>
      </c>
      <c r="Q1671" s="77" t="s">
        <v>111</v>
      </c>
      <c r="T1671" s="77" t="s">
        <v>1666</v>
      </c>
      <c r="U1671" s="77" t="s">
        <v>85</v>
      </c>
      <c r="V1671" s="80" t="s">
        <v>105</v>
      </c>
      <c r="X1671" s="77" t="s">
        <v>106</v>
      </c>
      <c r="Y1671" s="78" t="s">
        <v>101</v>
      </c>
      <c r="AA1671" s="77" t="s">
        <v>1568</v>
      </c>
      <c r="AB1671" s="77" t="s">
        <v>1521</v>
      </c>
      <c r="AC1671" s="77" t="s">
        <v>90</v>
      </c>
      <c r="AD1671" s="77" t="s">
        <v>102</v>
      </c>
      <c r="AE1671" s="77" t="s">
        <v>3499</v>
      </c>
    </row>
    <row r="1672" spans="1:31" x14ac:dyDescent="0.3">
      <c r="A1672" s="77" t="s">
        <v>3578</v>
      </c>
      <c r="B1672" s="77" t="s">
        <v>1776</v>
      </c>
      <c r="G1672" s="77" t="s">
        <v>3498</v>
      </c>
      <c r="H1672" s="77" t="s">
        <v>77</v>
      </c>
      <c r="I1672" s="77" t="s">
        <v>1521</v>
      </c>
      <c r="J1672" s="77" t="s">
        <v>3039</v>
      </c>
      <c r="K1672" s="77" t="s">
        <v>1522</v>
      </c>
      <c r="L1672" s="77" t="s">
        <v>1774</v>
      </c>
      <c r="M1672" s="77" t="s">
        <v>82</v>
      </c>
      <c r="N1672" s="77" t="s">
        <v>83</v>
      </c>
      <c r="Q1672" s="77" t="s">
        <v>111</v>
      </c>
      <c r="T1672" s="77" t="s">
        <v>1666</v>
      </c>
      <c r="U1672" s="77" t="s">
        <v>85</v>
      </c>
      <c r="V1672" s="80" t="s">
        <v>105</v>
      </c>
      <c r="X1672" s="77" t="s">
        <v>106</v>
      </c>
      <c r="Y1672" s="78" t="s">
        <v>101</v>
      </c>
      <c r="AA1672" s="77" t="s">
        <v>1568</v>
      </c>
      <c r="AB1672" s="77" t="s">
        <v>1521</v>
      </c>
      <c r="AC1672" s="77" t="s">
        <v>90</v>
      </c>
      <c r="AD1672" s="77" t="s">
        <v>102</v>
      </c>
      <c r="AE1672" s="77" t="s">
        <v>3499</v>
      </c>
    </row>
    <row r="1673" spans="1:31" x14ac:dyDescent="0.3">
      <c r="A1673" s="77" t="s">
        <v>3579</v>
      </c>
      <c r="B1673" s="77" t="s">
        <v>1778</v>
      </c>
      <c r="G1673" s="77" t="s">
        <v>3498</v>
      </c>
      <c r="H1673" s="77" t="s">
        <v>77</v>
      </c>
      <c r="I1673" s="77" t="s">
        <v>1521</v>
      </c>
      <c r="J1673" s="77" t="s">
        <v>3039</v>
      </c>
      <c r="K1673" s="77" t="s">
        <v>1522</v>
      </c>
      <c r="L1673" s="77" t="s">
        <v>1779</v>
      </c>
      <c r="M1673" s="77" t="s">
        <v>82</v>
      </c>
      <c r="N1673" s="77" t="s">
        <v>83</v>
      </c>
      <c r="Q1673" s="77" t="s">
        <v>111</v>
      </c>
      <c r="T1673" s="77" t="s">
        <v>1666</v>
      </c>
      <c r="U1673" s="77" t="s">
        <v>85</v>
      </c>
      <c r="V1673" s="80" t="s">
        <v>657</v>
      </c>
      <c r="X1673" s="77" t="s">
        <v>658</v>
      </c>
      <c r="Y1673" s="78" t="s">
        <v>88</v>
      </c>
      <c r="AA1673" s="77" t="s">
        <v>1568</v>
      </c>
      <c r="AB1673" s="77" t="s">
        <v>1521</v>
      </c>
      <c r="AC1673" s="77" t="s">
        <v>90</v>
      </c>
      <c r="AD1673" s="77" t="s">
        <v>91</v>
      </c>
      <c r="AE1673" s="77" t="s">
        <v>3499</v>
      </c>
    </row>
    <row r="1674" spans="1:31" x14ac:dyDescent="0.3">
      <c r="A1674" s="77" t="s">
        <v>3580</v>
      </c>
      <c r="B1674" s="77" t="s">
        <v>1781</v>
      </c>
      <c r="G1674" s="77" t="s">
        <v>3498</v>
      </c>
      <c r="H1674" s="77" t="s">
        <v>77</v>
      </c>
      <c r="I1674" s="77" t="s">
        <v>1521</v>
      </c>
      <c r="J1674" s="77" t="s">
        <v>3039</v>
      </c>
      <c r="K1674" s="77" t="s">
        <v>1522</v>
      </c>
      <c r="L1674" s="77" t="s">
        <v>992</v>
      </c>
      <c r="M1674" s="77" t="s">
        <v>82</v>
      </c>
      <c r="N1674" s="77" t="s">
        <v>83</v>
      </c>
      <c r="Q1674" s="77" t="s">
        <v>111</v>
      </c>
      <c r="T1674" s="77" t="s">
        <v>1666</v>
      </c>
      <c r="U1674" s="77" t="s">
        <v>85</v>
      </c>
      <c r="V1674" s="80" t="s">
        <v>189</v>
      </c>
      <c r="X1674" s="77" t="s">
        <v>190</v>
      </c>
      <c r="Y1674" s="78" t="s">
        <v>88</v>
      </c>
      <c r="AA1674" s="77" t="s">
        <v>1568</v>
      </c>
      <c r="AB1674" s="77" t="s">
        <v>1521</v>
      </c>
      <c r="AC1674" s="77" t="s">
        <v>90</v>
      </c>
      <c r="AD1674" s="77" t="s">
        <v>91</v>
      </c>
      <c r="AE1674" s="77" t="s">
        <v>3499</v>
      </c>
    </row>
    <row r="1675" spans="1:31" x14ac:dyDescent="0.3">
      <c r="A1675" s="77" t="s">
        <v>3581</v>
      </c>
      <c r="B1675" s="77" t="s">
        <v>1783</v>
      </c>
      <c r="G1675" s="77" t="s">
        <v>3498</v>
      </c>
      <c r="H1675" s="77" t="s">
        <v>77</v>
      </c>
      <c r="I1675" s="77" t="s">
        <v>1521</v>
      </c>
      <c r="J1675" s="77" t="s">
        <v>3039</v>
      </c>
      <c r="K1675" s="77" t="s">
        <v>1522</v>
      </c>
      <c r="L1675" s="77" t="s">
        <v>992</v>
      </c>
      <c r="M1675" s="77" t="s">
        <v>82</v>
      </c>
      <c r="N1675" s="77" t="s">
        <v>83</v>
      </c>
      <c r="Q1675" s="77" t="s">
        <v>111</v>
      </c>
      <c r="T1675" s="77" t="s">
        <v>1666</v>
      </c>
      <c r="U1675" s="77" t="s">
        <v>85</v>
      </c>
      <c r="V1675" s="80" t="s">
        <v>189</v>
      </c>
      <c r="X1675" s="77" t="s">
        <v>190</v>
      </c>
      <c r="Y1675" s="78" t="s">
        <v>88</v>
      </c>
      <c r="AA1675" s="77" t="s">
        <v>1568</v>
      </c>
      <c r="AB1675" s="77" t="s">
        <v>1521</v>
      </c>
      <c r="AC1675" s="77" t="s">
        <v>90</v>
      </c>
      <c r="AD1675" s="77" t="s">
        <v>91</v>
      </c>
      <c r="AE1675" s="77" t="s">
        <v>3499</v>
      </c>
    </row>
    <row r="1676" spans="1:31" x14ac:dyDescent="0.3">
      <c r="A1676" s="77" t="s">
        <v>3582</v>
      </c>
      <c r="B1676" s="77" t="s">
        <v>1785</v>
      </c>
      <c r="G1676" s="77" t="s">
        <v>3498</v>
      </c>
      <c r="H1676" s="77" t="s">
        <v>77</v>
      </c>
      <c r="I1676" s="77" t="s">
        <v>1521</v>
      </c>
      <c r="J1676" s="77" t="s">
        <v>3039</v>
      </c>
      <c r="K1676" s="77" t="s">
        <v>1522</v>
      </c>
      <c r="L1676" s="77" t="s">
        <v>992</v>
      </c>
      <c r="M1676" s="77" t="s">
        <v>82</v>
      </c>
      <c r="N1676" s="77" t="s">
        <v>83</v>
      </c>
      <c r="Q1676" s="77" t="s">
        <v>111</v>
      </c>
      <c r="T1676" s="77" t="s">
        <v>1666</v>
      </c>
      <c r="U1676" s="77" t="s">
        <v>85</v>
      </c>
      <c r="V1676" s="80" t="s">
        <v>189</v>
      </c>
      <c r="X1676" s="77" t="s">
        <v>190</v>
      </c>
      <c r="Y1676" s="78" t="s">
        <v>88</v>
      </c>
      <c r="AA1676" s="77" t="s">
        <v>1568</v>
      </c>
      <c r="AB1676" s="77" t="s">
        <v>1521</v>
      </c>
      <c r="AC1676" s="77" t="s">
        <v>90</v>
      </c>
      <c r="AD1676" s="77" t="s">
        <v>91</v>
      </c>
      <c r="AE1676" s="77" t="s">
        <v>3499</v>
      </c>
    </row>
    <row r="1677" spans="1:31" x14ac:dyDescent="0.3">
      <c r="A1677" s="77" t="s">
        <v>3583</v>
      </c>
      <c r="B1677" s="77" t="s">
        <v>1787</v>
      </c>
      <c r="G1677" s="77" t="s">
        <v>3498</v>
      </c>
      <c r="H1677" s="77" t="s">
        <v>77</v>
      </c>
      <c r="I1677" s="77" t="s">
        <v>1521</v>
      </c>
      <c r="J1677" s="77" t="s">
        <v>3039</v>
      </c>
      <c r="K1677" s="77" t="s">
        <v>1522</v>
      </c>
      <c r="L1677" s="77" t="s">
        <v>992</v>
      </c>
      <c r="M1677" s="77" t="s">
        <v>82</v>
      </c>
      <c r="N1677" s="77" t="s">
        <v>83</v>
      </c>
      <c r="Q1677" s="77" t="s">
        <v>111</v>
      </c>
      <c r="T1677" s="77" t="s">
        <v>1666</v>
      </c>
      <c r="U1677" s="77" t="s">
        <v>85</v>
      </c>
      <c r="V1677" s="80" t="s">
        <v>189</v>
      </c>
      <c r="X1677" s="77" t="s">
        <v>190</v>
      </c>
      <c r="Y1677" s="78" t="s">
        <v>88</v>
      </c>
      <c r="AA1677" s="77" t="s">
        <v>1568</v>
      </c>
      <c r="AB1677" s="77" t="s">
        <v>1521</v>
      </c>
      <c r="AC1677" s="77" t="s">
        <v>90</v>
      </c>
      <c r="AD1677" s="77" t="s">
        <v>91</v>
      </c>
      <c r="AE1677" s="77" t="s">
        <v>3499</v>
      </c>
    </row>
    <row r="1678" spans="1:31" x14ac:dyDescent="0.3">
      <c r="A1678" s="77" t="s">
        <v>3584</v>
      </c>
      <c r="B1678" s="77" t="s">
        <v>1789</v>
      </c>
      <c r="G1678" s="77" t="s">
        <v>3498</v>
      </c>
      <c r="H1678" s="77" t="s">
        <v>77</v>
      </c>
      <c r="I1678" s="77" t="s">
        <v>1521</v>
      </c>
      <c r="J1678" s="77" t="s">
        <v>3039</v>
      </c>
      <c r="K1678" s="77" t="s">
        <v>1522</v>
      </c>
      <c r="L1678" s="77" t="s">
        <v>992</v>
      </c>
      <c r="M1678" s="77" t="s">
        <v>82</v>
      </c>
      <c r="N1678" s="77" t="s">
        <v>83</v>
      </c>
      <c r="Q1678" s="77" t="s">
        <v>111</v>
      </c>
      <c r="T1678" s="77" t="s">
        <v>1666</v>
      </c>
      <c r="U1678" s="77" t="s">
        <v>85</v>
      </c>
      <c r="V1678" s="80" t="s">
        <v>189</v>
      </c>
      <c r="X1678" s="77" t="s">
        <v>190</v>
      </c>
      <c r="Y1678" s="78" t="s">
        <v>88</v>
      </c>
      <c r="AA1678" s="77" t="s">
        <v>1568</v>
      </c>
      <c r="AB1678" s="77" t="s">
        <v>1521</v>
      </c>
      <c r="AC1678" s="77" t="s">
        <v>90</v>
      </c>
      <c r="AD1678" s="77" t="s">
        <v>91</v>
      </c>
      <c r="AE1678" s="77" t="s">
        <v>3499</v>
      </c>
    </row>
    <row r="1679" spans="1:31" x14ac:dyDescent="0.3">
      <c r="A1679" s="77" t="s">
        <v>3585</v>
      </c>
      <c r="B1679" s="77" t="s">
        <v>1791</v>
      </c>
      <c r="G1679" s="77" t="s">
        <v>3498</v>
      </c>
      <c r="H1679" s="77" t="s">
        <v>77</v>
      </c>
      <c r="I1679" s="77" t="s">
        <v>1521</v>
      </c>
      <c r="J1679" s="77" t="s">
        <v>3039</v>
      </c>
      <c r="K1679" s="77" t="s">
        <v>1522</v>
      </c>
      <c r="L1679" s="77" t="s">
        <v>1792</v>
      </c>
      <c r="M1679" s="77" t="s">
        <v>82</v>
      </c>
      <c r="N1679" s="77" t="s">
        <v>83</v>
      </c>
      <c r="Q1679" s="77" t="s">
        <v>111</v>
      </c>
      <c r="T1679" s="77" t="s">
        <v>1666</v>
      </c>
      <c r="U1679" s="77" t="s">
        <v>85</v>
      </c>
      <c r="V1679" s="80" t="s">
        <v>665</v>
      </c>
      <c r="X1679" s="77" t="s">
        <v>666</v>
      </c>
      <c r="Y1679" s="78" t="s">
        <v>88</v>
      </c>
      <c r="AA1679" s="77" t="s">
        <v>1568</v>
      </c>
      <c r="AB1679" s="77" t="s">
        <v>1521</v>
      </c>
      <c r="AC1679" s="77" t="s">
        <v>90</v>
      </c>
      <c r="AD1679" s="77" t="s">
        <v>91</v>
      </c>
      <c r="AE1679" s="77" t="s">
        <v>3499</v>
      </c>
    </row>
    <row r="1680" spans="1:31" x14ac:dyDescent="0.3">
      <c r="A1680" s="77" t="s">
        <v>3586</v>
      </c>
      <c r="B1680" s="77" t="s">
        <v>1794</v>
      </c>
      <c r="G1680" s="77" t="s">
        <v>3498</v>
      </c>
      <c r="H1680" s="77" t="s">
        <v>77</v>
      </c>
      <c r="I1680" s="77" t="s">
        <v>1521</v>
      </c>
      <c r="J1680" s="77" t="s">
        <v>3039</v>
      </c>
      <c r="K1680" s="77" t="s">
        <v>1522</v>
      </c>
      <c r="L1680" s="77" t="s">
        <v>1015</v>
      </c>
      <c r="M1680" s="77" t="s">
        <v>82</v>
      </c>
      <c r="N1680" s="77" t="s">
        <v>83</v>
      </c>
      <c r="Q1680" s="77" t="s">
        <v>111</v>
      </c>
      <c r="T1680" s="77" t="s">
        <v>1666</v>
      </c>
      <c r="U1680" s="77" t="s">
        <v>85</v>
      </c>
      <c r="V1680" s="80" t="s">
        <v>196</v>
      </c>
      <c r="X1680" s="77" t="s">
        <v>197</v>
      </c>
      <c r="Y1680" s="78" t="s">
        <v>88</v>
      </c>
      <c r="AA1680" s="77" t="s">
        <v>1568</v>
      </c>
      <c r="AB1680" s="77" t="s">
        <v>1521</v>
      </c>
      <c r="AC1680" s="77" t="s">
        <v>90</v>
      </c>
      <c r="AD1680" s="77" t="s">
        <v>91</v>
      </c>
      <c r="AE1680" s="77" t="s">
        <v>3499</v>
      </c>
    </row>
    <row r="1681" spans="1:31" x14ac:dyDescent="0.3">
      <c r="A1681" s="77" t="s">
        <v>3587</v>
      </c>
      <c r="B1681" s="77" t="s">
        <v>1796</v>
      </c>
      <c r="G1681" s="77" t="s">
        <v>3498</v>
      </c>
      <c r="H1681" s="77" t="s">
        <v>77</v>
      </c>
      <c r="I1681" s="77" t="s">
        <v>1521</v>
      </c>
      <c r="J1681" s="77" t="s">
        <v>3039</v>
      </c>
      <c r="K1681" s="77" t="s">
        <v>1522</v>
      </c>
      <c r="L1681" s="77" t="s">
        <v>1015</v>
      </c>
      <c r="M1681" s="77" t="s">
        <v>82</v>
      </c>
      <c r="N1681" s="77" t="s">
        <v>83</v>
      </c>
      <c r="Q1681" s="77" t="s">
        <v>111</v>
      </c>
      <c r="T1681" s="77" t="s">
        <v>1666</v>
      </c>
      <c r="U1681" s="77" t="s">
        <v>85</v>
      </c>
      <c r="V1681" s="80" t="s">
        <v>196</v>
      </c>
      <c r="X1681" s="77" t="s">
        <v>197</v>
      </c>
      <c r="Y1681" s="78" t="s">
        <v>88</v>
      </c>
      <c r="AA1681" s="77" t="s">
        <v>1568</v>
      </c>
      <c r="AB1681" s="77" t="s">
        <v>1521</v>
      </c>
      <c r="AC1681" s="77" t="s">
        <v>90</v>
      </c>
      <c r="AD1681" s="77" t="s">
        <v>91</v>
      </c>
      <c r="AE1681" s="77" t="s">
        <v>3499</v>
      </c>
    </row>
    <row r="1682" spans="1:31" x14ac:dyDescent="0.3">
      <c r="A1682" s="77" t="s">
        <v>3588</v>
      </c>
      <c r="B1682" s="77" t="s">
        <v>1798</v>
      </c>
      <c r="G1682" s="77" t="s">
        <v>3498</v>
      </c>
      <c r="H1682" s="77" t="s">
        <v>77</v>
      </c>
      <c r="I1682" s="77" t="s">
        <v>1521</v>
      </c>
      <c r="J1682" s="77" t="s">
        <v>3039</v>
      </c>
      <c r="K1682" s="77" t="s">
        <v>1522</v>
      </c>
      <c r="L1682" s="77" t="s">
        <v>1015</v>
      </c>
      <c r="M1682" s="77" t="s">
        <v>82</v>
      </c>
      <c r="N1682" s="77" t="s">
        <v>83</v>
      </c>
      <c r="Q1682" s="77" t="s">
        <v>111</v>
      </c>
      <c r="T1682" s="77" t="s">
        <v>1666</v>
      </c>
      <c r="U1682" s="77" t="s">
        <v>85</v>
      </c>
      <c r="V1682" s="80" t="s">
        <v>196</v>
      </c>
      <c r="X1682" s="77" t="s">
        <v>197</v>
      </c>
      <c r="Y1682" s="78" t="s">
        <v>88</v>
      </c>
      <c r="AA1682" s="77" t="s">
        <v>1568</v>
      </c>
      <c r="AB1682" s="77" t="s">
        <v>1521</v>
      </c>
      <c r="AC1682" s="77" t="s">
        <v>90</v>
      </c>
      <c r="AD1682" s="77" t="s">
        <v>91</v>
      </c>
      <c r="AE1682" s="77" t="s">
        <v>3499</v>
      </c>
    </row>
    <row r="1683" spans="1:31" x14ac:dyDescent="0.3">
      <c r="A1683" s="77" t="s">
        <v>3589</v>
      </c>
      <c r="B1683" s="77" t="s">
        <v>1800</v>
      </c>
      <c r="G1683" s="77" t="s">
        <v>3498</v>
      </c>
      <c r="H1683" s="77" t="s">
        <v>77</v>
      </c>
      <c r="I1683" s="77" t="s">
        <v>1521</v>
      </c>
      <c r="J1683" s="77" t="s">
        <v>3039</v>
      </c>
      <c r="K1683" s="77" t="s">
        <v>1522</v>
      </c>
      <c r="L1683" s="77" t="s">
        <v>1015</v>
      </c>
      <c r="M1683" s="77" t="s">
        <v>82</v>
      </c>
      <c r="N1683" s="77" t="s">
        <v>83</v>
      </c>
      <c r="Q1683" s="77" t="s">
        <v>111</v>
      </c>
      <c r="T1683" s="77" t="s">
        <v>1666</v>
      </c>
      <c r="U1683" s="77" t="s">
        <v>85</v>
      </c>
      <c r="V1683" s="80" t="s">
        <v>196</v>
      </c>
      <c r="X1683" s="77" t="s">
        <v>197</v>
      </c>
      <c r="Y1683" s="78" t="s">
        <v>88</v>
      </c>
      <c r="AA1683" s="77" t="s">
        <v>1568</v>
      </c>
      <c r="AB1683" s="77" t="s">
        <v>1521</v>
      </c>
      <c r="AC1683" s="77" t="s">
        <v>90</v>
      </c>
      <c r="AD1683" s="77" t="s">
        <v>91</v>
      </c>
      <c r="AE1683" s="77" t="s">
        <v>3499</v>
      </c>
    </row>
    <row r="1684" spans="1:31" x14ac:dyDescent="0.3">
      <c r="A1684" s="77" t="s">
        <v>3590</v>
      </c>
      <c r="B1684" s="77" t="s">
        <v>1802</v>
      </c>
      <c r="G1684" s="77" t="s">
        <v>3498</v>
      </c>
      <c r="H1684" s="77" t="s">
        <v>77</v>
      </c>
      <c r="I1684" s="77" t="s">
        <v>1521</v>
      </c>
      <c r="J1684" s="77" t="s">
        <v>3039</v>
      </c>
      <c r="K1684" s="77" t="s">
        <v>1522</v>
      </c>
      <c r="L1684" s="77" t="s">
        <v>1015</v>
      </c>
      <c r="M1684" s="77" t="s">
        <v>82</v>
      </c>
      <c r="N1684" s="77" t="s">
        <v>83</v>
      </c>
      <c r="Q1684" s="77" t="s">
        <v>111</v>
      </c>
      <c r="T1684" s="77" t="s">
        <v>1666</v>
      </c>
      <c r="U1684" s="77" t="s">
        <v>85</v>
      </c>
      <c r="V1684" s="80" t="s">
        <v>196</v>
      </c>
      <c r="X1684" s="77" t="s">
        <v>197</v>
      </c>
      <c r="Y1684" s="78" t="s">
        <v>88</v>
      </c>
      <c r="AA1684" s="77" t="s">
        <v>1568</v>
      </c>
      <c r="AB1684" s="77" t="s">
        <v>1521</v>
      </c>
      <c r="AC1684" s="77" t="s">
        <v>90</v>
      </c>
      <c r="AD1684" s="77" t="s">
        <v>91</v>
      </c>
      <c r="AE1684" s="77" t="s">
        <v>3499</v>
      </c>
    </row>
    <row r="1685" spans="1:31" x14ac:dyDescent="0.3">
      <c r="A1685" s="77" t="s">
        <v>3591</v>
      </c>
      <c r="B1685" s="77" t="s">
        <v>1804</v>
      </c>
      <c r="G1685" s="77" t="s">
        <v>3498</v>
      </c>
      <c r="H1685" s="77" t="s">
        <v>77</v>
      </c>
      <c r="I1685" s="77" t="s">
        <v>1521</v>
      </c>
      <c r="J1685" s="77" t="s">
        <v>3039</v>
      </c>
      <c r="K1685" s="77" t="s">
        <v>1522</v>
      </c>
      <c r="L1685" s="77" t="s">
        <v>1805</v>
      </c>
      <c r="M1685" s="77" t="s">
        <v>82</v>
      </c>
      <c r="N1685" s="77" t="s">
        <v>83</v>
      </c>
      <c r="Q1685" s="77" t="s">
        <v>111</v>
      </c>
      <c r="T1685" s="77" t="s">
        <v>1666</v>
      </c>
      <c r="U1685" s="77" t="s">
        <v>85</v>
      </c>
      <c r="V1685" s="80" t="s">
        <v>673</v>
      </c>
      <c r="X1685" s="77" t="s">
        <v>674</v>
      </c>
      <c r="Y1685" s="78" t="s">
        <v>101</v>
      </c>
      <c r="AA1685" s="77" t="s">
        <v>1568</v>
      </c>
      <c r="AB1685" s="77" t="s">
        <v>1521</v>
      </c>
      <c r="AC1685" s="77" t="s">
        <v>90</v>
      </c>
      <c r="AD1685" s="77" t="s">
        <v>102</v>
      </c>
      <c r="AE1685" s="77" t="s">
        <v>3499</v>
      </c>
    </row>
    <row r="1686" spans="1:31" x14ac:dyDescent="0.3">
      <c r="A1686" s="77" t="s">
        <v>3592</v>
      </c>
      <c r="B1686" s="77" t="s">
        <v>1807</v>
      </c>
      <c r="G1686" s="77" t="s">
        <v>3498</v>
      </c>
      <c r="H1686" s="77" t="s">
        <v>77</v>
      </c>
      <c r="I1686" s="77" t="s">
        <v>1521</v>
      </c>
      <c r="J1686" s="77" t="s">
        <v>3039</v>
      </c>
      <c r="K1686" s="77" t="s">
        <v>1522</v>
      </c>
      <c r="L1686" s="77" t="s">
        <v>1038</v>
      </c>
      <c r="M1686" s="77" t="s">
        <v>82</v>
      </c>
      <c r="N1686" s="77" t="s">
        <v>83</v>
      </c>
      <c r="Q1686" s="77" t="s">
        <v>111</v>
      </c>
      <c r="T1686" s="77" t="s">
        <v>1666</v>
      </c>
      <c r="U1686" s="77" t="s">
        <v>85</v>
      </c>
      <c r="V1686" s="80" t="s">
        <v>201</v>
      </c>
      <c r="X1686" s="77" t="s">
        <v>202</v>
      </c>
      <c r="Y1686" s="78" t="s">
        <v>101</v>
      </c>
      <c r="AA1686" s="77" t="s">
        <v>1568</v>
      </c>
      <c r="AB1686" s="77" t="s">
        <v>1521</v>
      </c>
      <c r="AC1686" s="77" t="s">
        <v>90</v>
      </c>
      <c r="AD1686" s="77" t="s">
        <v>102</v>
      </c>
      <c r="AE1686" s="77" t="s">
        <v>3499</v>
      </c>
    </row>
    <row r="1687" spans="1:31" x14ac:dyDescent="0.3">
      <c r="A1687" s="77" t="s">
        <v>3593</v>
      </c>
      <c r="B1687" s="77" t="s">
        <v>1809</v>
      </c>
      <c r="G1687" s="77" t="s">
        <v>3498</v>
      </c>
      <c r="H1687" s="77" t="s">
        <v>77</v>
      </c>
      <c r="I1687" s="77" t="s">
        <v>1521</v>
      </c>
      <c r="J1687" s="77" t="s">
        <v>3039</v>
      </c>
      <c r="K1687" s="77" t="s">
        <v>1522</v>
      </c>
      <c r="L1687" s="77" t="s">
        <v>1038</v>
      </c>
      <c r="M1687" s="77" t="s">
        <v>82</v>
      </c>
      <c r="N1687" s="77" t="s">
        <v>83</v>
      </c>
      <c r="Q1687" s="77" t="s">
        <v>111</v>
      </c>
      <c r="T1687" s="77" t="s">
        <v>1666</v>
      </c>
      <c r="U1687" s="77" t="s">
        <v>85</v>
      </c>
      <c r="V1687" s="80" t="s">
        <v>201</v>
      </c>
      <c r="X1687" s="77" t="s">
        <v>202</v>
      </c>
      <c r="Y1687" s="78" t="s">
        <v>101</v>
      </c>
      <c r="AA1687" s="77" t="s">
        <v>1568</v>
      </c>
      <c r="AB1687" s="77" t="s">
        <v>1521</v>
      </c>
      <c r="AC1687" s="77" t="s">
        <v>90</v>
      </c>
      <c r="AD1687" s="77" t="s">
        <v>102</v>
      </c>
      <c r="AE1687" s="77" t="s">
        <v>3499</v>
      </c>
    </row>
    <row r="1688" spans="1:31" x14ac:dyDescent="0.3">
      <c r="A1688" s="77" t="s">
        <v>3594</v>
      </c>
      <c r="B1688" s="77" t="s">
        <v>1811</v>
      </c>
      <c r="G1688" s="77" t="s">
        <v>3498</v>
      </c>
      <c r="H1688" s="77" t="s">
        <v>77</v>
      </c>
      <c r="I1688" s="77" t="s">
        <v>1521</v>
      </c>
      <c r="J1688" s="77" t="s">
        <v>3039</v>
      </c>
      <c r="K1688" s="77" t="s">
        <v>1522</v>
      </c>
      <c r="L1688" s="77" t="s">
        <v>1038</v>
      </c>
      <c r="M1688" s="77" t="s">
        <v>82</v>
      </c>
      <c r="N1688" s="77" t="s">
        <v>83</v>
      </c>
      <c r="Q1688" s="77" t="s">
        <v>111</v>
      </c>
      <c r="T1688" s="77" t="s">
        <v>1666</v>
      </c>
      <c r="U1688" s="77" t="s">
        <v>85</v>
      </c>
      <c r="V1688" s="80" t="s">
        <v>201</v>
      </c>
      <c r="X1688" s="77" t="s">
        <v>202</v>
      </c>
      <c r="Y1688" s="78" t="s">
        <v>101</v>
      </c>
      <c r="AA1688" s="77" t="s">
        <v>1568</v>
      </c>
      <c r="AB1688" s="77" t="s">
        <v>1521</v>
      </c>
      <c r="AC1688" s="77" t="s">
        <v>90</v>
      </c>
      <c r="AD1688" s="77" t="s">
        <v>102</v>
      </c>
      <c r="AE1688" s="77" t="s">
        <v>3499</v>
      </c>
    </row>
    <row r="1689" spans="1:31" x14ac:dyDescent="0.3">
      <c r="A1689" s="77" t="s">
        <v>3595</v>
      </c>
      <c r="B1689" s="77" t="s">
        <v>1813</v>
      </c>
      <c r="G1689" s="77" t="s">
        <v>3498</v>
      </c>
      <c r="H1689" s="77" t="s">
        <v>77</v>
      </c>
      <c r="I1689" s="77" t="s">
        <v>1521</v>
      </c>
      <c r="J1689" s="77" t="s">
        <v>3039</v>
      </c>
      <c r="K1689" s="77" t="s">
        <v>1522</v>
      </c>
      <c r="L1689" s="77" t="s">
        <v>1038</v>
      </c>
      <c r="M1689" s="77" t="s">
        <v>82</v>
      </c>
      <c r="N1689" s="77" t="s">
        <v>83</v>
      </c>
      <c r="Q1689" s="77" t="s">
        <v>111</v>
      </c>
      <c r="T1689" s="77" t="s">
        <v>1666</v>
      </c>
      <c r="U1689" s="77" t="s">
        <v>85</v>
      </c>
      <c r="V1689" s="80" t="s">
        <v>201</v>
      </c>
      <c r="X1689" s="77" t="s">
        <v>202</v>
      </c>
      <c r="Y1689" s="78" t="s">
        <v>101</v>
      </c>
      <c r="AA1689" s="77" t="s">
        <v>1568</v>
      </c>
      <c r="AB1689" s="77" t="s">
        <v>1521</v>
      </c>
      <c r="AC1689" s="77" t="s">
        <v>90</v>
      </c>
      <c r="AD1689" s="77" t="s">
        <v>102</v>
      </c>
      <c r="AE1689" s="77" t="s">
        <v>3499</v>
      </c>
    </row>
    <row r="1690" spans="1:31" x14ac:dyDescent="0.3">
      <c r="A1690" s="77" t="s">
        <v>3596</v>
      </c>
      <c r="B1690" s="77" t="s">
        <v>1815</v>
      </c>
      <c r="G1690" s="77" t="s">
        <v>3498</v>
      </c>
      <c r="H1690" s="77" t="s">
        <v>77</v>
      </c>
      <c r="I1690" s="77" t="s">
        <v>1521</v>
      </c>
      <c r="J1690" s="77" t="s">
        <v>3039</v>
      </c>
      <c r="K1690" s="77" t="s">
        <v>1522</v>
      </c>
      <c r="L1690" s="77" t="s">
        <v>1038</v>
      </c>
      <c r="M1690" s="77" t="s">
        <v>82</v>
      </c>
      <c r="N1690" s="77" t="s">
        <v>83</v>
      </c>
      <c r="Q1690" s="77" t="s">
        <v>111</v>
      </c>
      <c r="T1690" s="77" t="s">
        <v>1666</v>
      </c>
      <c r="U1690" s="77" t="s">
        <v>85</v>
      </c>
      <c r="V1690" s="80" t="s">
        <v>201</v>
      </c>
      <c r="X1690" s="77" t="s">
        <v>202</v>
      </c>
      <c r="Y1690" s="78" t="s">
        <v>101</v>
      </c>
      <c r="AA1690" s="77" t="s">
        <v>1568</v>
      </c>
      <c r="AB1690" s="77" t="s">
        <v>1521</v>
      </c>
      <c r="AC1690" s="77" t="s">
        <v>90</v>
      </c>
      <c r="AD1690" s="77" t="s">
        <v>102</v>
      </c>
      <c r="AE1690" s="77" t="s">
        <v>3499</v>
      </c>
    </row>
    <row r="1691" spans="1:31" x14ac:dyDescent="0.3">
      <c r="A1691" s="77" t="s">
        <v>3597</v>
      </c>
      <c r="B1691" s="77" t="s">
        <v>1817</v>
      </c>
      <c r="G1691" s="77" t="s">
        <v>3498</v>
      </c>
      <c r="H1691" s="77" t="s">
        <v>77</v>
      </c>
      <c r="I1691" s="77" t="s">
        <v>1521</v>
      </c>
      <c r="J1691" s="77" t="s">
        <v>3039</v>
      </c>
      <c r="K1691" s="77" t="s">
        <v>1522</v>
      </c>
      <c r="L1691" s="77" t="s">
        <v>1818</v>
      </c>
      <c r="M1691" s="77" t="s">
        <v>82</v>
      </c>
      <c r="N1691" s="77" t="s">
        <v>83</v>
      </c>
      <c r="Q1691" s="77" t="s">
        <v>111</v>
      </c>
      <c r="T1691" s="77" t="s">
        <v>1666</v>
      </c>
      <c r="U1691" s="77" t="s">
        <v>85</v>
      </c>
      <c r="V1691" s="80" t="s">
        <v>681</v>
      </c>
      <c r="X1691" s="77" t="s">
        <v>682</v>
      </c>
      <c r="Y1691" s="78" t="s">
        <v>101</v>
      </c>
      <c r="AA1691" s="77" t="s">
        <v>1568</v>
      </c>
      <c r="AB1691" s="77" t="s">
        <v>1521</v>
      </c>
      <c r="AC1691" s="77" t="s">
        <v>90</v>
      </c>
      <c r="AD1691" s="77" t="s">
        <v>102</v>
      </c>
      <c r="AE1691" s="77" t="s">
        <v>3499</v>
      </c>
    </row>
    <row r="1692" spans="1:31" x14ac:dyDescent="0.3">
      <c r="A1692" s="77" t="s">
        <v>3598</v>
      </c>
      <c r="B1692" s="77" t="s">
        <v>1820</v>
      </c>
      <c r="G1692" s="77" t="s">
        <v>3498</v>
      </c>
      <c r="H1692" s="77" t="s">
        <v>77</v>
      </c>
      <c r="I1692" s="77" t="s">
        <v>1521</v>
      </c>
      <c r="J1692" s="77" t="s">
        <v>3039</v>
      </c>
      <c r="K1692" s="77" t="s">
        <v>1522</v>
      </c>
      <c r="L1692" s="77" t="s">
        <v>1061</v>
      </c>
      <c r="M1692" s="77" t="s">
        <v>82</v>
      </c>
      <c r="N1692" s="77" t="s">
        <v>83</v>
      </c>
      <c r="Q1692" s="77" t="s">
        <v>111</v>
      </c>
      <c r="T1692" s="77" t="s">
        <v>1666</v>
      </c>
      <c r="U1692" s="77" t="s">
        <v>85</v>
      </c>
      <c r="V1692" s="80" t="s">
        <v>206</v>
      </c>
      <c r="X1692" s="77" t="s">
        <v>207</v>
      </c>
      <c r="Y1692" s="78" t="s">
        <v>101</v>
      </c>
      <c r="AA1692" s="77" t="s">
        <v>1568</v>
      </c>
      <c r="AB1692" s="77" t="s">
        <v>1521</v>
      </c>
      <c r="AC1692" s="77" t="s">
        <v>90</v>
      </c>
      <c r="AD1692" s="77" t="s">
        <v>102</v>
      </c>
      <c r="AE1692" s="77" t="s">
        <v>3499</v>
      </c>
    </row>
    <row r="1693" spans="1:31" x14ac:dyDescent="0.3">
      <c r="A1693" s="77" t="s">
        <v>3599</v>
      </c>
      <c r="B1693" s="77" t="s">
        <v>1822</v>
      </c>
      <c r="G1693" s="77" t="s">
        <v>3498</v>
      </c>
      <c r="H1693" s="77" t="s">
        <v>77</v>
      </c>
      <c r="I1693" s="77" t="s">
        <v>1521</v>
      </c>
      <c r="J1693" s="77" t="s">
        <v>3039</v>
      </c>
      <c r="K1693" s="77" t="s">
        <v>1522</v>
      </c>
      <c r="L1693" s="77" t="s">
        <v>1061</v>
      </c>
      <c r="M1693" s="77" t="s">
        <v>82</v>
      </c>
      <c r="N1693" s="77" t="s">
        <v>83</v>
      </c>
      <c r="Q1693" s="77" t="s">
        <v>111</v>
      </c>
      <c r="T1693" s="77" t="s">
        <v>1666</v>
      </c>
      <c r="U1693" s="77" t="s">
        <v>85</v>
      </c>
      <c r="V1693" s="80" t="s">
        <v>206</v>
      </c>
      <c r="X1693" s="77" t="s">
        <v>207</v>
      </c>
      <c r="Y1693" s="78" t="s">
        <v>101</v>
      </c>
      <c r="AA1693" s="77" t="s">
        <v>1568</v>
      </c>
      <c r="AB1693" s="77" t="s">
        <v>1521</v>
      </c>
      <c r="AC1693" s="77" t="s">
        <v>90</v>
      </c>
      <c r="AD1693" s="77" t="s">
        <v>102</v>
      </c>
      <c r="AE1693" s="77" t="s">
        <v>3499</v>
      </c>
    </row>
    <row r="1694" spans="1:31" x14ac:dyDescent="0.3">
      <c r="A1694" s="77" t="s">
        <v>3600</v>
      </c>
      <c r="B1694" s="77" t="s">
        <v>1824</v>
      </c>
      <c r="G1694" s="77" t="s">
        <v>3498</v>
      </c>
      <c r="H1694" s="77" t="s">
        <v>77</v>
      </c>
      <c r="I1694" s="77" t="s">
        <v>1521</v>
      </c>
      <c r="J1694" s="77" t="s">
        <v>3039</v>
      </c>
      <c r="K1694" s="77" t="s">
        <v>1522</v>
      </c>
      <c r="L1694" s="77" t="s">
        <v>1061</v>
      </c>
      <c r="M1694" s="77" t="s">
        <v>82</v>
      </c>
      <c r="N1694" s="77" t="s">
        <v>83</v>
      </c>
      <c r="Q1694" s="77" t="s">
        <v>111</v>
      </c>
      <c r="T1694" s="77" t="s">
        <v>1666</v>
      </c>
      <c r="U1694" s="77" t="s">
        <v>85</v>
      </c>
      <c r="V1694" s="80" t="s">
        <v>206</v>
      </c>
      <c r="X1694" s="77" t="s">
        <v>207</v>
      </c>
      <c r="Y1694" s="78" t="s">
        <v>101</v>
      </c>
      <c r="AA1694" s="77" t="s">
        <v>1568</v>
      </c>
      <c r="AB1694" s="77" t="s">
        <v>1521</v>
      </c>
      <c r="AC1694" s="77" t="s">
        <v>90</v>
      </c>
      <c r="AD1694" s="77" t="s">
        <v>102</v>
      </c>
      <c r="AE1694" s="77" t="s">
        <v>3499</v>
      </c>
    </row>
    <row r="1695" spans="1:31" x14ac:dyDescent="0.3">
      <c r="A1695" s="77" t="s">
        <v>3601</v>
      </c>
      <c r="B1695" s="77" t="s">
        <v>1826</v>
      </c>
      <c r="G1695" s="77" t="s">
        <v>3498</v>
      </c>
      <c r="H1695" s="77" t="s">
        <v>77</v>
      </c>
      <c r="I1695" s="77" t="s">
        <v>1521</v>
      </c>
      <c r="J1695" s="77" t="s">
        <v>3039</v>
      </c>
      <c r="K1695" s="77" t="s">
        <v>1522</v>
      </c>
      <c r="L1695" s="77" t="s">
        <v>1061</v>
      </c>
      <c r="M1695" s="77" t="s">
        <v>82</v>
      </c>
      <c r="N1695" s="77" t="s">
        <v>83</v>
      </c>
      <c r="Q1695" s="77" t="s">
        <v>111</v>
      </c>
      <c r="T1695" s="77" t="s">
        <v>1666</v>
      </c>
      <c r="U1695" s="77" t="s">
        <v>85</v>
      </c>
      <c r="V1695" s="80" t="s">
        <v>206</v>
      </c>
      <c r="X1695" s="77" t="s">
        <v>207</v>
      </c>
      <c r="Y1695" s="78" t="s">
        <v>101</v>
      </c>
      <c r="AA1695" s="77" t="s">
        <v>1568</v>
      </c>
      <c r="AB1695" s="77" t="s">
        <v>1521</v>
      </c>
      <c r="AC1695" s="77" t="s">
        <v>90</v>
      </c>
      <c r="AD1695" s="77" t="s">
        <v>102</v>
      </c>
      <c r="AE1695" s="77" t="s">
        <v>3499</v>
      </c>
    </row>
    <row r="1696" spans="1:31" x14ac:dyDescent="0.3">
      <c r="A1696" s="77" t="s">
        <v>3602</v>
      </c>
      <c r="B1696" s="77" t="s">
        <v>1828</v>
      </c>
      <c r="G1696" s="77" t="s">
        <v>3498</v>
      </c>
      <c r="H1696" s="77" t="s">
        <v>77</v>
      </c>
      <c r="I1696" s="77" t="s">
        <v>1521</v>
      </c>
      <c r="J1696" s="77" t="s">
        <v>3039</v>
      </c>
      <c r="K1696" s="77" t="s">
        <v>1522</v>
      </c>
      <c r="L1696" s="77" t="s">
        <v>1061</v>
      </c>
      <c r="M1696" s="77" t="s">
        <v>82</v>
      </c>
      <c r="N1696" s="77" t="s">
        <v>83</v>
      </c>
      <c r="Q1696" s="77" t="s">
        <v>111</v>
      </c>
      <c r="T1696" s="77" t="s">
        <v>1666</v>
      </c>
      <c r="U1696" s="77" t="s">
        <v>85</v>
      </c>
      <c r="V1696" s="80" t="s">
        <v>206</v>
      </c>
      <c r="X1696" s="77" t="s">
        <v>207</v>
      </c>
      <c r="Y1696" s="78" t="s">
        <v>101</v>
      </c>
      <c r="AA1696" s="77" t="s">
        <v>1568</v>
      </c>
      <c r="AB1696" s="77" t="s">
        <v>1521</v>
      </c>
      <c r="AC1696" s="77" t="s">
        <v>90</v>
      </c>
      <c r="AD1696" s="77" t="s">
        <v>102</v>
      </c>
      <c r="AE1696" s="77" t="s">
        <v>3499</v>
      </c>
    </row>
    <row r="1697" spans="1:31" x14ac:dyDescent="0.3">
      <c r="A1697" s="77" t="s">
        <v>3603</v>
      </c>
      <c r="B1697" s="77" t="s">
        <v>1830</v>
      </c>
      <c r="G1697" s="77" t="s">
        <v>3498</v>
      </c>
      <c r="H1697" s="77" t="s">
        <v>77</v>
      </c>
      <c r="I1697" s="77" t="s">
        <v>1521</v>
      </c>
      <c r="J1697" s="77" t="s">
        <v>3039</v>
      </c>
      <c r="K1697" s="77" t="s">
        <v>1522</v>
      </c>
      <c r="L1697" s="77" t="s">
        <v>1831</v>
      </c>
      <c r="M1697" s="77" t="s">
        <v>82</v>
      </c>
      <c r="N1697" s="77" t="s">
        <v>83</v>
      </c>
      <c r="Q1697" s="77" t="s">
        <v>111</v>
      </c>
      <c r="T1697" s="77" t="s">
        <v>1666</v>
      </c>
      <c r="U1697" s="77" t="s">
        <v>85</v>
      </c>
      <c r="V1697" s="80" t="s">
        <v>86</v>
      </c>
      <c r="X1697" s="77" t="s">
        <v>87</v>
      </c>
      <c r="Y1697" s="78" t="s">
        <v>88</v>
      </c>
      <c r="AA1697" s="77" t="s">
        <v>1568</v>
      </c>
      <c r="AB1697" s="77" t="s">
        <v>1521</v>
      </c>
      <c r="AC1697" s="77" t="s">
        <v>90</v>
      </c>
      <c r="AD1697" s="77" t="s">
        <v>91</v>
      </c>
      <c r="AE1697" s="77" t="s">
        <v>3499</v>
      </c>
    </row>
    <row r="1698" spans="1:31" x14ac:dyDescent="0.3">
      <c r="A1698" s="77" t="s">
        <v>3604</v>
      </c>
      <c r="B1698" s="77" t="s">
        <v>1833</v>
      </c>
      <c r="G1698" s="77" t="s">
        <v>3498</v>
      </c>
      <c r="H1698" s="77" t="s">
        <v>77</v>
      </c>
      <c r="I1698" s="77" t="s">
        <v>1521</v>
      </c>
      <c r="J1698" s="77" t="s">
        <v>3039</v>
      </c>
      <c r="K1698" s="77" t="s">
        <v>1522</v>
      </c>
      <c r="L1698" s="77" t="s">
        <v>1834</v>
      </c>
      <c r="M1698" s="77" t="s">
        <v>82</v>
      </c>
      <c r="N1698" s="77" t="s">
        <v>83</v>
      </c>
      <c r="Q1698" s="77" t="s">
        <v>111</v>
      </c>
      <c r="T1698" s="77" t="s">
        <v>1666</v>
      </c>
      <c r="U1698" s="77" t="s">
        <v>85</v>
      </c>
      <c r="V1698" s="80" t="s">
        <v>86</v>
      </c>
      <c r="X1698" s="77" t="s">
        <v>87</v>
      </c>
      <c r="Y1698" s="78" t="s">
        <v>88</v>
      </c>
      <c r="AA1698" s="77" t="s">
        <v>1568</v>
      </c>
      <c r="AB1698" s="77" t="s">
        <v>1521</v>
      </c>
      <c r="AC1698" s="77" t="s">
        <v>90</v>
      </c>
      <c r="AD1698" s="77" t="s">
        <v>91</v>
      </c>
      <c r="AE1698" s="77" t="s">
        <v>3499</v>
      </c>
    </row>
    <row r="1699" spans="1:31" x14ac:dyDescent="0.3">
      <c r="A1699" s="77" t="s">
        <v>3605</v>
      </c>
      <c r="B1699" s="77" t="s">
        <v>1836</v>
      </c>
      <c r="G1699" s="77" t="s">
        <v>3498</v>
      </c>
      <c r="H1699" s="77" t="s">
        <v>77</v>
      </c>
      <c r="I1699" s="77" t="s">
        <v>1521</v>
      </c>
      <c r="J1699" s="77" t="s">
        <v>3039</v>
      </c>
      <c r="K1699" s="77" t="s">
        <v>1522</v>
      </c>
      <c r="L1699" s="77" t="s">
        <v>1837</v>
      </c>
      <c r="M1699" s="77" t="s">
        <v>82</v>
      </c>
      <c r="N1699" s="77" t="s">
        <v>83</v>
      </c>
      <c r="Q1699" s="77" t="s">
        <v>111</v>
      </c>
      <c r="T1699" s="77" t="s">
        <v>1666</v>
      </c>
      <c r="U1699" s="77" t="s">
        <v>85</v>
      </c>
      <c r="V1699" s="80" t="s">
        <v>86</v>
      </c>
      <c r="X1699" s="77" t="s">
        <v>87</v>
      </c>
      <c r="Y1699" s="78" t="s">
        <v>88</v>
      </c>
      <c r="AA1699" s="77" t="s">
        <v>1568</v>
      </c>
      <c r="AB1699" s="77" t="s">
        <v>1521</v>
      </c>
      <c r="AC1699" s="77" t="s">
        <v>90</v>
      </c>
      <c r="AD1699" s="77" t="s">
        <v>91</v>
      </c>
      <c r="AE1699" s="77" t="s">
        <v>3499</v>
      </c>
    </row>
    <row r="1700" spans="1:31" x14ac:dyDescent="0.3">
      <c r="A1700" s="77" t="s">
        <v>3606</v>
      </c>
      <c r="B1700" s="77" t="s">
        <v>1839</v>
      </c>
      <c r="G1700" s="77" t="s">
        <v>3498</v>
      </c>
      <c r="H1700" s="77" t="s">
        <v>77</v>
      </c>
      <c r="I1700" s="77" t="s">
        <v>1521</v>
      </c>
      <c r="J1700" s="77" t="s">
        <v>3039</v>
      </c>
      <c r="K1700" s="77" t="s">
        <v>1522</v>
      </c>
      <c r="L1700" s="77" t="s">
        <v>1840</v>
      </c>
      <c r="M1700" s="77" t="s">
        <v>82</v>
      </c>
      <c r="N1700" s="77" t="s">
        <v>83</v>
      </c>
      <c r="Q1700" s="77" t="s">
        <v>111</v>
      </c>
      <c r="T1700" s="77" t="s">
        <v>1666</v>
      </c>
      <c r="U1700" s="77" t="s">
        <v>85</v>
      </c>
      <c r="V1700" s="80" t="s">
        <v>86</v>
      </c>
      <c r="X1700" s="77" t="s">
        <v>87</v>
      </c>
      <c r="Y1700" s="78" t="s">
        <v>88</v>
      </c>
      <c r="AA1700" s="77" t="s">
        <v>1568</v>
      </c>
      <c r="AB1700" s="77" t="s">
        <v>1521</v>
      </c>
      <c r="AC1700" s="77" t="s">
        <v>90</v>
      </c>
      <c r="AD1700" s="77" t="s">
        <v>91</v>
      </c>
      <c r="AE1700" s="77" t="s">
        <v>3499</v>
      </c>
    </row>
    <row r="1701" spans="1:31" x14ac:dyDescent="0.3">
      <c r="A1701" s="77" t="s">
        <v>3607</v>
      </c>
      <c r="B1701" s="77" t="s">
        <v>1842</v>
      </c>
      <c r="G1701" s="77" t="s">
        <v>3498</v>
      </c>
      <c r="H1701" s="77" t="s">
        <v>77</v>
      </c>
      <c r="I1701" s="77" t="s">
        <v>1521</v>
      </c>
      <c r="J1701" s="77" t="s">
        <v>3039</v>
      </c>
      <c r="K1701" s="77" t="s">
        <v>1522</v>
      </c>
      <c r="L1701" s="77" t="s">
        <v>1843</v>
      </c>
      <c r="M1701" s="77" t="s">
        <v>82</v>
      </c>
      <c r="N1701" s="77" t="s">
        <v>83</v>
      </c>
      <c r="Q1701" s="77" t="s">
        <v>111</v>
      </c>
      <c r="T1701" s="77" t="s">
        <v>1666</v>
      </c>
      <c r="U1701" s="77" t="s">
        <v>85</v>
      </c>
      <c r="V1701" s="80" t="s">
        <v>95</v>
      </c>
      <c r="X1701" s="77" t="s">
        <v>96</v>
      </c>
      <c r="Y1701" s="78" t="s">
        <v>88</v>
      </c>
      <c r="AA1701" s="77" t="s">
        <v>1568</v>
      </c>
      <c r="AB1701" s="77" t="s">
        <v>1521</v>
      </c>
      <c r="AC1701" s="77" t="s">
        <v>90</v>
      </c>
      <c r="AD1701" s="77" t="s">
        <v>91</v>
      </c>
      <c r="AE1701" s="77" t="s">
        <v>3499</v>
      </c>
    </row>
    <row r="1702" spans="1:31" x14ac:dyDescent="0.3">
      <c r="A1702" s="77" t="s">
        <v>3608</v>
      </c>
      <c r="B1702" s="77" t="s">
        <v>1845</v>
      </c>
      <c r="G1702" s="77" t="s">
        <v>3498</v>
      </c>
      <c r="H1702" s="77" t="s">
        <v>77</v>
      </c>
      <c r="I1702" s="77" t="s">
        <v>1521</v>
      </c>
      <c r="J1702" s="77" t="s">
        <v>3039</v>
      </c>
      <c r="K1702" s="77" t="s">
        <v>1522</v>
      </c>
      <c r="L1702" s="77" t="s">
        <v>1846</v>
      </c>
      <c r="M1702" s="77" t="s">
        <v>82</v>
      </c>
      <c r="N1702" s="77" t="s">
        <v>83</v>
      </c>
      <c r="Q1702" s="77" t="s">
        <v>111</v>
      </c>
      <c r="T1702" s="77" t="s">
        <v>1666</v>
      </c>
      <c r="U1702" s="77" t="s">
        <v>85</v>
      </c>
      <c r="V1702" s="80" t="s">
        <v>95</v>
      </c>
      <c r="X1702" s="77" t="s">
        <v>96</v>
      </c>
      <c r="Y1702" s="78" t="s">
        <v>88</v>
      </c>
      <c r="AA1702" s="77" t="s">
        <v>1568</v>
      </c>
      <c r="AB1702" s="77" t="s">
        <v>1521</v>
      </c>
      <c r="AC1702" s="77" t="s">
        <v>90</v>
      </c>
      <c r="AD1702" s="77" t="s">
        <v>91</v>
      </c>
      <c r="AE1702" s="77" t="s">
        <v>3499</v>
      </c>
    </row>
    <row r="1703" spans="1:31" x14ac:dyDescent="0.3">
      <c r="A1703" s="77" t="s">
        <v>3609</v>
      </c>
      <c r="B1703" s="77" t="s">
        <v>1848</v>
      </c>
      <c r="G1703" s="77" t="s">
        <v>3498</v>
      </c>
      <c r="H1703" s="77" t="s">
        <v>77</v>
      </c>
      <c r="I1703" s="77" t="s">
        <v>1521</v>
      </c>
      <c r="J1703" s="77" t="s">
        <v>3039</v>
      </c>
      <c r="K1703" s="77" t="s">
        <v>1522</v>
      </c>
      <c r="L1703" s="77" t="s">
        <v>1849</v>
      </c>
      <c r="M1703" s="77" t="s">
        <v>82</v>
      </c>
      <c r="N1703" s="77" t="s">
        <v>83</v>
      </c>
      <c r="Q1703" s="77" t="s">
        <v>111</v>
      </c>
      <c r="T1703" s="77" t="s">
        <v>1666</v>
      </c>
      <c r="U1703" s="77" t="s">
        <v>85</v>
      </c>
      <c r="V1703" s="80" t="s">
        <v>95</v>
      </c>
      <c r="X1703" s="77" t="s">
        <v>96</v>
      </c>
      <c r="Y1703" s="78" t="s">
        <v>88</v>
      </c>
      <c r="AA1703" s="77" t="s">
        <v>1568</v>
      </c>
      <c r="AB1703" s="77" t="s">
        <v>1521</v>
      </c>
      <c r="AC1703" s="77" t="s">
        <v>90</v>
      </c>
      <c r="AD1703" s="77" t="s">
        <v>91</v>
      </c>
      <c r="AE1703" s="77" t="s">
        <v>3499</v>
      </c>
    </row>
    <row r="1704" spans="1:31" x14ac:dyDescent="0.3">
      <c r="A1704" s="77" t="s">
        <v>3610</v>
      </c>
      <c r="B1704" s="77" t="s">
        <v>1851</v>
      </c>
      <c r="G1704" s="77" t="s">
        <v>3498</v>
      </c>
      <c r="H1704" s="77" t="s">
        <v>77</v>
      </c>
      <c r="I1704" s="77" t="s">
        <v>1521</v>
      </c>
      <c r="J1704" s="77" t="s">
        <v>3039</v>
      </c>
      <c r="K1704" s="77" t="s">
        <v>1522</v>
      </c>
      <c r="L1704" s="77" t="s">
        <v>1852</v>
      </c>
      <c r="M1704" s="77" t="s">
        <v>82</v>
      </c>
      <c r="N1704" s="77" t="s">
        <v>83</v>
      </c>
      <c r="Q1704" s="77" t="s">
        <v>111</v>
      </c>
      <c r="T1704" s="77" t="s">
        <v>1666</v>
      </c>
      <c r="U1704" s="77" t="s">
        <v>85</v>
      </c>
      <c r="V1704" s="80" t="s">
        <v>95</v>
      </c>
      <c r="X1704" s="77" t="s">
        <v>96</v>
      </c>
      <c r="Y1704" s="78" t="s">
        <v>88</v>
      </c>
      <c r="AA1704" s="77" t="s">
        <v>1568</v>
      </c>
      <c r="AB1704" s="77" t="s">
        <v>1521</v>
      </c>
      <c r="AC1704" s="77" t="s">
        <v>90</v>
      </c>
      <c r="AD1704" s="77" t="s">
        <v>91</v>
      </c>
      <c r="AE1704" s="77" t="s">
        <v>3499</v>
      </c>
    </row>
    <row r="1705" spans="1:31" x14ac:dyDescent="0.3">
      <c r="A1705" s="77" t="s">
        <v>3611</v>
      </c>
      <c r="B1705" s="77" t="s">
        <v>1854</v>
      </c>
      <c r="G1705" s="77" t="s">
        <v>3498</v>
      </c>
      <c r="H1705" s="77" t="s">
        <v>77</v>
      </c>
      <c r="I1705" s="77" t="s">
        <v>1521</v>
      </c>
      <c r="J1705" s="77" t="s">
        <v>3039</v>
      </c>
      <c r="K1705" s="77" t="s">
        <v>1522</v>
      </c>
      <c r="L1705" s="77" t="s">
        <v>1855</v>
      </c>
      <c r="M1705" s="77" t="s">
        <v>82</v>
      </c>
      <c r="N1705" s="77" t="s">
        <v>83</v>
      </c>
      <c r="Q1705" s="77" t="s">
        <v>111</v>
      </c>
      <c r="T1705" s="77" t="s">
        <v>1666</v>
      </c>
      <c r="U1705" s="77" t="s">
        <v>85</v>
      </c>
      <c r="V1705" s="80" t="s">
        <v>99</v>
      </c>
      <c r="X1705" s="77" t="s">
        <v>100</v>
      </c>
      <c r="Y1705" s="78" t="s">
        <v>101</v>
      </c>
      <c r="AA1705" s="77" t="s">
        <v>1568</v>
      </c>
      <c r="AB1705" s="77" t="s">
        <v>1521</v>
      </c>
      <c r="AC1705" s="77" t="s">
        <v>90</v>
      </c>
      <c r="AD1705" s="77" t="s">
        <v>102</v>
      </c>
      <c r="AE1705" s="77" t="s">
        <v>3499</v>
      </c>
    </row>
    <row r="1706" spans="1:31" x14ac:dyDescent="0.3">
      <c r="A1706" s="77" t="s">
        <v>3612</v>
      </c>
      <c r="B1706" s="77" t="s">
        <v>1857</v>
      </c>
      <c r="G1706" s="77" t="s">
        <v>3498</v>
      </c>
      <c r="H1706" s="77" t="s">
        <v>77</v>
      </c>
      <c r="I1706" s="77" t="s">
        <v>1521</v>
      </c>
      <c r="J1706" s="77" t="s">
        <v>3039</v>
      </c>
      <c r="K1706" s="77" t="s">
        <v>1522</v>
      </c>
      <c r="L1706" s="77" t="s">
        <v>1858</v>
      </c>
      <c r="M1706" s="77" t="s">
        <v>82</v>
      </c>
      <c r="N1706" s="77" t="s">
        <v>83</v>
      </c>
      <c r="Q1706" s="77" t="s">
        <v>111</v>
      </c>
      <c r="T1706" s="77" t="s">
        <v>1666</v>
      </c>
      <c r="U1706" s="77" t="s">
        <v>85</v>
      </c>
      <c r="V1706" s="80" t="s">
        <v>99</v>
      </c>
      <c r="X1706" s="77" t="s">
        <v>100</v>
      </c>
      <c r="Y1706" s="78" t="s">
        <v>101</v>
      </c>
      <c r="AA1706" s="77" t="s">
        <v>1568</v>
      </c>
      <c r="AB1706" s="77" t="s">
        <v>1521</v>
      </c>
      <c r="AC1706" s="77" t="s">
        <v>90</v>
      </c>
      <c r="AD1706" s="77" t="s">
        <v>102</v>
      </c>
      <c r="AE1706" s="77" t="s">
        <v>3499</v>
      </c>
    </row>
    <row r="1707" spans="1:31" x14ac:dyDescent="0.3">
      <c r="A1707" s="77" t="s">
        <v>3613</v>
      </c>
      <c r="B1707" s="77" t="s">
        <v>1860</v>
      </c>
      <c r="G1707" s="77" t="s">
        <v>3498</v>
      </c>
      <c r="H1707" s="77" t="s">
        <v>77</v>
      </c>
      <c r="I1707" s="77" t="s">
        <v>1521</v>
      </c>
      <c r="J1707" s="77" t="s">
        <v>3039</v>
      </c>
      <c r="K1707" s="77" t="s">
        <v>1522</v>
      </c>
      <c r="L1707" s="77" t="s">
        <v>1861</v>
      </c>
      <c r="M1707" s="77" t="s">
        <v>82</v>
      </c>
      <c r="N1707" s="77" t="s">
        <v>83</v>
      </c>
      <c r="Q1707" s="77" t="s">
        <v>111</v>
      </c>
      <c r="T1707" s="77" t="s">
        <v>1666</v>
      </c>
      <c r="U1707" s="77" t="s">
        <v>85</v>
      </c>
      <c r="V1707" s="80" t="s">
        <v>99</v>
      </c>
      <c r="X1707" s="77" t="s">
        <v>100</v>
      </c>
      <c r="Y1707" s="78" t="s">
        <v>101</v>
      </c>
      <c r="AA1707" s="77" t="s">
        <v>1568</v>
      </c>
      <c r="AB1707" s="77" t="s">
        <v>1521</v>
      </c>
      <c r="AC1707" s="77" t="s">
        <v>90</v>
      </c>
      <c r="AD1707" s="77" t="s">
        <v>102</v>
      </c>
      <c r="AE1707" s="77" t="s">
        <v>3499</v>
      </c>
    </row>
    <row r="1708" spans="1:31" x14ac:dyDescent="0.3">
      <c r="A1708" s="77" t="s">
        <v>3614</v>
      </c>
      <c r="B1708" s="77" t="s">
        <v>1863</v>
      </c>
      <c r="G1708" s="77" t="s">
        <v>3498</v>
      </c>
      <c r="H1708" s="77" t="s">
        <v>77</v>
      </c>
      <c r="I1708" s="77" t="s">
        <v>1521</v>
      </c>
      <c r="J1708" s="77" t="s">
        <v>3039</v>
      </c>
      <c r="K1708" s="77" t="s">
        <v>1522</v>
      </c>
      <c r="L1708" s="77" t="s">
        <v>1864</v>
      </c>
      <c r="M1708" s="77" t="s">
        <v>82</v>
      </c>
      <c r="N1708" s="77" t="s">
        <v>83</v>
      </c>
      <c r="Q1708" s="77" t="s">
        <v>111</v>
      </c>
      <c r="T1708" s="77" t="s">
        <v>1666</v>
      </c>
      <c r="U1708" s="77" t="s">
        <v>85</v>
      </c>
      <c r="V1708" s="80" t="s">
        <v>99</v>
      </c>
      <c r="X1708" s="77" t="s">
        <v>100</v>
      </c>
      <c r="Y1708" s="78" t="s">
        <v>101</v>
      </c>
      <c r="AA1708" s="77" t="s">
        <v>1568</v>
      </c>
      <c r="AB1708" s="77" t="s">
        <v>1521</v>
      </c>
      <c r="AC1708" s="77" t="s">
        <v>90</v>
      </c>
      <c r="AD1708" s="77" t="s">
        <v>102</v>
      </c>
      <c r="AE1708" s="77" t="s">
        <v>3499</v>
      </c>
    </row>
    <row r="1709" spans="1:31" x14ac:dyDescent="0.3">
      <c r="A1709" s="77" t="s">
        <v>3615</v>
      </c>
      <c r="B1709" s="77" t="s">
        <v>1866</v>
      </c>
      <c r="G1709" s="77" t="s">
        <v>3498</v>
      </c>
      <c r="H1709" s="77" t="s">
        <v>77</v>
      </c>
      <c r="I1709" s="77" t="s">
        <v>1521</v>
      </c>
      <c r="J1709" s="77" t="s">
        <v>3039</v>
      </c>
      <c r="K1709" s="77" t="s">
        <v>1522</v>
      </c>
      <c r="L1709" s="77" t="s">
        <v>1867</v>
      </c>
      <c r="M1709" s="77" t="s">
        <v>82</v>
      </c>
      <c r="N1709" s="77" t="s">
        <v>83</v>
      </c>
      <c r="Q1709" s="77" t="s">
        <v>111</v>
      </c>
      <c r="T1709" s="77" t="s">
        <v>1666</v>
      </c>
      <c r="U1709" s="77" t="s">
        <v>85</v>
      </c>
      <c r="V1709" s="80" t="s">
        <v>105</v>
      </c>
      <c r="X1709" s="77" t="s">
        <v>106</v>
      </c>
      <c r="Y1709" s="78" t="s">
        <v>101</v>
      </c>
      <c r="AA1709" s="77" t="s">
        <v>1568</v>
      </c>
      <c r="AB1709" s="77" t="s">
        <v>1521</v>
      </c>
      <c r="AC1709" s="77" t="s">
        <v>90</v>
      </c>
      <c r="AD1709" s="77" t="s">
        <v>102</v>
      </c>
      <c r="AE1709" s="77" t="s">
        <v>3499</v>
      </c>
    </row>
    <row r="1710" spans="1:31" x14ac:dyDescent="0.3">
      <c r="A1710" s="77" t="s">
        <v>3616</v>
      </c>
      <c r="B1710" s="77" t="s">
        <v>1869</v>
      </c>
      <c r="G1710" s="77" t="s">
        <v>3498</v>
      </c>
      <c r="H1710" s="77" t="s">
        <v>77</v>
      </c>
      <c r="I1710" s="77" t="s">
        <v>1521</v>
      </c>
      <c r="J1710" s="77" t="s">
        <v>3039</v>
      </c>
      <c r="K1710" s="77" t="s">
        <v>1522</v>
      </c>
      <c r="L1710" s="77" t="s">
        <v>1870</v>
      </c>
      <c r="M1710" s="77" t="s">
        <v>82</v>
      </c>
      <c r="N1710" s="77" t="s">
        <v>83</v>
      </c>
      <c r="Q1710" s="77" t="s">
        <v>111</v>
      </c>
      <c r="T1710" s="77" t="s">
        <v>1666</v>
      </c>
      <c r="U1710" s="77" t="s">
        <v>85</v>
      </c>
      <c r="V1710" s="80" t="s">
        <v>105</v>
      </c>
      <c r="X1710" s="77" t="s">
        <v>106</v>
      </c>
      <c r="Y1710" s="78" t="s">
        <v>101</v>
      </c>
      <c r="AA1710" s="77" t="s">
        <v>1568</v>
      </c>
      <c r="AB1710" s="77" t="s">
        <v>1521</v>
      </c>
      <c r="AC1710" s="77" t="s">
        <v>90</v>
      </c>
      <c r="AD1710" s="77" t="s">
        <v>102</v>
      </c>
      <c r="AE1710" s="77" t="s">
        <v>3499</v>
      </c>
    </row>
    <row r="1711" spans="1:31" x14ac:dyDescent="0.3">
      <c r="A1711" s="77" t="s">
        <v>3617</v>
      </c>
      <c r="B1711" s="77" t="s">
        <v>1872</v>
      </c>
      <c r="G1711" s="77" t="s">
        <v>3498</v>
      </c>
      <c r="H1711" s="77" t="s">
        <v>77</v>
      </c>
      <c r="I1711" s="77" t="s">
        <v>1521</v>
      </c>
      <c r="J1711" s="77" t="s">
        <v>3039</v>
      </c>
      <c r="K1711" s="77" t="s">
        <v>1522</v>
      </c>
      <c r="L1711" s="77" t="s">
        <v>1873</v>
      </c>
      <c r="M1711" s="77" t="s">
        <v>82</v>
      </c>
      <c r="N1711" s="77" t="s">
        <v>83</v>
      </c>
      <c r="Q1711" s="77" t="s">
        <v>111</v>
      </c>
      <c r="T1711" s="77" t="s">
        <v>1666</v>
      </c>
      <c r="U1711" s="77" t="s">
        <v>85</v>
      </c>
      <c r="V1711" s="80" t="s">
        <v>105</v>
      </c>
      <c r="X1711" s="77" t="s">
        <v>106</v>
      </c>
      <c r="Y1711" s="78" t="s">
        <v>101</v>
      </c>
      <c r="AA1711" s="77" t="s">
        <v>1568</v>
      </c>
      <c r="AB1711" s="77" t="s">
        <v>1521</v>
      </c>
      <c r="AC1711" s="77" t="s">
        <v>90</v>
      </c>
      <c r="AD1711" s="77" t="s">
        <v>102</v>
      </c>
      <c r="AE1711" s="77" t="s">
        <v>3499</v>
      </c>
    </row>
    <row r="1712" spans="1:31" x14ac:dyDescent="0.3">
      <c r="A1712" s="77" t="s">
        <v>3618</v>
      </c>
      <c r="B1712" s="77" t="s">
        <v>1875</v>
      </c>
      <c r="G1712" s="77" t="s">
        <v>3498</v>
      </c>
      <c r="H1712" s="77" t="s">
        <v>77</v>
      </c>
      <c r="I1712" s="77" t="s">
        <v>1521</v>
      </c>
      <c r="J1712" s="77" t="s">
        <v>3039</v>
      </c>
      <c r="K1712" s="77" t="s">
        <v>1522</v>
      </c>
      <c r="L1712" s="77" t="s">
        <v>1876</v>
      </c>
      <c r="M1712" s="77" t="s">
        <v>82</v>
      </c>
      <c r="N1712" s="77" t="s">
        <v>83</v>
      </c>
      <c r="Q1712" s="77" t="s">
        <v>111</v>
      </c>
      <c r="T1712" s="77" t="s">
        <v>1666</v>
      </c>
      <c r="U1712" s="77" t="s">
        <v>85</v>
      </c>
      <c r="V1712" s="80" t="s">
        <v>105</v>
      </c>
      <c r="X1712" s="77" t="s">
        <v>106</v>
      </c>
      <c r="Y1712" s="78" t="s">
        <v>101</v>
      </c>
      <c r="AA1712" s="77" t="s">
        <v>1568</v>
      </c>
      <c r="AB1712" s="77" t="s">
        <v>1521</v>
      </c>
      <c r="AC1712" s="77" t="s">
        <v>90</v>
      </c>
      <c r="AD1712" s="77" t="s">
        <v>102</v>
      </c>
      <c r="AE1712" s="77" t="s">
        <v>3499</v>
      </c>
    </row>
    <row r="1713" spans="1:32" x14ac:dyDescent="0.3">
      <c r="A1713" s="77" t="s">
        <v>3619</v>
      </c>
      <c r="B1713" s="77" t="s">
        <v>1878</v>
      </c>
      <c r="G1713" s="77" t="s">
        <v>3498</v>
      </c>
      <c r="H1713" s="77" t="s">
        <v>77</v>
      </c>
      <c r="I1713" s="77" t="s">
        <v>1521</v>
      </c>
      <c r="J1713" s="77" t="s">
        <v>3039</v>
      </c>
      <c r="K1713" s="77" t="s">
        <v>1522</v>
      </c>
      <c r="L1713" s="77" t="s">
        <v>1879</v>
      </c>
      <c r="M1713" s="77" t="s">
        <v>82</v>
      </c>
      <c r="N1713" s="77" t="s">
        <v>83</v>
      </c>
      <c r="Q1713" s="77" t="s">
        <v>111</v>
      </c>
      <c r="T1713" s="77" t="s">
        <v>1666</v>
      </c>
      <c r="U1713" s="77" t="s">
        <v>85</v>
      </c>
      <c r="V1713" s="80" t="s">
        <v>86</v>
      </c>
      <c r="X1713" s="77" t="s">
        <v>87</v>
      </c>
      <c r="Y1713" s="78" t="s">
        <v>88</v>
      </c>
      <c r="AA1713" s="77" t="s">
        <v>1568</v>
      </c>
      <c r="AB1713" s="77" t="s">
        <v>1521</v>
      </c>
      <c r="AC1713" s="77" t="s">
        <v>90</v>
      </c>
      <c r="AD1713" s="77" t="s">
        <v>91</v>
      </c>
      <c r="AE1713" s="77" t="s">
        <v>3499</v>
      </c>
    </row>
    <row r="1714" spans="1:32" x14ac:dyDescent="0.3">
      <c r="A1714" s="77" t="s">
        <v>3620</v>
      </c>
      <c r="B1714" s="77" t="s">
        <v>1881</v>
      </c>
      <c r="G1714" s="77" t="s">
        <v>3498</v>
      </c>
      <c r="H1714" s="77" t="s">
        <v>77</v>
      </c>
      <c r="I1714" s="77" t="s">
        <v>1521</v>
      </c>
      <c r="J1714" s="77" t="s">
        <v>3039</v>
      </c>
      <c r="K1714" s="77" t="s">
        <v>1522</v>
      </c>
      <c r="L1714" s="77" t="s">
        <v>1879</v>
      </c>
      <c r="M1714" s="77" t="s">
        <v>82</v>
      </c>
      <c r="N1714" s="77" t="s">
        <v>83</v>
      </c>
      <c r="Q1714" s="77" t="s">
        <v>111</v>
      </c>
      <c r="T1714" s="77" t="s">
        <v>1666</v>
      </c>
      <c r="U1714" s="77" t="s">
        <v>85</v>
      </c>
      <c r="V1714" s="80" t="s">
        <v>86</v>
      </c>
      <c r="X1714" s="77" t="s">
        <v>87</v>
      </c>
      <c r="Y1714" s="78" t="s">
        <v>88</v>
      </c>
      <c r="AA1714" s="77" t="s">
        <v>1568</v>
      </c>
      <c r="AB1714" s="77" t="s">
        <v>1521</v>
      </c>
      <c r="AC1714" s="77" t="s">
        <v>90</v>
      </c>
      <c r="AD1714" s="77" t="s">
        <v>91</v>
      </c>
      <c r="AE1714" s="77" t="s">
        <v>3499</v>
      </c>
    </row>
    <row r="1715" spans="1:32" hidden="1" x14ac:dyDescent="0.3">
      <c r="A1715" s="77" t="s">
        <v>3621</v>
      </c>
      <c r="B1715" s="77" t="s">
        <v>1883</v>
      </c>
      <c r="G1715" s="77" t="s">
        <v>3498</v>
      </c>
      <c r="H1715" s="77" t="s">
        <v>77</v>
      </c>
      <c r="I1715" s="77" t="s">
        <v>1521</v>
      </c>
      <c r="J1715" s="77" t="s">
        <v>3039</v>
      </c>
      <c r="K1715" s="77" t="s">
        <v>1522</v>
      </c>
      <c r="L1715" s="77" t="s">
        <v>1879</v>
      </c>
      <c r="M1715" s="77" t="s">
        <v>82</v>
      </c>
      <c r="N1715" s="77" t="s">
        <v>83</v>
      </c>
      <c r="Q1715" s="77" t="s">
        <v>111</v>
      </c>
      <c r="T1715" s="77" t="s">
        <v>1666</v>
      </c>
      <c r="U1715" s="77" t="s">
        <v>85</v>
      </c>
      <c r="V1715" s="80" t="s">
        <v>86</v>
      </c>
      <c r="W1715" s="79">
        <v>46204.549928819448</v>
      </c>
      <c r="X1715" s="77" t="s">
        <v>87</v>
      </c>
      <c r="Y1715" s="78" t="s">
        <v>88</v>
      </c>
      <c r="AA1715" s="77" t="s">
        <v>1568</v>
      </c>
      <c r="AB1715" s="77" t="s">
        <v>1521</v>
      </c>
      <c r="AC1715" s="77" t="s">
        <v>114</v>
      </c>
      <c r="AD1715" s="77" t="s">
        <v>91</v>
      </c>
      <c r="AE1715" s="77" t="s">
        <v>3499</v>
      </c>
      <c r="AF1715" s="77" t="s">
        <v>2706</v>
      </c>
    </row>
    <row r="1716" spans="1:32" x14ac:dyDescent="0.3">
      <c r="A1716" s="77" t="s">
        <v>3622</v>
      </c>
      <c r="B1716" s="77" t="s">
        <v>1885</v>
      </c>
      <c r="G1716" s="77" t="s">
        <v>3498</v>
      </c>
      <c r="H1716" s="77" t="s">
        <v>77</v>
      </c>
      <c r="I1716" s="77" t="s">
        <v>1521</v>
      </c>
      <c r="J1716" s="77" t="s">
        <v>3039</v>
      </c>
      <c r="K1716" s="77" t="s">
        <v>1522</v>
      </c>
      <c r="L1716" s="77" t="s">
        <v>1886</v>
      </c>
      <c r="M1716" s="77" t="s">
        <v>82</v>
      </c>
      <c r="N1716" s="77" t="s">
        <v>83</v>
      </c>
      <c r="Q1716" s="77" t="s">
        <v>111</v>
      </c>
      <c r="T1716" s="77" t="s">
        <v>1666</v>
      </c>
      <c r="U1716" s="77" t="s">
        <v>85</v>
      </c>
      <c r="V1716" s="80" t="s">
        <v>86</v>
      </c>
      <c r="X1716" s="77" t="s">
        <v>87</v>
      </c>
      <c r="Y1716" s="78" t="s">
        <v>88</v>
      </c>
      <c r="AA1716" s="77" t="s">
        <v>1568</v>
      </c>
      <c r="AB1716" s="77" t="s">
        <v>1521</v>
      </c>
      <c r="AC1716" s="77" t="s">
        <v>90</v>
      </c>
      <c r="AD1716" s="77" t="s">
        <v>91</v>
      </c>
      <c r="AE1716" s="77" t="s">
        <v>3499</v>
      </c>
    </row>
    <row r="1717" spans="1:32" x14ac:dyDescent="0.3">
      <c r="A1717" s="77" t="s">
        <v>3623</v>
      </c>
      <c r="B1717" s="77" t="s">
        <v>1888</v>
      </c>
      <c r="G1717" s="77" t="s">
        <v>3498</v>
      </c>
      <c r="H1717" s="77" t="s">
        <v>77</v>
      </c>
      <c r="I1717" s="77" t="s">
        <v>1521</v>
      </c>
      <c r="J1717" s="77" t="s">
        <v>3039</v>
      </c>
      <c r="K1717" s="77" t="s">
        <v>1522</v>
      </c>
      <c r="L1717" s="77" t="s">
        <v>1889</v>
      </c>
      <c r="M1717" s="77" t="s">
        <v>82</v>
      </c>
      <c r="N1717" s="77" t="s">
        <v>83</v>
      </c>
      <c r="Q1717" s="77" t="s">
        <v>111</v>
      </c>
      <c r="T1717" s="77" t="s">
        <v>1666</v>
      </c>
      <c r="U1717" s="77" t="s">
        <v>85</v>
      </c>
      <c r="V1717" s="80" t="s">
        <v>95</v>
      </c>
      <c r="X1717" s="77" t="s">
        <v>96</v>
      </c>
      <c r="Y1717" s="78" t="s">
        <v>88</v>
      </c>
      <c r="AA1717" s="77" t="s">
        <v>1568</v>
      </c>
      <c r="AB1717" s="77" t="s">
        <v>1521</v>
      </c>
      <c r="AC1717" s="77" t="s">
        <v>90</v>
      </c>
      <c r="AD1717" s="77" t="s">
        <v>91</v>
      </c>
      <c r="AE1717" s="77" t="s">
        <v>3499</v>
      </c>
    </row>
    <row r="1718" spans="1:32" x14ac:dyDescent="0.3">
      <c r="A1718" s="77" t="s">
        <v>3624</v>
      </c>
      <c r="B1718" s="77" t="s">
        <v>1891</v>
      </c>
      <c r="G1718" s="77" t="s">
        <v>3498</v>
      </c>
      <c r="H1718" s="77" t="s">
        <v>77</v>
      </c>
      <c r="I1718" s="77" t="s">
        <v>1521</v>
      </c>
      <c r="J1718" s="77" t="s">
        <v>3039</v>
      </c>
      <c r="K1718" s="77" t="s">
        <v>1522</v>
      </c>
      <c r="L1718" s="77" t="s">
        <v>1889</v>
      </c>
      <c r="M1718" s="77" t="s">
        <v>82</v>
      </c>
      <c r="N1718" s="77" t="s">
        <v>83</v>
      </c>
      <c r="Q1718" s="77" t="s">
        <v>111</v>
      </c>
      <c r="T1718" s="77" t="s">
        <v>1666</v>
      </c>
      <c r="U1718" s="77" t="s">
        <v>85</v>
      </c>
      <c r="V1718" s="80" t="s">
        <v>95</v>
      </c>
      <c r="X1718" s="77" t="s">
        <v>96</v>
      </c>
      <c r="Y1718" s="78" t="s">
        <v>88</v>
      </c>
      <c r="AA1718" s="77" t="s">
        <v>1568</v>
      </c>
      <c r="AB1718" s="77" t="s">
        <v>1521</v>
      </c>
      <c r="AC1718" s="77" t="s">
        <v>90</v>
      </c>
      <c r="AD1718" s="77" t="s">
        <v>91</v>
      </c>
      <c r="AE1718" s="77" t="s">
        <v>3499</v>
      </c>
    </row>
    <row r="1719" spans="1:32" hidden="1" x14ac:dyDescent="0.3">
      <c r="A1719" s="77" t="s">
        <v>3625</v>
      </c>
      <c r="B1719" s="77" t="s">
        <v>1893</v>
      </c>
      <c r="G1719" s="77" t="s">
        <v>3498</v>
      </c>
      <c r="H1719" s="77" t="s">
        <v>77</v>
      </c>
      <c r="I1719" s="77" t="s">
        <v>1521</v>
      </c>
      <c r="J1719" s="77" t="s">
        <v>3039</v>
      </c>
      <c r="K1719" s="77" t="s">
        <v>1522</v>
      </c>
      <c r="L1719" s="77" t="s">
        <v>1889</v>
      </c>
      <c r="M1719" s="77" t="s">
        <v>82</v>
      </c>
      <c r="N1719" s="77" t="s">
        <v>83</v>
      </c>
      <c r="Q1719" s="77" t="s">
        <v>111</v>
      </c>
      <c r="T1719" s="77" t="s">
        <v>1666</v>
      </c>
      <c r="U1719" s="77" t="s">
        <v>85</v>
      </c>
      <c r="V1719" s="77" t="s">
        <v>95</v>
      </c>
      <c r="W1719" s="79">
        <v>46204.550786111111</v>
      </c>
      <c r="X1719" s="77" t="s">
        <v>96</v>
      </c>
      <c r="Y1719" s="78" t="s">
        <v>88</v>
      </c>
      <c r="AA1719" s="77" t="s">
        <v>1568</v>
      </c>
      <c r="AB1719" s="77" t="s">
        <v>1521</v>
      </c>
      <c r="AC1719" s="77" t="s">
        <v>114</v>
      </c>
      <c r="AD1719" s="77" t="s">
        <v>91</v>
      </c>
      <c r="AE1719" s="77" t="s">
        <v>3499</v>
      </c>
      <c r="AF1719" s="77" t="s">
        <v>2706</v>
      </c>
    </row>
    <row r="1720" spans="1:32" x14ac:dyDescent="0.3">
      <c r="A1720" s="77" t="s">
        <v>3626</v>
      </c>
      <c r="B1720" s="77" t="s">
        <v>1895</v>
      </c>
      <c r="G1720" s="77" t="s">
        <v>3498</v>
      </c>
      <c r="H1720" s="77" t="s">
        <v>77</v>
      </c>
      <c r="I1720" s="77" t="s">
        <v>1521</v>
      </c>
      <c r="J1720" s="77" t="s">
        <v>3039</v>
      </c>
      <c r="K1720" s="77" t="s">
        <v>1522</v>
      </c>
      <c r="L1720" s="77" t="s">
        <v>1896</v>
      </c>
      <c r="M1720" s="77" t="s">
        <v>82</v>
      </c>
      <c r="N1720" s="77" t="s">
        <v>83</v>
      </c>
      <c r="Q1720" s="77" t="s">
        <v>111</v>
      </c>
      <c r="T1720" s="77" t="s">
        <v>1666</v>
      </c>
      <c r="U1720" s="77" t="s">
        <v>85</v>
      </c>
      <c r="V1720" s="80" t="s">
        <v>95</v>
      </c>
      <c r="X1720" s="77" t="s">
        <v>96</v>
      </c>
      <c r="Y1720" s="78" t="s">
        <v>88</v>
      </c>
      <c r="AA1720" s="77" t="s">
        <v>1568</v>
      </c>
      <c r="AB1720" s="77" t="s">
        <v>1521</v>
      </c>
      <c r="AC1720" s="77" t="s">
        <v>90</v>
      </c>
      <c r="AD1720" s="77" t="s">
        <v>91</v>
      </c>
      <c r="AE1720" s="77" t="s">
        <v>3499</v>
      </c>
    </row>
    <row r="1721" spans="1:32" x14ac:dyDescent="0.3">
      <c r="A1721" s="77" t="s">
        <v>3627</v>
      </c>
      <c r="B1721" s="77" t="s">
        <v>1898</v>
      </c>
      <c r="G1721" s="77" t="s">
        <v>3498</v>
      </c>
      <c r="H1721" s="77" t="s">
        <v>77</v>
      </c>
      <c r="I1721" s="77" t="s">
        <v>1521</v>
      </c>
      <c r="J1721" s="77" t="s">
        <v>3039</v>
      </c>
      <c r="K1721" s="77" t="s">
        <v>1522</v>
      </c>
      <c r="L1721" s="77" t="s">
        <v>1899</v>
      </c>
      <c r="M1721" s="77" t="s">
        <v>82</v>
      </c>
      <c r="N1721" s="77" t="s">
        <v>83</v>
      </c>
      <c r="Q1721" s="77" t="s">
        <v>111</v>
      </c>
      <c r="T1721" s="77" t="s">
        <v>1666</v>
      </c>
      <c r="U1721" s="77" t="s">
        <v>85</v>
      </c>
      <c r="V1721" s="80" t="s">
        <v>99</v>
      </c>
      <c r="X1721" s="77" t="s">
        <v>100</v>
      </c>
      <c r="Y1721" s="78" t="s">
        <v>101</v>
      </c>
      <c r="AA1721" s="77" t="s">
        <v>1568</v>
      </c>
      <c r="AB1721" s="77" t="s">
        <v>1521</v>
      </c>
      <c r="AC1721" s="77" t="s">
        <v>90</v>
      </c>
      <c r="AD1721" s="77" t="s">
        <v>102</v>
      </c>
      <c r="AE1721" s="77" t="s">
        <v>3499</v>
      </c>
    </row>
    <row r="1722" spans="1:32" x14ac:dyDescent="0.3">
      <c r="A1722" s="77" t="s">
        <v>3628</v>
      </c>
      <c r="B1722" s="77" t="s">
        <v>1901</v>
      </c>
      <c r="G1722" s="77" t="s">
        <v>3498</v>
      </c>
      <c r="H1722" s="77" t="s">
        <v>77</v>
      </c>
      <c r="I1722" s="77" t="s">
        <v>1521</v>
      </c>
      <c r="J1722" s="77" t="s">
        <v>3039</v>
      </c>
      <c r="K1722" s="77" t="s">
        <v>1522</v>
      </c>
      <c r="L1722" s="77" t="s">
        <v>1899</v>
      </c>
      <c r="M1722" s="77" t="s">
        <v>82</v>
      </c>
      <c r="N1722" s="77" t="s">
        <v>83</v>
      </c>
      <c r="Q1722" s="77" t="s">
        <v>111</v>
      </c>
      <c r="T1722" s="77" t="s">
        <v>1666</v>
      </c>
      <c r="U1722" s="77" t="s">
        <v>85</v>
      </c>
      <c r="V1722" s="80" t="s">
        <v>99</v>
      </c>
      <c r="X1722" s="77" t="s">
        <v>100</v>
      </c>
      <c r="Y1722" s="78" t="s">
        <v>101</v>
      </c>
      <c r="AA1722" s="77" t="s">
        <v>1568</v>
      </c>
      <c r="AB1722" s="77" t="s">
        <v>1521</v>
      </c>
      <c r="AC1722" s="77" t="s">
        <v>90</v>
      </c>
      <c r="AD1722" s="77" t="s">
        <v>102</v>
      </c>
      <c r="AE1722" s="77" t="s">
        <v>3499</v>
      </c>
    </row>
    <row r="1723" spans="1:32" hidden="1" x14ac:dyDescent="0.3">
      <c r="A1723" s="77" t="s">
        <v>3629</v>
      </c>
      <c r="B1723" s="77" t="s">
        <v>1903</v>
      </c>
      <c r="G1723" s="77" t="s">
        <v>3498</v>
      </c>
      <c r="H1723" s="77" t="s">
        <v>77</v>
      </c>
      <c r="I1723" s="77" t="s">
        <v>1521</v>
      </c>
      <c r="J1723" s="77" t="s">
        <v>3039</v>
      </c>
      <c r="K1723" s="77" t="s">
        <v>1522</v>
      </c>
      <c r="L1723" s="77" t="s">
        <v>1899</v>
      </c>
      <c r="M1723" s="77" t="s">
        <v>82</v>
      </c>
      <c r="N1723" s="77" t="s">
        <v>83</v>
      </c>
      <c r="Q1723" s="77" t="s">
        <v>111</v>
      </c>
      <c r="T1723" s="77" t="s">
        <v>1666</v>
      </c>
      <c r="U1723" s="77" t="s">
        <v>85</v>
      </c>
      <c r="V1723" s="77" t="s">
        <v>99</v>
      </c>
      <c r="W1723" s="79">
        <v>46204.551267476854</v>
      </c>
      <c r="X1723" s="77" t="s">
        <v>100</v>
      </c>
      <c r="Y1723" s="78" t="s">
        <v>101</v>
      </c>
      <c r="AA1723" s="77" t="s">
        <v>1568</v>
      </c>
      <c r="AB1723" s="77" t="s">
        <v>1521</v>
      </c>
      <c r="AC1723" s="77" t="s">
        <v>114</v>
      </c>
      <c r="AD1723" s="77" t="s">
        <v>102</v>
      </c>
      <c r="AE1723" s="77" t="s">
        <v>3499</v>
      </c>
      <c r="AF1723" s="77" t="s">
        <v>2706</v>
      </c>
    </row>
    <row r="1724" spans="1:32" x14ac:dyDescent="0.3">
      <c r="A1724" s="77" t="s">
        <v>3630</v>
      </c>
      <c r="B1724" s="77" t="s">
        <v>1905</v>
      </c>
      <c r="G1724" s="77" t="s">
        <v>3498</v>
      </c>
      <c r="H1724" s="77" t="s">
        <v>77</v>
      </c>
      <c r="I1724" s="77" t="s">
        <v>1521</v>
      </c>
      <c r="J1724" s="77" t="s">
        <v>3039</v>
      </c>
      <c r="K1724" s="77" t="s">
        <v>1522</v>
      </c>
      <c r="L1724" s="77" t="s">
        <v>1906</v>
      </c>
      <c r="M1724" s="77" t="s">
        <v>82</v>
      </c>
      <c r="N1724" s="77" t="s">
        <v>83</v>
      </c>
      <c r="Q1724" s="77" t="s">
        <v>111</v>
      </c>
      <c r="T1724" s="77" t="s">
        <v>1666</v>
      </c>
      <c r="U1724" s="77" t="s">
        <v>85</v>
      </c>
      <c r="V1724" s="80" t="s">
        <v>99</v>
      </c>
      <c r="X1724" s="77" t="s">
        <v>100</v>
      </c>
      <c r="Y1724" s="78" t="s">
        <v>101</v>
      </c>
      <c r="AA1724" s="77" t="s">
        <v>1568</v>
      </c>
      <c r="AB1724" s="77" t="s">
        <v>1521</v>
      </c>
      <c r="AC1724" s="77" t="s">
        <v>90</v>
      </c>
      <c r="AD1724" s="77" t="s">
        <v>102</v>
      </c>
      <c r="AE1724" s="77" t="s">
        <v>3499</v>
      </c>
    </row>
    <row r="1725" spans="1:32" x14ac:dyDescent="0.3">
      <c r="A1725" s="77" t="s">
        <v>3631</v>
      </c>
      <c r="B1725" s="77" t="s">
        <v>1908</v>
      </c>
      <c r="G1725" s="77" t="s">
        <v>3498</v>
      </c>
      <c r="H1725" s="77" t="s">
        <v>77</v>
      </c>
      <c r="I1725" s="77" t="s">
        <v>1521</v>
      </c>
      <c r="J1725" s="77" t="s">
        <v>3039</v>
      </c>
      <c r="K1725" s="77" t="s">
        <v>1522</v>
      </c>
      <c r="L1725" s="77" t="s">
        <v>1909</v>
      </c>
      <c r="M1725" s="77" t="s">
        <v>82</v>
      </c>
      <c r="N1725" s="77" t="s">
        <v>83</v>
      </c>
      <c r="Q1725" s="77" t="s">
        <v>111</v>
      </c>
      <c r="T1725" s="77" t="s">
        <v>1666</v>
      </c>
      <c r="U1725" s="77" t="s">
        <v>85</v>
      </c>
      <c r="V1725" s="80" t="s">
        <v>105</v>
      </c>
      <c r="X1725" s="77" t="s">
        <v>106</v>
      </c>
      <c r="Y1725" s="78" t="s">
        <v>101</v>
      </c>
      <c r="AA1725" s="77" t="s">
        <v>1568</v>
      </c>
      <c r="AB1725" s="77" t="s">
        <v>1521</v>
      </c>
      <c r="AC1725" s="77" t="s">
        <v>90</v>
      </c>
      <c r="AD1725" s="77" t="s">
        <v>102</v>
      </c>
      <c r="AE1725" s="77" t="s">
        <v>3499</v>
      </c>
    </row>
    <row r="1726" spans="1:32" x14ac:dyDescent="0.3">
      <c r="A1726" s="77" t="s">
        <v>3632</v>
      </c>
      <c r="B1726" s="77" t="s">
        <v>1911</v>
      </c>
      <c r="G1726" s="77" t="s">
        <v>3498</v>
      </c>
      <c r="H1726" s="77" t="s">
        <v>77</v>
      </c>
      <c r="I1726" s="77" t="s">
        <v>1521</v>
      </c>
      <c r="J1726" s="77" t="s">
        <v>3039</v>
      </c>
      <c r="K1726" s="77" t="s">
        <v>1522</v>
      </c>
      <c r="L1726" s="77" t="s">
        <v>1909</v>
      </c>
      <c r="M1726" s="77" t="s">
        <v>82</v>
      </c>
      <c r="N1726" s="77" t="s">
        <v>83</v>
      </c>
      <c r="Q1726" s="77" t="s">
        <v>111</v>
      </c>
      <c r="T1726" s="77" t="s">
        <v>1666</v>
      </c>
      <c r="U1726" s="77" t="s">
        <v>85</v>
      </c>
      <c r="V1726" s="80" t="s">
        <v>105</v>
      </c>
      <c r="X1726" s="77" t="s">
        <v>106</v>
      </c>
      <c r="Y1726" s="78" t="s">
        <v>101</v>
      </c>
      <c r="AA1726" s="77" t="s">
        <v>1568</v>
      </c>
      <c r="AB1726" s="77" t="s">
        <v>1521</v>
      </c>
      <c r="AC1726" s="77" t="s">
        <v>90</v>
      </c>
      <c r="AD1726" s="77" t="s">
        <v>102</v>
      </c>
      <c r="AE1726" s="77" t="s">
        <v>3499</v>
      </c>
    </row>
    <row r="1727" spans="1:32" hidden="1" x14ac:dyDescent="0.3">
      <c r="A1727" s="77" t="s">
        <v>3633</v>
      </c>
      <c r="B1727" s="77" t="s">
        <v>1913</v>
      </c>
      <c r="G1727" s="77" t="s">
        <v>3498</v>
      </c>
      <c r="H1727" s="77" t="s">
        <v>77</v>
      </c>
      <c r="I1727" s="77" t="s">
        <v>1521</v>
      </c>
      <c r="J1727" s="77" t="s">
        <v>3039</v>
      </c>
      <c r="K1727" s="77" t="s">
        <v>1522</v>
      </c>
      <c r="L1727" s="77" t="s">
        <v>1909</v>
      </c>
      <c r="M1727" s="77" t="s">
        <v>82</v>
      </c>
      <c r="N1727" s="77" t="s">
        <v>83</v>
      </c>
      <c r="Q1727" s="77" t="s">
        <v>111</v>
      </c>
      <c r="T1727" s="77" t="s">
        <v>1666</v>
      </c>
      <c r="U1727" s="77" t="s">
        <v>85</v>
      </c>
      <c r="V1727" s="77" t="s">
        <v>105</v>
      </c>
      <c r="W1727" s="79">
        <v>46204.551833796293</v>
      </c>
      <c r="X1727" s="77" t="s">
        <v>106</v>
      </c>
      <c r="Y1727" s="78" t="s">
        <v>101</v>
      </c>
      <c r="AA1727" s="77" t="s">
        <v>1568</v>
      </c>
      <c r="AB1727" s="77" t="s">
        <v>1521</v>
      </c>
      <c r="AC1727" s="77" t="s">
        <v>114</v>
      </c>
      <c r="AD1727" s="77" t="s">
        <v>102</v>
      </c>
      <c r="AE1727" s="77" t="s">
        <v>3499</v>
      </c>
      <c r="AF1727" s="77" t="s">
        <v>2706</v>
      </c>
    </row>
    <row r="1728" spans="1:32" x14ac:dyDescent="0.3">
      <c r="A1728" s="77" t="s">
        <v>3634</v>
      </c>
      <c r="B1728" s="77" t="s">
        <v>1915</v>
      </c>
      <c r="G1728" s="77" t="s">
        <v>3498</v>
      </c>
      <c r="H1728" s="77" t="s">
        <v>77</v>
      </c>
      <c r="I1728" s="77" t="s">
        <v>1521</v>
      </c>
      <c r="J1728" s="77" t="s">
        <v>3039</v>
      </c>
      <c r="K1728" s="77" t="s">
        <v>1522</v>
      </c>
      <c r="L1728" s="77" t="s">
        <v>1916</v>
      </c>
      <c r="M1728" s="77" t="s">
        <v>82</v>
      </c>
      <c r="N1728" s="77" t="s">
        <v>83</v>
      </c>
      <c r="Q1728" s="77" t="s">
        <v>111</v>
      </c>
      <c r="T1728" s="77" t="s">
        <v>1666</v>
      </c>
      <c r="U1728" s="77" t="s">
        <v>85</v>
      </c>
      <c r="V1728" s="80" t="s">
        <v>105</v>
      </c>
      <c r="X1728" s="77" t="s">
        <v>106</v>
      </c>
      <c r="Y1728" s="78" t="s">
        <v>101</v>
      </c>
      <c r="AA1728" s="77" t="s">
        <v>1568</v>
      </c>
      <c r="AB1728" s="77" t="s">
        <v>1521</v>
      </c>
      <c r="AC1728" s="77" t="s">
        <v>90</v>
      </c>
      <c r="AD1728" s="77" t="s">
        <v>102</v>
      </c>
      <c r="AE1728" s="77" t="s">
        <v>3499</v>
      </c>
    </row>
    <row r="1729" spans="1:32" x14ac:dyDescent="0.3">
      <c r="A1729" s="77" t="s">
        <v>3635</v>
      </c>
      <c r="B1729" s="77" t="s">
        <v>1918</v>
      </c>
      <c r="G1729" s="77" t="s">
        <v>3498</v>
      </c>
      <c r="H1729" s="77" t="s">
        <v>77</v>
      </c>
      <c r="I1729" s="77" t="s">
        <v>1521</v>
      </c>
      <c r="J1729" s="77" t="s">
        <v>3039</v>
      </c>
      <c r="K1729" s="77" t="s">
        <v>1522</v>
      </c>
      <c r="L1729" s="77" t="s">
        <v>1084</v>
      </c>
      <c r="M1729" s="77" t="s">
        <v>82</v>
      </c>
      <c r="N1729" s="77" t="s">
        <v>83</v>
      </c>
      <c r="Q1729" s="77" t="s">
        <v>111</v>
      </c>
      <c r="T1729" s="77" t="s">
        <v>1666</v>
      </c>
      <c r="U1729" s="77" t="s">
        <v>85</v>
      </c>
      <c r="V1729" s="80" t="s">
        <v>238</v>
      </c>
      <c r="X1729" s="77" t="s">
        <v>239</v>
      </c>
      <c r="Y1729" s="78" t="s">
        <v>88</v>
      </c>
      <c r="AA1729" s="77" t="s">
        <v>1568</v>
      </c>
      <c r="AB1729" s="77" t="s">
        <v>1521</v>
      </c>
      <c r="AC1729" s="77" t="s">
        <v>90</v>
      </c>
      <c r="AD1729" s="77" t="s">
        <v>91</v>
      </c>
      <c r="AE1729" s="77" t="s">
        <v>3499</v>
      </c>
    </row>
    <row r="1730" spans="1:32" x14ac:dyDescent="0.3">
      <c r="A1730" s="77" t="s">
        <v>3636</v>
      </c>
      <c r="B1730" s="77" t="s">
        <v>1920</v>
      </c>
      <c r="G1730" s="77" t="s">
        <v>3498</v>
      </c>
      <c r="H1730" s="77" t="s">
        <v>77</v>
      </c>
      <c r="I1730" s="77" t="s">
        <v>1521</v>
      </c>
      <c r="J1730" s="77" t="s">
        <v>3039</v>
      </c>
      <c r="K1730" s="77" t="s">
        <v>1522</v>
      </c>
      <c r="L1730" s="77" t="s">
        <v>1087</v>
      </c>
      <c r="M1730" s="77" t="s">
        <v>82</v>
      </c>
      <c r="N1730" s="77" t="s">
        <v>83</v>
      </c>
      <c r="Q1730" s="77" t="s">
        <v>111</v>
      </c>
      <c r="T1730" s="77" t="s">
        <v>1666</v>
      </c>
      <c r="U1730" s="77" t="s">
        <v>85</v>
      </c>
      <c r="V1730" s="80" t="s">
        <v>245</v>
      </c>
      <c r="X1730" s="77" t="s">
        <v>246</v>
      </c>
      <c r="Y1730" s="78" t="s">
        <v>88</v>
      </c>
      <c r="AA1730" s="77" t="s">
        <v>1568</v>
      </c>
      <c r="AB1730" s="77" t="s">
        <v>1521</v>
      </c>
      <c r="AC1730" s="77" t="s">
        <v>90</v>
      </c>
      <c r="AD1730" s="77" t="s">
        <v>91</v>
      </c>
      <c r="AE1730" s="77" t="s">
        <v>3499</v>
      </c>
    </row>
    <row r="1731" spans="1:32" x14ac:dyDescent="0.3">
      <c r="A1731" s="77" t="s">
        <v>3637</v>
      </c>
      <c r="B1731" s="77" t="s">
        <v>1922</v>
      </c>
      <c r="G1731" s="77" t="s">
        <v>3498</v>
      </c>
      <c r="H1731" s="77" t="s">
        <v>77</v>
      </c>
      <c r="I1731" s="77" t="s">
        <v>1521</v>
      </c>
      <c r="J1731" s="77" t="s">
        <v>3039</v>
      </c>
      <c r="K1731" s="77" t="s">
        <v>1522</v>
      </c>
      <c r="L1731" s="77" t="s">
        <v>1090</v>
      </c>
      <c r="M1731" s="77" t="s">
        <v>82</v>
      </c>
      <c r="N1731" s="77" t="s">
        <v>83</v>
      </c>
      <c r="Q1731" s="77" t="s">
        <v>111</v>
      </c>
      <c r="T1731" s="77" t="s">
        <v>1666</v>
      </c>
      <c r="U1731" s="77" t="s">
        <v>85</v>
      </c>
      <c r="V1731" s="80" t="s">
        <v>252</v>
      </c>
      <c r="X1731" s="77" t="s">
        <v>253</v>
      </c>
      <c r="Y1731" s="78" t="s">
        <v>101</v>
      </c>
      <c r="AA1731" s="77" t="s">
        <v>1568</v>
      </c>
      <c r="AB1731" s="77" t="s">
        <v>1521</v>
      </c>
      <c r="AC1731" s="77" t="s">
        <v>90</v>
      </c>
      <c r="AD1731" s="77" t="s">
        <v>102</v>
      </c>
      <c r="AE1731" s="77" t="s">
        <v>3499</v>
      </c>
    </row>
    <row r="1732" spans="1:32" x14ac:dyDescent="0.3">
      <c r="A1732" s="77" t="s">
        <v>3638</v>
      </c>
      <c r="B1732" s="77" t="s">
        <v>1924</v>
      </c>
      <c r="G1732" s="77" t="s">
        <v>3498</v>
      </c>
      <c r="H1732" s="77" t="s">
        <v>77</v>
      </c>
      <c r="I1732" s="77" t="s">
        <v>1521</v>
      </c>
      <c r="J1732" s="77" t="s">
        <v>3039</v>
      </c>
      <c r="K1732" s="77" t="s">
        <v>1522</v>
      </c>
      <c r="L1732" s="77" t="s">
        <v>1093</v>
      </c>
      <c r="M1732" s="77" t="s">
        <v>82</v>
      </c>
      <c r="N1732" s="77" t="s">
        <v>83</v>
      </c>
      <c r="Q1732" s="77" t="s">
        <v>111</v>
      </c>
      <c r="T1732" s="77" t="s">
        <v>1666</v>
      </c>
      <c r="U1732" s="77" t="s">
        <v>85</v>
      </c>
      <c r="V1732" s="80" t="s">
        <v>259</v>
      </c>
      <c r="X1732" s="77" t="s">
        <v>260</v>
      </c>
      <c r="Y1732" s="78" t="s">
        <v>101</v>
      </c>
      <c r="AA1732" s="77" t="s">
        <v>1568</v>
      </c>
      <c r="AB1732" s="77" t="s">
        <v>1521</v>
      </c>
      <c r="AC1732" s="77" t="s">
        <v>90</v>
      </c>
      <c r="AD1732" s="77" t="s">
        <v>102</v>
      </c>
      <c r="AE1732" s="77" t="s">
        <v>3499</v>
      </c>
    </row>
    <row r="1733" spans="1:32" x14ac:dyDescent="0.3">
      <c r="A1733" s="77" t="s">
        <v>3639</v>
      </c>
      <c r="B1733" s="77" t="s">
        <v>1926</v>
      </c>
      <c r="G1733" s="77" t="s">
        <v>3498</v>
      </c>
      <c r="H1733" s="77" t="s">
        <v>77</v>
      </c>
      <c r="I1733" s="77" t="s">
        <v>1521</v>
      </c>
      <c r="J1733" s="77" t="s">
        <v>3039</v>
      </c>
      <c r="K1733" s="77" t="s">
        <v>1522</v>
      </c>
      <c r="L1733" s="77" t="s">
        <v>1927</v>
      </c>
      <c r="M1733" s="77" t="s">
        <v>82</v>
      </c>
      <c r="N1733" s="77" t="s">
        <v>83</v>
      </c>
      <c r="Q1733" s="77" t="s">
        <v>111</v>
      </c>
      <c r="T1733" s="77" t="s">
        <v>1666</v>
      </c>
      <c r="U1733" s="77" t="s">
        <v>85</v>
      </c>
      <c r="V1733" s="80" t="s">
        <v>86</v>
      </c>
      <c r="X1733" s="77" t="s">
        <v>87</v>
      </c>
      <c r="Y1733" s="78" t="s">
        <v>88</v>
      </c>
      <c r="AA1733" s="77" t="s">
        <v>1568</v>
      </c>
      <c r="AB1733" s="77" t="s">
        <v>1521</v>
      </c>
      <c r="AC1733" s="77" t="s">
        <v>90</v>
      </c>
      <c r="AD1733" s="77" t="s">
        <v>91</v>
      </c>
      <c r="AE1733" s="77" t="s">
        <v>3499</v>
      </c>
    </row>
    <row r="1734" spans="1:32" x14ac:dyDescent="0.3">
      <c r="A1734" s="77" t="s">
        <v>3640</v>
      </c>
      <c r="B1734" s="77" t="s">
        <v>1929</v>
      </c>
      <c r="G1734" s="77" t="s">
        <v>3498</v>
      </c>
      <c r="H1734" s="77" t="s">
        <v>77</v>
      </c>
      <c r="I1734" s="77" t="s">
        <v>1521</v>
      </c>
      <c r="J1734" s="77" t="s">
        <v>3039</v>
      </c>
      <c r="K1734" s="77" t="s">
        <v>1522</v>
      </c>
      <c r="L1734" s="77" t="s">
        <v>1927</v>
      </c>
      <c r="M1734" s="77" t="s">
        <v>82</v>
      </c>
      <c r="N1734" s="77" t="s">
        <v>83</v>
      </c>
      <c r="Q1734" s="77" t="s">
        <v>111</v>
      </c>
      <c r="T1734" s="77" t="s">
        <v>1666</v>
      </c>
      <c r="U1734" s="77" t="s">
        <v>85</v>
      </c>
      <c r="V1734" s="80" t="s">
        <v>86</v>
      </c>
      <c r="X1734" s="77" t="s">
        <v>87</v>
      </c>
      <c r="Y1734" s="78" t="s">
        <v>88</v>
      </c>
      <c r="AA1734" s="77" t="s">
        <v>1568</v>
      </c>
      <c r="AB1734" s="77" t="s">
        <v>1521</v>
      </c>
      <c r="AC1734" s="77" t="s">
        <v>90</v>
      </c>
      <c r="AD1734" s="77" t="s">
        <v>91</v>
      </c>
      <c r="AE1734" s="77" t="s">
        <v>3499</v>
      </c>
    </row>
    <row r="1735" spans="1:32" x14ac:dyDescent="0.3">
      <c r="A1735" s="77" t="s">
        <v>3641</v>
      </c>
      <c r="B1735" s="77" t="s">
        <v>1931</v>
      </c>
      <c r="G1735" s="77" t="s">
        <v>3498</v>
      </c>
      <c r="H1735" s="77" t="s">
        <v>77</v>
      </c>
      <c r="I1735" s="77" t="s">
        <v>1521</v>
      </c>
      <c r="J1735" s="77" t="s">
        <v>3039</v>
      </c>
      <c r="K1735" s="77" t="s">
        <v>1522</v>
      </c>
      <c r="L1735" s="77" t="s">
        <v>1932</v>
      </c>
      <c r="M1735" s="77" t="s">
        <v>82</v>
      </c>
      <c r="N1735" s="77" t="s">
        <v>83</v>
      </c>
      <c r="Q1735" s="77" t="s">
        <v>111</v>
      </c>
      <c r="T1735" s="77" t="s">
        <v>1666</v>
      </c>
      <c r="U1735" s="77" t="s">
        <v>85</v>
      </c>
      <c r="V1735" s="80" t="s">
        <v>95</v>
      </c>
      <c r="X1735" s="77" t="s">
        <v>96</v>
      </c>
      <c r="Y1735" s="78" t="s">
        <v>88</v>
      </c>
      <c r="AA1735" s="77" t="s">
        <v>1568</v>
      </c>
      <c r="AB1735" s="77" t="s">
        <v>1521</v>
      </c>
      <c r="AC1735" s="77" t="s">
        <v>90</v>
      </c>
      <c r="AD1735" s="77" t="s">
        <v>91</v>
      </c>
      <c r="AE1735" s="77" t="s">
        <v>3499</v>
      </c>
    </row>
    <row r="1736" spans="1:32" x14ac:dyDescent="0.3">
      <c r="A1736" s="77" t="s">
        <v>3642</v>
      </c>
      <c r="B1736" s="77" t="s">
        <v>1934</v>
      </c>
      <c r="G1736" s="77" t="s">
        <v>3498</v>
      </c>
      <c r="H1736" s="77" t="s">
        <v>77</v>
      </c>
      <c r="I1736" s="77" t="s">
        <v>1521</v>
      </c>
      <c r="J1736" s="77" t="s">
        <v>3039</v>
      </c>
      <c r="K1736" s="77" t="s">
        <v>1522</v>
      </c>
      <c r="L1736" s="77" t="s">
        <v>1932</v>
      </c>
      <c r="M1736" s="77" t="s">
        <v>82</v>
      </c>
      <c r="N1736" s="77" t="s">
        <v>83</v>
      </c>
      <c r="Q1736" s="77" t="s">
        <v>111</v>
      </c>
      <c r="T1736" s="77" t="s">
        <v>1666</v>
      </c>
      <c r="U1736" s="77" t="s">
        <v>85</v>
      </c>
      <c r="V1736" s="80" t="s">
        <v>95</v>
      </c>
      <c r="X1736" s="77" t="s">
        <v>96</v>
      </c>
      <c r="Y1736" s="78" t="s">
        <v>88</v>
      </c>
      <c r="AA1736" s="77" t="s">
        <v>1568</v>
      </c>
      <c r="AB1736" s="77" t="s">
        <v>1521</v>
      </c>
      <c r="AC1736" s="77" t="s">
        <v>90</v>
      </c>
      <c r="AD1736" s="77" t="s">
        <v>91</v>
      </c>
      <c r="AE1736" s="77" t="s">
        <v>3499</v>
      </c>
    </row>
    <row r="1737" spans="1:32" x14ac:dyDescent="0.3">
      <c r="A1737" s="77" t="s">
        <v>3643</v>
      </c>
      <c r="B1737" s="77" t="s">
        <v>1936</v>
      </c>
      <c r="G1737" s="77" t="s">
        <v>3498</v>
      </c>
      <c r="H1737" s="77" t="s">
        <v>77</v>
      </c>
      <c r="I1737" s="77" t="s">
        <v>1521</v>
      </c>
      <c r="J1737" s="77" t="s">
        <v>3039</v>
      </c>
      <c r="K1737" s="77" t="s">
        <v>1522</v>
      </c>
      <c r="L1737" s="77" t="s">
        <v>1937</v>
      </c>
      <c r="M1737" s="77" t="s">
        <v>82</v>
      </c>
      <c r="N1737" s="77" t="s">
        <v>83</v>
      </c>
      <c r="Q1737" s="77" t="s">
        <v>111</v>
      </c>
      <c r="T1737" s="77" t="s">
        <v>1666</v>
      </c>
      <c r="U1737" s="77" t="s">
        <v>85</v>
      </c>
      <c r="V1737" s="80" t="s">
        <v>99</v>
      </c>
      <c r="X1737" s="77" t="s">
        <v>100</v>
      </c>
      <c r="Y1737" s="78" t="s">
        <v>101</v>
      </c>
      <c r="AA1737" s="77" t="s">
        <v>1568</v>
      </c>
      <c r="AB1737" s="77" t="s">
        <v>1521</v>
      </c>
      <c r="AC1737" s="77" t="s">
        <v>90</v>
      </c>
      <c r="AD1737" s="77" t="s">
        <v>102</v>
      </c>
      <c r="AE1737" s="77" t="s">
        <v>3499</v>
      </c>
    </row>
    <row r="1738" spans="1:32" x14ac:dyDescent="0.3">
      <c r="A1738" s="77" t="s">
        <v>3644</v>
      </c>
      <c r="B1738" s="77" t="s">
        <v>1939</v>
      </c>
      <c r="G1738" s="77" t="s">
        <v>3498</v>
      </c>
      <c r="H1738" s="77" t="s">
        <v>77</v>
      </c>
      <c r="I1738" s="77" t="s">
        <v>1521</v>
      </c>
      <c r="J1738" s="77" t="s">
        <v>3039</v>
      </c>
      <c r="K1738" s="77" t="s">
        <v>1522</v>
      </c>
      <c r="L1738" s="77" t="s">
        <v>1937</v>
      </c>
      <c r="M1738" s="77" t="s">
        <v>82</v>
      </c>
      <c r="N1738" s="77" t="s">
        <v>83</v>
      </c>
      <c r="Q1738" s="77" t="s">
        <v>111</v>
      </c>
      <c r="T1738" s="77" t="s">
        <v>1666</v>
      </c>
      <c r="U1738" s="77" t="s">
        <v>85</v>
      </c>
      <c r="V1738" s="80" t="s">
        <v>99</v>
      </c>
      <c r="X1738" s="77" t="s">
        <v>100</v>
      </c>
      <c r="Y1738" s="78" t="s">
        <v>101</v>
      </c>
      <c r="AA1738" s="77" t="s">
        <v>1568</v>
      </c>
      <c r="AB1738" s="77" t="s">
        <v>1521</v>
      </c>
      <c r="AC1738" s="77" t="s">
        <v>90</v>
      </c>
      <c r="AD1738" s="77" t="s">
        <v>102</v>
      </c>
      <c r="AE1738" s="77" t="s">
        <v>3499</v>
      </c>
    </row>
    <row r="1739" spans="1:32" x14ac:dyDescent="0.3">
      <c r="A1739" s="77" t="s">
        <v>3645</v>
      </c>
      <c r="B1739" s="77" t="s">
        <v>1941</v>
      </c>
      <c r="G1739" s="77" t="s">
        <v>3498</v>
      </c>
      <c r="H1739" s="77" t="s">
        <v>77</v>
      </c>
      <c r="I1739" s="77" t="s">
        <v>1521</v>
      </c>
      <c r="J1739" s="77" t="s">
        <v>3039</v>
      </c>
      <c r="K1739" s="77" t="s">
        <v>1522</v>
      </c>
      <c r="L1739" s="77" t="s">
        <v>1942</v>
      </c>
      <c r="M1739" s="77" t="s">
        <v>82</v>
      </c>
      <c r="N1739" s="77" t="s">
        <v>83</v>
      </c>
      <c r="Q1739" s="77" t="s">
        <v>111</v>
      </c>
      <c r="T1739" s="77" t="s">
        <v>1666</v>
      </c>
      <c r="U1739" s="77" t="s">
        <v>85</v>
      </c>
      <c r="V1739" s="80" t="s">
        <v>105</v>
      </c>
      <c r="X1739" s="77" t="s">
        <v>106</v>
      </c>
      <c r="Y1739" s="78" t="s">
        <v>101</v>
      </c>
      <c r="AA1739" s="77" t="s">
        <v>1568</v>
      </c>
      <c r="AB1739" s="77" t="s">
        <v>1521</v>
      </c>
      <c r="AC1739" s="77" t="s">
        <v>90</v>
      </c>
      <c r="AD1739" s="77" t="s">
        <v>102</v>
      </c>
      <c r="AE1739" s="77" t="s">
        <v>3499</v>
      </c>
    </row>
    <row r="1740" spans="1:32" x14ac:dyDescent="0.3">
      <c r="A1740" s="77" t="s">
        <v>3646</v>
      </c>
      <c r="B1740" s="77" t="s">
        <v>1944</v>
      </c>
      <c r="G1740" s="77" t="s">
        <v>3498</v>
      </c>
      <c r="H1740" s="77" t="s">
        <v>77</v>
      </c>
      <c r="I1740" s="77" t="s">
        <v>1521</v>
      </c>
      <c r="J1740" s="77" t="s">
        <v>3039</v>
      </c>
      <c r="K1740" s="77" t="s">
        <v>1522</v>
      </c>
      <c r="L1740" s="77" t="s">
        <v>1942</v>
      </c>
      <c r="M1740" s="77" t="s">
        <v>82</v>
      </c>
      <c r="N1740" s="77" t="s">
        <v>83</v>
      </c>
      <c r="Q1740" s="77" t="s">
        <v>111</v>
      </c>
      <c r="T1740" s="77" t="s">
        <v>1666</v>
      </c>
      <c r="U1740" s="77" t="s">
        <v>85</v>
      </c>
      <c r="V1740" s="80" t="s">
        <v>105</v>
      </c>
      <c r="X1740" s="77" t="s">
        <v>106</v>
      </c>
      <c r="Y1740" s="78" t="s">
        <v>101</v>
      </c>
      <c r="AA1740" s="77" t="s">
        <v>1568</v>
      </c>
      <c r="AB1740" s="77" t="s">
        <v>1521</v>
      </c>
      <c r="AC1740" s="77" t="s">
        <v>90</v>
      </c>
      <c r="AD1740" s="77" t="s">
        <v>102</v>
      </c>
      <c r="AE1740" s="77" t="s">
        <v>3499</v>
      </c>
    </row>
    <row r="1741" spans="1:32" x14ac:dyDescent="0.3">
      <c r="A1741" s="77" t="s">
        <v>3647</v>
      </c>
      <c r="B1741" s="77" t="s">
        <v>1946</v>
      </c>
      <c r="G1741" s="77" t="s">
        <v>3498</v>
      </c>
      <c r="H1741" s="77" t="s">
        <v>77</v>
      </c>
      <c r="I1741" s="77" t="s">
        <v>1521</v>
      </c>
      <c r="J1741" s="77" t="s">
        <v>3039</v>
      </c>
      <c r="K1741" s="77" t="s">
        <v>1522</v>
      </c>
      <c r="L1741" s="77" t="s">
        <v>1947</v>
      </c>
      <c r="M1741" s="77" t="s">
        <v>82</v>
      </c>
      <c r="N1741" s="77" t="s">
        <v>83</v>
      </c>
      <c r="Q1741" s="77" t="s">
        <v>111</v>
      </c>
      <c r="T1741" s="77" t="s">
        <v>1666</v>
      </c>
      <c r="U1741" s="77" t="s">
        <v>85</v>
      </c>
      <c r="V1741" s="80" t="s">
        <v>95</v>
      </c>
      <c r="X1741" s="77" t="s">
        <v>96</v>
      </c>
      <c r="Y1741" s="78" t="s">
        <v>88</v>
      </c>
      <c r="AA1741" s="77" t="s">
        <v>1568</v>
      </c>
      <c r="AB1741" s="77" t="s">
        <v>1521</v>
      </c>
      <c r="AC1741" s="77" t="s">
        <v>90</v>
      </c>
      <c r="AD1741" s="77" t="s">
        <v>91</v>
      </c>
      <c r="AE1741" s="77" t="s">
        <v>3499</v>
      </c>
    </row>
    <row r="1742" spans="1:32" hidden="1" x14ac:dyDescent="0.3">
      <c r="A1742" s="77" t="s">
        <v>3648</v>
      </c>
      <c r="B1742" s="77" t="s">
        <v>1949</v>
      </c>
      <c r="G1742" s="77" t="s">
        <v>3498</v>
      </c>
      <c r="H1742" s="77" t="s">
        <v>77</v>
      </c>
      <c r="I1742" s="77" t="s">
        <v>1521</v>
      </c>
      <c r="J1742" s="77" t="s">
        <v>3039</v>
      </c>
      <c r="K1742" s="77" t="s">
        <v>1522</v>
      </c>
      <c r="L1742" s="77" t="s">
        <v>1950</v>
      </c>
      <c r="M1742" s="77" t="s">
        <v>82</v>
      </c>
      <c r="N1742" s="77" t="s">
        <v>83</v>
      </c>
      <c r="Q1742" s="77" t="s">
        <v>111</v>
      </c>
      <c r="T1742" s="77" t="s">
        <v>1666</v>
      </c>
      <c r="U1742" s="77" t="s">
        <v>85</v>
      </c>
      <c r="V1742" s="77" t="s">
        <v>99</v>
      </c>
      <c r="W1742" s="79">
        <v>46213.675741435189</v>
      </c>
      <c r="X1742" s="77" t="s">
        <v>100</v>
      </c>
      <c r="Y1742" s="78" t="s">
        <v>101</v>
      </c>
      <c r="AA1742" s="77" t="s">
        <v>1568</v>
      </c>
      <c r="AB1742" s="77" t="s">
        <v>1521</v>
      </c>
      <c r="AC1742" s="77" t="s">
        <v>114</v>
      </c>
      <c r="AD1742" s="77" t="s">
        <v>102</v>
      </c>
      <c r="AE1742" s="77" t="s">
        <v>3499</v>
      </c>
      <c r="AF1742" s="77" t="s">
        <v>2706</v>
      </c>
    </row>
    <row r="1743" spans="1:32" hidden="1" x14ac:dyDescent="0.3">
      <c r="A1743" s="77" t="s">
        <v>3649</v>
      </c>
      <c r="B1743" s="77" t="s">
        <v>1952</v>
      </c>
      <c r="G1743" s="77" t="s">
        <v>3498</v>
      </c>
      <c r="H1743" s="77" t="s">
        <v>77</v>
      </c>
      <c r="I1743" s="77" t="s">
        <v>1521</v>
      </c>
      <c r="J1743" s="77" t="s">
        <v>3039</v>
      </c>
      <c r="K1743" s="77" t="s">
        <v>1522</v>
      </c>
      <c r="L1743" s="77" t="s">
        <v>1953</v>
      </c>
      <c r="M1743" s="77" t="s">
        <v>82</v>
      </c>
      <c r="N1743" s="77" t="s">
        <v>83</v>
      </c>
      <c r="Q1743" s="77" t="s">
        <v>111</v>
      </c>
      <c r="T1743" s="77" t="s">
        <v>1666</v>
      </c>
      <c r="U1743" s="77" t="s">
        <v>85</v>
      </c>
      <c r="V1743" s="77" t="s">
        <v>105</v>
      </c>
      <c r="W1743" s="79">
        <v>46213.676966550927</v>
      </c>
      <c r="X1743" s="77" t="s">
        <v>106</v>
      </c>
      <c r="Y1743" s="78" t="s">
        <v>101</v>
      </c>
      <c r="AA1743" s="77" t="s">
        <v>1568</v>
      </c>
      <c r="AB1743" s="77" t="s">
        <v>1521</v>
      </c>
      <c r="AC1743" s="77" t="s">
        <v>114</v>
      </c>
      <c r="AD1743" s="77" t="s">
        <v>102</v>
      </c>
      <c r="AE1743" s="77" t="s">
        <v>3499</v>
      </c>
      <c r="AF1743" s="77" t="s">
        <v>2706</v>
      </c>
    </row>
    <row r="1744" spans="1:32" x14ac:dyDescent="0.3">
      <c r="A1744" s="77" t="s">
        <v>3650</v>
      </c>
      <c r="B1744" s="77" t="s">
        <v>1955</v>
      </c>
      <c r="G1744" s="77" t="s">
        <v>3498</v>
      </c>
      <c r="H1744" s="77" t="s">
        <v>77</v>
      </c>
      <c r="I1744" s="77" t="s">
        <v>1521</v>
      </c>
      <c r="J1744" s="77" t="s">
        <v>3039</v>
      </c>
      <c r="K1744" s="77" t="s">
        <v>1522</v>
      </c>
      <c r="L1744" s="77" t="s">
        <v>1956</v>
      </c>
      <c r="M1744" s="77" t="s">
        <v>82</v>
      </c>
      <c r="N1744" s="77" t="s">
        <v>83</v>
      </c>
      <c r="Q1744" s="77" t="s">
        <v>111</v>
      </c>
      <c r="T1744" s="77" t="s">
        <v>1666</v>
      </c>
      <c r="U1744" s="77" t="s">
        <v>85</v>
      </c>
      <c r="V1744" s="80" t="s">
        <v>657</v>
      </c>
      <c r="X1744" s="77" t="s">
        <v>658</v>
      </c>
      <c r="Y1744" s="78" t="s">
        <v>88</v>
      </c>
      <c r="AA1744" s="77" t="s">
        <v>1568</v>
      </c>
      <c r="AB1744" s="77" t="s">
        <v>1521</v>
      </c>
      <c r="AC1744" s="77" t="s">
        <v>90</v>
      </c>
      <c r="AD1744" s="77" t="s">
        <v>91</v>
      </c>
      <c r="AE1744" s="77" t="s">
        <v>3499</v>
      </c>
    </row>
    <row r="1745" spans="1:32" x14ac:dyDescent="0.3">
      <c r="A1745" s="77" t="s">
        <v>3651</v>
      </c>
      <c r="B1745" s="77" t="s">
        <v>1958</v>
      </c>
      <c r="G1745" s="77" t="s">
        <v>3498</v>
      </c>
      <c r="H1745" s="77" t="s">
        <v>77</v>
      </c>
      <c r="I1745" s="77" t="s">
        <v>1521</v>
      </c>
      <c r="J1745" s="77" t="s">
        <v>3039</v>
      </c>
      <c r="K1745" s="77" t="s">
        <v>1522</v>
      </c>
      <c r="L1745" s="77" t="s">
        <v>1956</v>
      </c>
      <c r="M1745" s="77" t="s">
        <v>82</v>
      </c>
      <c r="N1745" s="77" t="s">
        <v>83</v>
      </c>
      <c r="Q1745" s="77" t="s">
        <v>111</v>
      </c>
      <c r="T1745" s="77" t="s">
        <v>1666</v>
      </c>
      <c r="U1745" s="77" t="s">
        <v>85</v>
      </c>
      <c r="V1745" s="80" t="s">
        <v>657</v>
      </c>
      <c r="X1745" s="77" t="s">
        <v>658</v>
      </c>
      <c r="Y1745" s="78" t="s">
        <v>88</v>
      </c>
      <c r="AA1745" s="77" t="s">
        <v>1568</v>
      </c>
      <c r="AB1745" s="77" t="s">
        <v>1521</v>
      </c>
      <c r="AC1745" s="77" t="s">
        <v>90</v>
      </c>
      <c r="AD1745" s="77" t="s">
        <v>91</v>
      </c>
      <c r="AE1745" s="77" t="s">
        <v>3499</v>
      </c>
    </row>
    <row r="1746" spans="1:32" x14ac:dyDescent="0.3">
      <c r="A1746" s="77" t="s">
        <v>3652</v>
      </c>
      <c r="B1746" s="77" t="s">
        <v>1960</v>
      </c>
      <c r="G1746" s="77" t="s">
        <v>3498</v>
      </c>
      <c r="H1746" s="77" t="s">
        <v>77</v>
      </c>
      <c r="I1746" s="77" t="s">
        <v>1521</v>
      </c>
      <c r="J1746" s="77" t="s">
        <v>3039</v>
      </c>
      <c r="K1746" s="77" t="s">
        <v>1522</v>
      </c>
      <c r="L1746" s="77" t="s">
        <v>1956</v>
      </c>
      <c r="M1746" s="77" t="s">
        <v>82</v>
      </c>
      <c r="N1746" s="77" t="s">
        <v>83</v>
      </c>
      <c r="Q1746" s="77" t="s">
        <v>111</v>
      </c>
      <c r="T1746" s="77" t="s">
        <v>1666</v>
      </c>
      <c r="U1746" s="77" t="s">
        <v>85</v>
      </c>
      <c r="V1746" s="80" t="s">
        <v>657</v>
      </c>
      <c r="X1746" s="77" t="s">
        <v>658</v>
      </c>
      <c r="Y1746" s="78" t="s">
        <v>88</v>
      </c>
      <c r="AA1746" s="77" t="s">
        <v>1568</v>
      </c>
      <c r="AB1746" s="77" t="s">
        <v>1521</v>
      </c>
      <c r="AC1746" s="77" t="s">
        <v>90</v>
      </c>
      <c r="AD1746" s="77" t="s">
        <v>91</v>
      </c>
      <c r="AE1746" s="77" t="s">
        <v>3499</v>
      </c>
    </row>
    <row r="1747" spans="1:32" x14ac:dyDescent="0.3">
      <c r="A1747" s="77" t="s">
        <v>3653</v>
      </c>
      <c r="B1747" s="77" t="s">
        <v>1962</v>
      </c>
      <c r="G1747" s="77" t="s">
        <v>3498</v>
      </c>
      <c r="H1747" s="77" t="s">
        <v>77</v>
      </c>
      <c r="I1747" s="77" t="s">
        <v>1521</v>
      </c>
      <c r="J1747" s="77" t="s">
        <v>3039</v>
      </c>
      <c r="K1747" s="77" t="s">
        <v>1522</v>
      </c>
      <c r="L1747" s="77" t="s">
        <v>1956</v>
      </c>
      <c r="M1747" s="77" t="s">
        <v>82</v>
      </c>
      <c r="N1747" s="77" t="s">
        <v>83</v>
      </c>
      <c r="Q1747" s="77" t="s">
        <v>111</v>
      </c>
      <c r="T1747" s="77" t="s">
        <v>1666</v>
      </c>
      <c r="U1747" s="77" t="s">
        <v>85</v>
      </c>
      <c r="V1747" s="80" t="s">
        <v>657</v>
      </c>
      <c r="X1747" s="77" t="s">
        <v>658</v>
      </c>
      <c r="Y1747" s="78" t="s">
        <v>88</v>
      </c>
      <c r="AA1747" s="77" t="s">
        <v>1568</v>
      </c>
      <c r="AB1747" s="77" t="s">
        <v>1521</v>
      </c>
      <c r="AC1747" s="77" t="s">
        <v>90</v>
      </c>
      <c r="AD1747" s="77" t="s">
        <v>91</v>
      </c>
      <c r="AE1747" s="77" t="s">
        <v>3499</v>
      </c>
    </row>
    <row r="1748" spans="1:32" x14ac:dyDescent="0.3">
      <c r="A1748" s="77" t="s">
        <v>3654</v>
      </c>
      <c r="B1748" s="77" t="s">
        <v>1964</v>
      </c>
      <c r="G1748" s="77" t="s">
        <v>3498</v>
      </c>
      <c r="H1748" s="77" t="s">
        <v>77</v>
      </c>
      <c r="I1748" s="77" t="s">
        <v>1521</v>
      </c>
      <c r="J1748" s="77" t="s">
        <v>3039</v>
      </c>
      <c r="K1748" s="77" t="s">
        <v>1522</v>
      </c>
      <c r="L1748" s="77" t="s">
        <v>1956</v>
      </c>
      <c r="M1748" s="77" t="s">
        <v>82</v>
      </c>
      <c r="N1748" s="77" t="s">
        <v>83</v>
      </c>
      <c r="Q1748" s="77" t="s">
        <v>111</v>
      </c>
      <c r="T1748" s="77" t="s">
        <v>1666</v>
      </c>
      <c r="U1748" s="77" t="s">
        <v>85</v>
      </c>
      <c r="V1748" s="80" t="s">
        <v>657</v>
      </c>
      <c r="X1748" s="77" t="s">
        <v>658</v>
      </c>
      <c r="Y1748" s="78" t="s">
        <v>88</v>
      </c>
      <c r="AA1748" s="77" t="s">
        <v>1568</v>
      </c>
      <c r="AB1748" s="77" t="s">
        <v>1521</v>
      </c>
      <c r="AC1748" s="77" t="s">
        <v>90</v>
      </c>
      <c r="AD1748" s="77" t="s">
        <v>91</v>
      </c>
      <c r="AE1748" s="77" t="s">
        <v>3499</v>
      </c>
    </row>
    <row r="1749" spans="1:32" x14ac:dyDescent="0.3">
      <c r="A1749" s="77" t="s">
        <v>3655</v>
      </c>
      <c r="B1749" s="77" t="s">
        <v>1966</v>
      </c>
      <c r="G1749" s="77" t="s">
        <v>3498</v>
      </c>
      <c r="H1749" s="77" t="s">
        <v>77</v>
      </c>
      <c r="I1749" s="77" t="s">
        <v>1521</v>
      </c>
      <c r="J1749" s="77" t="s">
        <v>3039</v>
      </c>
      <c r="K1749" s="77" t="s">
        <v>1522</v>
      </c>
      <c r="L1749" s="77" t="s">
        <v>1174</v>
      </c>
      <c r="M1749" s="77" t="s">
        <v>82</v>
      </c>
      <c r="N1749" s="77" t="s">
        <v>83</v>
      </c>
      <c r="Q1749" s="77" t="s">
        <v>111</v>
      </c>
      <c r="T1749" s="77" t="s">
        <v>1666</v>
      </c>
      <c r="U1749" s="77" t="s">
        <v>85</v>
      </c>
      <c r="V1749" s="80" t="s">
        <v>657</v>
      </c>
      <c r="X1749" s="77" t="s">
        <v>658</v>
      </c>
      <c r="Y1749" s="78" t="s">
        <v>88</v>
      </c>
      <c r="AA1749" s="77" t="s">
        <v>1568</v>
      </c>
      <c r="AB1749" s="77" t="s">
        <v>1521</v>
      </c>
      <c r="AC1749" s="77" t="s">
        <v>90</v>
      </c>
      <c r="AD1749" s="77" t="s">
        <v>91</v>
      </c>
      <c r="AE1749" s="77" t="s">
        <v>3499</v>
      </c>
    </row>
    <row r="1750" spans="1:32" x14ac:dyDescent="0.3">
      <c r="A1750" s="77" t="s">
        <v>3656</v>
      </c>
      <c r="B1750" s="77" t="s">
        <v>1968</v>
      </c>
      <c r="G1750" s="77" t="s">
        <v>3498</v>
      </c>
      <c r="H1750" s="77" t="s">
        <v>77</v>
      </c>
      <c r="I1750" s="77" t="s">
        <v>1521</v>
      </c>
      <c r="J1750" s="77" t="s">
        <v>3039</v>
      </c>
      <c r="K1750" s="77" t="s">
        <v>1522</v>
      </c>
      <c r="L1750" s="77" t="s">
        <v>1174</v>
      </c>
      <c r="M1750" s="77" t="s">
        <v>82</v>
      </c>
      <c r="N1750" s="77" t="s">
        <v>83</v>
      </c>
      <c r="Q1750" s="77" t="s">
        <v>111</v>
      </c>
      <c r="T1750" s="77" t="s">
        <v>1666</v>
      </c>
      <c r="U1750" s="77" t="s">
        <v>85</v>
      </c>
      <c r="V1750" s="80" t="s">
        <v>657</v>
      </c>
      <c r="X1750" s="77" t="s">
        <v>658</v>
      </c>
      <c r="Y1750" s="78" t="s">
        <v>88</v>
      </c>
      <c r="AA1750" s="77" t="s">
        <v>1568</v>
      </c>
      <c r="AB1750" s="77" t="s">
        <v>1521</v>
      </c>
      <c r="AC1750" s="77" t="s">
        <v>90</v>
      </c>
      <c r="AD1750" s="77" t="s">
        <v>91</v>
      </c>
      <c r="AE1750" s="77" t="s">
        <v>3499</v>
      </c>
    </row>
    <row r="1751" spans="1:32" x14ac:dyDescent="0.3">
      <c r="A1751" s="77" t="s">
        <v>3657</v>
      </c>
      <c r="B1751" s="77" t="s">
        <v>1970</v>
      </c>
      <c r="G1751" s="77" t="s">
        <v>3498</v>
      </c>
      <c r="H1751" s="77" t="s">
        <v>77</v>
      </c>
      <c r="I1751" s="77" t="s">
        <v>1521</v>
      </c>
      <c r="J1751" s="77" t="s">
        <v>3039</v>
      </c>
      <c r="K1751" s="77" t="s">
        <v>1522</v>
      </c>
      <c r="L1751" s="77" t="s">
        <v>1174</v>
      </c>
      <c r="M1751" s="77" t="s">
        <v>82</v>
      </c>
      <c r="N1751" s="77" t="s">
        <v>83</v>
      </c>
      <c r="Q1751" s="77" t="s">
        <v>111</v>
      </c>
      <c r="T1751" s="77" t="s">
        <v>1666</v>
      </c>
      <c r="U1751" s="77" t="s">
        <v>85</v>
      </c>
      <c r="V1751" s="80" t="s">
        <v>657</v>
      </c>
      <c r="X1751" s="77" t="s">
        <v>658</v>
      </c>
      <c r="Y1751" s="78" t="s">
        <v>88</v>
      </c>
      <c r="AA1751" s="77" t="s">
        <v>1568</v>
      </c>
      <c r="AB1751" s="77" t="s">
        <v>1521</v>
      </c>
      <c r="AC1751" s="77" t="s">
        <v>90</v>
      </c>
      <c r="AD1751" s="77" t="s">
        <v>91</v>
      </c>
      <c r="AE1751" s="77" t="s">
        <v>3499</v>
      </c>
    </row>
    <row r="1752" spans="1:32" x14ac:dyDescent="0.3">
      <c r="A1752" s="77" t="s">
        <v>3658</v>
      </c>
      <c r="B1752" s="77" t="s">
        <v>1972</v>
      </c>
      <c r="G1752" s="77" t="s">
        <v>3498</v>
      </c>
      <c r="H1752" s="77" t="s">
        <v>77</v>
      </c>
      <c r="I1752" s="77" t="s">
        <v>1521</v>
      </c>
      <c r="J1752" s="77" t="s">
        <v>3039</v>
      </c>
      <c r="K1752" s="77" t="s">
        <v>1522</v>
      </c>
      <c r="L1752" s="77" t="s">
        <v>1174</v>
      </c>
      <c r="M1752" s="77" t="s">
        <v>82</v>
      </c>
      <c r="N1752" s="77" t="s">
        <v>83</v>
      </c>
      <c r="Q1752" s="77" t="s">
        <v>111</v>
      </c>
      <c r="T1752" s="77" t="s">
        <v>1666</v>
      </c>
      <c r="U1752" s="77" t="s">
        <v>85</v>
      </c>
      <c r="V1752" s="80" t="s">
        <v>657</v>
      </c>
      <c r="X1752" s="77" t="s">
        <v>658</v>
      </c>
      <c r="Y1752" s="78" t="s">
        <v>88</v>
      </c>
      <c r="AA1752" s="77" t="s">
        <v>1568</v>
      </c>
      <c r="AB1752" s="77" t="s">
        <v>1521</v>
      </c>
      <c r="AC1752" s="77" t="s">
        <v>90</v>
      </c>
      <c r="AD1752" s="77" t="s">
        <v>91</v>
      </c>
      <c r="AE1752" s="77" t="s">
        <v>3499</v>
      </c>
    </row>
    <row r="1753" spans="1:32" x14ac:dyDescent="0.3">
      <c r="A1753" s="77" t="s">
        <v>3659</v>
      </c>
      <c r="B1753" s="77" t="s">
        <v>1974</v>
      </c>
      <c r="G1753" s="77" t="s">
        <v>3498</v>
      </c>
      <c r="H1753" s="77" t="s">
        <v>77</v>
      </c>
      <c r="I1753" s="77" t="s">
        <v>1521</v>
      </c>
      <c r="J1753" s="77" t="s">
        <v>3039</v>
      </c>
      <c r="K1753" s="77" t="s">
        <v>1522</v>
      </c>
      <c r="L1753" s="77" t="s">
        <v>1177</v>
      </c>
      <c r="M1753" s="77" t="s">
        <v>82</v>
      </c>
      <c r="N1753" s="77" t="s">
        <v>83</v>
      </c>
      <c r="Q1753" s="77" t="s">
        <v>111</v>
      </c>
      <c r="T1753" s="77" t="s">
        <v>1666</v>
      </c>
      <c r="U1753" s="77" t="s">
        <v>85</v>
      </c>
      <c r="V1753" s="80" t="s">
        <v>657</v>
      </c>
      <c r="X1753" s="77" t="s">
        <v>658</v>
      </c>
      <c r="Y1753" s="78" t="s">
        <v>88</v>
      </c>
      <c r="AA1753" s="77" t="s">
        <v>1568</v>
      </c>
      <c r="AB1753" s="77" t="s">
        <v>1521</v>
      </c>
      <c r="AC1753" s="77" t="s">
        <v>90</v>
      </c>
      <c r="AD1753" s="77" t="s">
        <v>91</v>
      </c>
      <c r="AE1753" s="77" t="s">
        <v>3499</v>
      </c>
    </row>
    <row r="1754" spans="1:32" x14ac:dyDescent="0.3">
      <c r="A1754" s="77" t="s">
        <v>3660</v>
      </c>
      <c r="B1754" s="77" t="s">
        <v>1976</v>
      </c>
      <c r="G1754" s="77" t="s">
        <v>3498</v>
      </c>
      <c r="H1754" s="77" t="s">
        <v>77</v>
      </c>
      <c r="I1754" s="77" t="s">
        <v>1521</v>
      </c>
      <c r="J1754" s="77" t="s">
        <v>3039</v>
      </c>
      <c r="K1754" s="77" t="s">
        <v>1522</v>
      </c>
      <c r="L1754" s="77" t="s">
        <v>1177</v>
      </c>
      <c r="M1754" s="77" t="s">
        <v>82</v>
      </c>
      <c r="N1754" s="77" t="s">
        <v>83</v>
      </c>
      <c r="Q1754" s="77" t="s">
        <v>111</v>
      </c>
      <c r="T1754" s="77" t="s">
        <v>1666</v>
      </c>
      <c r="U1754" s="77" t="s">
        <v>85</v>
      </c>
      <c r="V1754" s="80" t="s">
        <v>657</v>
      </c>
      <c r="X1754" s="77" t="s">
        <v>658</v>
      </c>
      <c r="Y1754" s="78" t="s">
        <v>88</v>
      </c>
      <c r="AA1754" s="77" t="s">
        <v>1568</v>
      </c>
      <c r="AB1754" s="77" t="s">
        <v>1521</v>
      </c>
      <c r="AC1754" s="77" t="s">
        <v>90</v>
      </c>
      <c r="AD1754" s="77" t="s">
        <v>91</v>
      </c>
      <c r="AE1754" s="77" t="s">
        <v>3499</v>
      </c>
    </row>
    <row r="1755" spans="1:32" x14ac:dyDescent="0.3">
      <c r="A1755" s="77" t="s">
        <v>3661</v>
      </c>
      <c r="B1755" s="77" t="s">
        <v>1978</v>
      </c>
      <c r="G1755" s="77" t="s">
        <v>3498</v>
      </c>
      <c r="H1755" s="77" t="s">
        <v>77</v>
      </c>
      <c r="I1755" s="77" t="s">
        <v>1521</v>
      </c>
      <c r="J1755" s="77" t="s">
        <v>3039</v>
      </c>
      <c r="K1755" s="77" t="s">
        <v>1522</v>
      </c>
      <c r="L1755" s="77" t="s">
        <v>1174</v>
      </c>
      <c r="M1755" s="77" t="s">
        <v>82</v>
      </c>
      <c r="N1755" s="77" t="s">
        <v>83</v>
      </c>
      <c r="Q1755" s="77" t="s">
        <v>111</v>
      </c>
      <c r="T1755" s="77" t="s">
        <v>1666</v>
      </c>
      <c r="U1755" s="77" t="s">
        <v>85</v>
      </c>
      <c r="V1755" s="80" t="s">
        <v>657</v>
      </c>
      <c r="X1755" s="77" t="s">
        <v>658</v>
      </c>
      <c r="Y1755" s="78" t="s">
        <v>88</v>
      </c>
      <c r="AA1755" s="77" t="s">
        <v>1568</v>
      </c>
      <c r="AB1755" s="77" t="s">
        <v>1521</v>
      </c>
      <c r="AC1755" s="77" t="s">
        <v>90</v>
      </c>
      <c r="AD1755" s="77" t="s">
        <v>91</v>
      </c>
      <c r="AE1755" s="77" t="s">
        <v>3499</v>
      </c>
    </row>
    <row r="1756" spans="1:32" x14ac:dyDescent="0.3">
      <c r="A1756" s="77" t="s">
        <v>3662</v>
      </c>
      <c r="B1756" s="77" t="s">
        <v>1980</v>
      </c>
      <c r="G1756" s="77" t="s">
        <v>3498</v>
      </c>
      <c r="H1756" s="77" t="s">
        <v>77</v>
      </c>
      <c r="I1756" s="77" t="s">
        <v>1521</v>
      </c>
      <c r="J1756" s="77" t="s">
        <v>3039</v>
      </c>
      <c r="K1756" s="77" t="s">
        <v>1522</v>
      </c>
      <c r="L1756" s="77" t="s">
        <v>1174</v>
      </c>
      <c r="M1756" s="77" t="s">
        <v>82</v>
      </c>
      <c r="N1756" s="77" t="s">
        <v>83</v>
      </c>
      <c r="Q1756" s="77" t="s">
        <v>111</v>
      </c>
      <c r="T1756" s="77" t="s">
        <v>1666</v>
      </c>
      <c r="U1756" s="77" t="s">
        <v>85</v>
      </c>
      <c r="V1756" s="80" t="s">
        <v>657</v>
      </c>
      <c r="X1756" s="77" t="s">
        <v>658</v>
      </c>
      <c r="Y1756" s="78" t="s">
        <v>88</v>
      </c>
      <c r="AA1756" s="77" t="s">
        <v>1568</v>
      </c>
      <c r="AB1756" s="77" t="s">
        <v>1521</v>
      </c>
      <c r="AC1756" s="77" t="s">
        <v>90</v>
      </c>
      <c r="AD1756" s="77" t="s">
        <v>91</v>
      </c>
      <c r="AE1756" s="77" t="s">
        <v>3499</v>
      </c>
    </row>
    <row r="1757" spans="1:32" x14ac:dyDescent="0.3">
      <c r="A1757" s="77" t="s">
        <v>3663</v>
      </c>
      <c r="B1757" s="77" t="s">
        <v>1982</v>
      </c>
      <c r="G1757" s="77" t="s">
        <v>3498</v>
      </c>
      <c r="H1757" s="77" t="s">
        <v>77</v>
      </c>
      <c r="I1757" s="77" t="s">
        <v>1521</v>
      </c>
      <c r="J1757" s="77" t="s">
        <v>3039</v>
      </c>
      <c r="K1757" s="77" t="s">
        <v>1522</v>
      </c>
      <c r="L1757" s="77" t="s">
        <v>1174</v>
      </c>
      <c r="M1757" s="77" t="s">
        <v>82</v>
      </c>
      <c r="N1757" s="77" t="s">
        <v>83</v>
      </c>
      <c r="Q1757" s="77" t="s">
        <v>111</v>
      </c>
      <c r="T1757" s="77" t="s">
        <v>1666</v>
      </c>
      <c r="U1757" s="77" t="s">
        <v>85</v>
      </c>
      <c r="V1757" s="80" t="s">
        <v>657</v>
      </c>
      <c r="X1757" s="77" t="s">
        <v>658</v>
      </c>
      <c r="Y1757" s="78" t="s">
        <v>88</v>
      </c>
      <c r="AA1757" s="77" t="s">
        <v>1568</v>
      </c>
      <c r="AB1757" s="77" t="s">
        <v>1521</v>
      </c>
      <c r="AC1757" s="77" t="s">
        <v>90</v>
      </c>
      <c r="AD1757" s="77" t="s">
        <v>91</v>
      </c>
      <c r="AE1757" s="77" t="s">
        <v>3499</v>
      </c>
    </row>
    <row r="1758" spans="1:32" hidden="1" x14ac:dyDescent="0.3">
      <c r="A1758" s="77" t="s">
        <v>3664</v>
      </c>
      <c r="B1758" s="77" t="s">
        <v>1984</v>
      </c>
      <c r="G1758" s="77" t="s">
        <v>3498</v>
      </c>
      <c r="H1758" s="77" t="s">
        <v>77</v>
      </c>
      <c r="I1758" s="77" t="s">
        <v>1521</v>
      </c>
      <c r="J1758" s="77" t="s">
        <v>3039</v>
      </c>
      <c r="K1758" s="77" t="s">
        <v>1522</v>
      </c>
      <c r="L1758" s="77" t="s">
        <v>1985</v>
      </c>
      <c r="M1758" s="77" t="s">
        <v>82</v>
      </c>
      <c r="N1758" s="77" t="s">
        <v>83</v>
      </c>
      <c r="Q1758" s="77" t="s">
        <v>111</v>
      </c>
      <c r="T1758" s="77" t="s">
        <v>1666</v>
      </c>
      <c r="U1758" s="77" t="s">
        <v>85</v>
      </c>
      <c r="V1758" s="77" t="s">
        <v>657</v>
      </c>
      <c r="W1758" s="79">
        <v>46213.705223460645</v>
      </c>
      <c r="X1758" s="77" t="s">
        <v>658</v>
      </c>
      <c r="Y1758" s="78" t="s">
        <v>88</v>
      </c>
      <c r="AA1758" s="77" t="s">
        <v>1568</v>
      </c>
      <c r="AB1758" s="77" t="s">
        <v>1521</v>
      </c>
      <c r="AC1758" s="77" t="s">
        <v>114</v>
      </c>
      <c r="AD1758" s="77" t="s">
        <v>91</v>
      </c>
      <c r="AE1758" s="77" t="s">
        <v>3499</v>
      </c>
      <c r="AF1758" s="77" t="s">
        <v>2706</v>
      </c>
    </row>
    <row r="1759" spans="1:32" hidden="1" x14ac:dyDescent="0.3">
      <c r="A1759" s="77" t="s">
        <v>3665</v>
      </c>
      <c r="B1759" s="77" t="s">
        <v>1987</v>
      </c>
      <c r="G1759" s="77" t="s">
        <v>3498</v>
      </c>
      <c r="H1759" s="77" t="s">
        <v>77</v>
      </c>
      <c r="I1759" s="77" t="s">
        <v>1521</v>
      </c>
      <c r="J1759" s="77" t="s">
        <v>3039</v>
      </c>
      <c r="K1759" s="77" t="s">
        <v>1522</v>
      </c>
      <c r="L1759" s="77" t="s">
        <v>1988</v>
      </c>
      <c r="M1759" s="77" t="s">
        <v>82</v>
      </c>
      <c r="N1759" s="77" t="s">
        <v>83</v>
      </c>
      <c r="Q1759" s="77" t="s">
        <v>111</v>
      </c>
      <c r="T1759" s="77" t="s">
        <v>1666</v>
      </c>
      <c r="U1759" s="77" t="s">
        <v>85</v>
      </c>
      <c r="V1759" s="77" t="s">
        <v>657</v>
      </c>
      <c r="W1759" s="79">
        <v>46213.705014930558</v>
      </c>
      <c r="X1759" s="77" t="s">
        <v>658</v>
      </c>
      <c r="Y1759" s="78" t="s">
        <v>88</v>
      </c>
      <c r="AA1759" s="77" t="s">
        <v>1568</v>
      </c>
      <c r="AB1759" s="77" t="s">
        <v>1521</v>
      </c>
      <c r="AC1759" s="77" t="s">
        <v>114</v>
      </c>
      <c r="AD1759" s="77" t="s">
        <v>91</v>
      </c>
      <c r="AE1759" s="77" t="s">
        <v>3499</v>
      </c>
      <c r="AF1759" s="77" t="s">
        <v>2706</v>
      </c>
    </row>
    <row r="1760" spans="1:32" x14ac:dyDescent="0.3">
      <c r="A1760" s="77" t="s">
        <v>3666</v>
      </c>
      <c r="B1760" s="77" t="s">
        <v>1990</v>
      </c>
      <c r="G1760" s="77" t="s">
        <v>3498</v>
      </c>
      <c r="H1760" s="77" t="s">
        <v>77</v>
      </c>
      <c r="I1760" s="77" t="s">
        <v>1521</v>
      </c>
      <c r="J1760" s="77" t="s">
        <v>3039</v>
      </c>
      <c r="K1760" s="77" t="s">
        <v>1522</v>
      </c>
      <c r="L1760" s="77" t="s">
        <v>1991</v>
      </c>
      <c r="M1760" s="77" t="s">
        <v>82</v>
      </c>
      <c r="N1760" s="77" t="s">
        <v>83</v>
      </c>
      <c r="Q1760" s="77" t="s">
        <v>111</v>
      </c>
      <c r="T1760" s="77" t="s">
        <v>1666</v>
      </c>
      <c r="U1760" s="77" t="s">
        <v>85</v>
      </c>
      <c r="V1760" s="80" t="s">
        <v>665</v>
      </c>
      <c r="X1760" s="77" t="s">
        <v>666</v>
      </c>
      <c r="Y1760" s="78" t="s">
        <v>88</v>
      </c>
      <c r="AA1760" s="77" t="s">
        <v>1568</v>
      </c>
      <c r="AB1760" s="77" t="s">
        <v>1521</v>
      </c>
      <c r="AC1760" s="77" t="s">
        <v>90</v>
      </c>
      <c r="AD1760" s="77" t="s">
        <v>91</v>
      </c>
      <c r="AE1760" s="77" t="s">
        <v>3499</v>
      </c>
    </row>
    <row r="1761" spans="1:32" x14ac:dyDescent="0.3">
      <c r="A1761" s="77" t="s">
        <v>3667</v>
      </c>
      <c r="B1761" s="77" t="s">
        <v>1993</v>
      </c>
      <c r="G1761" s="77" t="s">
        <v>3498</v>
      </c>
      <c r="H1761" s="77" t="s">
        <v>77</v>
      </c>
      <c r="I1761" s="77" t="s">
        <v>1521</v>
      </c>
      <c r="J1761" s="77" t="s">
        <v>3039</v>
      </c>
      <c r="K1761" s="77" t="s">
        <v>1522</v>
      </c>
      <c r="L1761" s="77" t="s">
        <v>1991</v>
      </c>
      <c r="M1761" s="77" t="s">
        <v>82</v>
      </c>
      <c r="N1761" s="77" t="s">
        <v>83</v>
      </c>
      <c r="Q1761" s="77" t="s">
        <v>111</v>
      </c>
      <c r="T1761" s="77" t="s">
        <v>1666</v>
      </c>
      <c r="U1761" s="77" t="s">
        <v>85</v>
      </c>
      <c r="V1761" s="80" t="s">
        <v>665</v>
      </c>
      <c r="X1761" s="77" t="s">
        <v>666</v>
      </c>
      <c r="Y1761" s="78" t="s">
        <v>88</v>
      </c>
      <c r="AA1761" s="77" t="s">
        <v>1568</v>
      </c>
      <c r="AB1761" s="77" t="s">
        <v>1521</v>
      </c>
      <c r="AC1761" s="77" t="s">
        <v>90</v>
      </c>
      <c r="AD1761" s="77" t="s">
        <v>91</v>
      </c>
      <c r="AE1761" s="77" t="s">
        <v>3499</v>
      </c>
    </row>
    <row r="1762" spans="1:32" x14ac:dyDescent="0.3">
      <c r="A1762" s="77" t="s">
        <v>3668</v>
      </c>
      <c r="B1762" s="77" t="s">
        <v>1995</v>
      </c>
      <c r="G1762" s="77" t="s">
        <v>3498</v>
      </c>
      <c r="H1762" s="77" t="s">
        <v>77</v>
      </c>
      <c r="I1762" s="77" t="s">
        <v>1521</v>
      </c>
      <c r="J1762" s="77" t="s">
        <v>3039</v>
      </c>
      <c r="K1762" s="77" t="s">
        <v>1522</v>
      </c>
      <c r="L1762" s="77" t="s">
        <v>1991</v>
      </c>
      <c r="M1762" s="77" t="s">
        <v>82</v>
      </c>
      <c r="N1762" s="77" t="s">
        <v>83</v>
      </c>
      <c r="Q1762" s="77" t="s">
        <v>111</v>
      </c>
      <c r="T1762" s="77" t="s">
        <v>1666</v>
      </c>
      <c r="U1762" s="77" t="s">
        <v>85</v>
      </c>
      <c r="V1762" s="80" t="s">
        <v>665</v>
      </c>
      <c r="X1762" s="77" t="s">
        <v>666</v>
      </c>
      <c r="Y1762" s="78" t="s">
        <v>88</v>
      </c>
      <c r="AA1762" s="77" t="s">
        <v>1568</v>
      </c>
      <c r="AB1762" s="77" t="s">
        <v>1521</v>
      </c>
      <c r="AC1762" s="77" t="s">
        <v>90</v>
      </c>
      <c r="AD1762" s="77" t="s">
        <v>91</v>
      </c>
      <c r="AE1762" s="77" t="s">
        <v>3499</v>
      </c>
    </row>
    <row r="1763" spans="1:32" x14ac:dyDescent="0.3">
      <c r="A1763" s="77" t="s">
        <v>3669</v>
      </c>
      <c r="B1763" s="77" t="s">
        <v>1997</v>
      </c>
      <c r="G1763" s="77" t="s">
        <v>3498</v>
      </c>
      <c r="H1763" s="77" t="s">
        <v>77</v>
      </c>
      <c r="I1763" s="77" t="s">
        <v>1521</v>
      </c>
      <c r="J1763" s="77" t="s">
        <v>3039</v>
      </c>
      <c r="K1763" s="77" t="s">
        <v>1522</v>
      </c>
      <c r="L1763" s="77" t="s">
        <v>1991</v>
      </c>
      <c r="M1763" s="77" t="s">
        <v>82</v>
      </c>
      <c r="N1763" s="77" t="s">
        <v>83</v>
      </c>
      <c r="Q1763" s="77" t="s">
        <v>111</v>
      </c>
      <c r="T1763" s="77" t="s">
        <v>1666</v>
      </c>
      <c r="U1763" s="77" t="s">
        <v>85</v>
      </c>
      <c r="V1763" s="80" t="s">
        <v>665</v>
      </c>
      <c r="X1763" s="77" t="s">
        <v>666</v>
      </c>
      <c r="Y1763" s="78" t="s">
        <v>88</v>
      </c>
      <c r="AA1763" s="77" t="s">
        <v>1568</v>
      </c>
      <c r="AB1763" s="77" t="s">
        <v>1521</v>
      </c>
      <c r="AC1763" s="77" t="s">
        <v>90</v>
      </c>
      <c r="AD1763" s="77" t="s">
        <v>91</v>
      </c>
      <c r="AE1763" s="77" t="s">
        <v>3499</v>
      </c>
    </row>
    <row r="1764" spans="1:32" x14ac:dyDescent="0.3">
      <c r="A1764" s="77" t="s">
        <v>3670</v>
      </c>
      <c r="B1764" s="77" t="s">
        <v>1999</v>
      </c>
      <c r="G1764" s="77" t="s">
        <v>3498</v>
      </c>
      <c r="H1764" s="77" t="s">
        <v>77</v>
      </c>
      <c r="I1764" s="77" t="s">
        <v>1521</v>
      </c>
      <c r="J1764" s="77" t="s">
        <v>3039</v>
      </c>
      <c r="K1764" s="77" t="s">
        <v>1522</v>
      </c>
      <c r="L1764" s="77" t="s">
        <v>1991</v>
      </c>
      <c r="M1764" s="77" t="s">
        <v>82</v>
      </c>
      <c r="N1764" s="77" t="s">
        <v>83</v>
      </c>
      <c r="Q1764" s="77" t="s">
        <v>111</v>
      </c>
      <c r="T1764" s="77" t="s">
        <v>1666</v>
      </c>
      <c r="U1764" s="77" t="s">
        <v>85</v>
      </c>
      <c r="V1764" s="80" t="s">
        <v>665</v>
      </c>
      <c r="X1764" s="77" t="s">
        <v>666</v>
      </c>
      <c r="Y1764" s="78" t="s">
        <v>88</v>
      </c>
      <c r="AA1764" s="77" t="s">
        <v>1568</v>
      </c>
      <c r="AB1764" s="77" t="s">
        <v>1521</v>
      </c>
      <c r="AC1764" s="77" t="s">
        <v>90</v>
      </c>
      <c r="AD1764" s="77" t="s">
        <v>91</v>
      </c>
      <c r="AE1764" s="77" t="s">
        <v>3499</v>
      </c>
    </row>
    <row r="1765" spans="1:32" x14ac:dyDescent="0.3">
      <c r="A1765" s="77" t="s">
        <v>3671</v>
      </c>
      <c r="B1765" s="77" t="s">
        <v>2001</v>
      </c>
      <c r="G1765" s="77" t="s">
        <v>3498</v>
      </c>
      <c r="H1765" s="77" t="s">
        <v>77</v>
      </c>
      <c r="I1765" s="77" t="s">
        <v>1521</v>
      </c>
      <c r="J1765" s="77" t="s">
        <v>3039</v>
      </c>
      <c r="K1765" s="77" t="s">
        <v>1522</v>
      </c>
      <c r="L1765" s="77" t="s">
        <v>1190</v>
      </c>
      <c r="M1765" s="77" t="s">
        <v>82</v>
      </c>
      <c r="N1765" s="77" t="s">
        <v>83</v>
      </c>
      <c r="Q1765" s="77" t="s">
        <v>111</v>
      </c>
      <c r="T1765" s="77" t="s">
        <v>1666</v>
      </c>
      <c r="U1765" s="77" t="s">
        <v>85</v>
      </c>
      <c r="V1765" s="80" t="s">
        <v>665</v>
      </c>
      <c r="X1765" s="77" t="s">
        <v>666</v>
      </c>
      <c r="Y1765" s="78" t="s">
        <v>88</v>
      </c>
      <c r="AA1765" s="77" t="s">
        <v>1568</v>
      </c>
      <c r="AB1765" s="77" t="s">
        <v>1521</v>
      </c>
      <c r="AC1765" s="77" t="s">
        <v>90</v>
      </c>
      <c r="AD1765" s="77" t="s">
        <v>91</v>
      </c>
      <c r="AE1765" s="77" t="s">
        <v>3499</v>
      </c>
    </row>
    <row r="1766" spans="1:32" x14ac:dyDescent="0.3">
      <c r="A1766" s="77" t="s">
        <v>3672</v>
      </c>
      <c r="B1766" s="77" t="s">
        <v>2003</v>
      </c>
      <c r="G1766" s="77" t="s">
        <v>3498</v>
      </c>
      <c r="H1766" s="77" t="s">
        <v>77</v>
      </c>
      <c r="I1766" s="77" t="s">
        <v>1521</v>
      </c>
      <c r="J1766" s="77" t="s">
        <v>3039</v>
      </c>
      <c r="K1766" s="77" t="s">
        <v>1522</v>
      </c>
      <c r="L1766" s="77" t="s">
        <v>1190</v>
      </c>
      <c r="M1766" s="77" t="s">
        <v>82</v>
      </c>
      <c r="N1766" s="77" t="s">
        <v>83</v>
      </c>
      <c r="Q1766" s="77" t="s">
        <v>111</v>
      </c>
      <c r="T1766" s="77" t="s">
        <v>1666</v>
      </c>
      <c r="U1766" s="77" t="s">
        <v>85</v>
      </c>
      <c r="V1766" s="80" t="s">
        <v>665</v>
      </c>
      <c r="X1766" s="77" t="s">
        <v>666</v>
      </c>
      <c r="Y1766" s="78" t="s">
        <v>88</v>
      </c>
      <c r="AA1766" s="77" t="s">
        <v>1568</v>
      </c>
      <c r="AB1766" s="77" t="s">
        <v>1521</v>
      </c>
      <c r="AC1766" s="77" t="s">
        <v>90</v>
      </c>
      <c r="AD1766" s="77" t="s">
        <v>91</v>
      </c>
      <c r="AE1766" s="77" t="s">
        <v>3499</v>
      </c>
    </row>
    <row r="1767" spans="1:32" x14ac:dyDescent="0.3">
      <c r="A1767" s="77" t="s">
        <v>3673</v>
      </c>
      <c r="B1767" s="77" t="s">
        <v>2005</v>
      </c>
      <c r="G1767" s="77" t="s">
        <v>3498</v>
      </c>
      <c r="H1767" s="77" t="s">
        <v>77</v>
      </c>
      <c r="I1767" s="77" t="s">
        <v>1521</v>
      </c>
      <c r="J1767" s="77" t="s">
        <v>3039</v>
      </c>
      <c r="K1767" s="77" t="s">
        <v>1522</v>
      </c>
      <c r="L1767" s="77" t="s">
        <v>1190</v>
      </c>
      <c r="M1767" s="77" t="s">
        <v>82</v>
      </c>
      <c r="N1767" s="77" t="s">
        <v>83</v>
      </c>
      <c r="Q1767" s="77" t="s">
        <v>111</v>
      </c>
      <c r="T1767" s="77" t="s">
        <v>1666</v>
      </c>
      <c r="U1767" s="77" t="s">
        <v>85</v>
      </c>
      <c r="V1767" s="80" t="s">
        <v>665</v>
      </c>
      <c r="X1767" s="77" t="s">
        <v>666</v>
      </c>
      <c r="Y1767" s="78" t="s">
        <v>88</v>
      </c>
      <c r="AA1767" s="77" t="s">
        <v>1568</v>
      </c>
      <c r="AB1767" s="77" t="s">
        <v>1521</v>
      </c>
      <c r="AC1767" s="77" t="s">
        <v>90</v>
      </c>
      <c r="AD1767" s="77" t="s">
        <v>91</v>
      </c>
      <c r="AE1767" s="77" t="s">
        <v>3499</v>
      </c>
    </row>
    <row r="1768" spans="1:32" x14ac:dyDescent="0.3">
      <c r="A1768" s="77" t="s">
        <v>3674</v>
      </c>
      <c r="B1768" s="77" t="s">
        <v>2007</v>
      </c>
      <c r="G1768" s="77" t="s">
        <v>3498</v>
      </c>
      <c r="H1768" s="77" t="s">
        <v>77</v>
      </c>
      <c r="I1768" s="77" t="s">
        <v>1521</v>
      </c>
      <c r="J1768" s="77" t="s">
        <v>3039</v>
      </c>
      <c r="K1768" s="77" t="s">
        <v>1522</v>
      </c>
      <c r="L1768" s="77" t="s">
        <v>1190</v>
      </c>
      <c r="M1768" s="77" t="s">
        <v>82</v>
      </c>
      <c r="N1768" s="77" t="s">
        <v>83</v>
      </c>
      <c r="Q1768" s="77" t="s">
        <v>111</v>
      </c>
      <c r="T1768" s="77" t="s">
        <v>1666</v>
      </c>
      <c r="U1768" s="77" t="s">
        <v>85</v>
      </c>
      <c r="V1768" s="80" t="s">
        <v>665</v>
      </c>
      <c r="X1768" s="77" t="s">
        <v>666</v>
      </c>
      <c r="Y1768" s="78" t="s">
        <v>88</v>
      </c>
      <c r="AA1768" s="77" t="s">
        <v>1568</v>
      </c>
      <c r="AB1768" s="77" t="s">
        <v>1521</v>
      </c>
      <c r="AC1768" s="77" t="s">
        <v>90</v>
      </c>
      <c r="AD1768" s="77" t="s">
        <v>91</v>
      </c>
      <c r="AE1768" s="77" t="s">
        <v>3499</v>
      </c>
    </row>
    <row r="1769" spans="1:32" x14ac:dyDescent="0.3">
      <c r="A1769" s="77" t="s">
        <v>3675</v>
      </c>
      <c r="B1769" s="77" t="s">
        <v>2009</v>
      </c>
      <c r="G1769" s="77" t="s">
        <v>3498</v>
      </c>
      <c r="H1769" s="77" t="s">
        <v>77</v>
      </c>
      <c r="I1769" s="77" t="s">
        <v>1521</v>
      </c>
      <c r="J1769" s="77" t="s">
        <v>3039</v>
      </c>
      <c r="K1769" s="77" t="s">
        <v>1522</v>
      </c>
      <c r="L1769" s="77" t="s">
        <v>1193</v>
      </c>
      <c r="M1769" s="77" t="s">
        <v>82</v>
      </c>
      <c r="N1769" s="77" t="s">
        <v>83</v>
      </c>
      <c r="Q1769" s="77" t="s">
        <v>111</v>
      </c>
      <c r="T1769" s="77" t="s">
        <v>1666</v>
      </c>
      <c r="U1769" s="77" t="s">
        <v>85</v>
      </c>
      <c r="V1769" s="80" t="s">
        <v>665</v>
      </c>
      <c r="X1769" s="77" t="s">
        <v>666</v>
      </c>
      <c r="Y1769" s="78" t="s">
        <v>88</v>
      </c>
      <c r="AA1769" s="77" t="s">
        <v>1568</v>
      </c>
      <c r="AB1769" s="77" t="s">
        <v>1521</v>
      </c>
      <c r="AC1769" s="77" t="s">
        <v>90</v>
      </c>
      <c r="AD1769" s="77" t="s">
        <v>91</v>
      </c>
      <c r="AE1769" s="77" t="s">
        <v>3499</v>
      </c>
    </row>
    <row r="1770" spans="1:32" x14ac:dyDescent="0.3">
      <c r="A1770" s="77" t="s">
        <v>3676</v>
      </c>
      <c r="B1770" s="77" t="s">
        <v>2011</v>
      </c>
      <c r="G1770" s="77" t="s">
        <v>3498</v>
      </c>
      <c r="H1770" s="77" t="s">
        <v>77</v>
      </c>
      <c r="I1770" s="77" t="s">
        <v>1521</v>
      </c>
      <c r="J1770" s="77" t="s">
        <v>3039</v>
      </c>
      <c r="K1770" s="77" t="s">
        <v>1522</v>
      </c>
      <c r="L1770" s="77" t="s">
        <v>1193</v>
      </c>
      <c r="M1770" s="77" t="s">
        <v>82</v>
      </c>
      <c r="N1770" s="77" t="s">
        <v>83</v>
      </c>
      <c r="Q1770" s="77" t="s">
        <v>111</v>
      </c>
      <c r="T1770" s="77" t="s">
        <v>1666</v>
      </c>
      <c r="U1770" s="77" t="s">
        <v>85</v>
      </c>
      <c r="V1770" s="80" t="s">
        <v>665</v>
      </c>
      <c r="X1770" s="77" t="s">
        <v>666</v>
      </c>
      <c r="Y1770" s="78" t="s">
        <v>88</v>
      </c>
      <c r="AA1770" s="77" t="s">
        <v>1568</v>
      </c>
      <c r="AB1770" s="77" t="s">
        <v>1521</v>
      </c>
      <c r="AC1770" s="77" t="s">
        <v>90</v>
      </c>
      <c r="AD1770" s="77" t="s">
        <v>91</v>
      </c>
      <c r="AE1770" s="77" t="s">
        <v>3499</v>
      </c>
    </row>
    <row r="1771" spans="1:32" x14ac:dyDescent="0.3">
      <c r="A1771" s="77" t="s">
        <v>3677</v>
      </c>
      <c r="B1771" s="77" t="s">
        <v>2013</v>
      </c>
      <c r="G1771" s="77" t="s">
        <v>3498</v>
      </c>
      <c r="H1771" s="77" t="s">
        <v>77</v>
      </c>
      <c r="I1771" s="77" t="s">
        <v>1521</v>
      </c>
      <c r="J1771" s="77" t="s">
        <v>3039</v>
      </c>
      <c r="K1771" s="77" t="s">
        <v>1522</v>
      </c>
      <c r="L1771" s="77" t="s">
        <v>1190</v>
      </c>
      <c r="M1771" s="77" t="s">
        <v>82</v>
      </c>
      <c r="N1771" s="77" t="s">
        <v>83</v>
      </c>
      <c r="Q1771" s="77" t="s">
        <v>111</v>
      </c>
      <c r="T1771" s="77" t="s">
        <v>1666</v>
      </c>
      <c r="U1771" s="77" t="s">
        <v>85</v>
      </c>
      <c r="V1771" s="80" t="s">
        <v>665</v>
      </c>
      <c r="X1771" s="77" t="s">
        <v>666</v>
      </c>
      <c r="Y1771" s="78" t="s">
        <v>88</v>
      </c>
      <c r="AA1771" s="77" t="s">
        <v>1568</v>
      </c>
      <c r="AB1771" s="77" t="s">
        <v>1521</v>
      </c>
      <c r="AC1771" s="77" t="s">
        <v>90</v>
      </c>
      <c r="AD1771" s="77" t="s">
        <v>91</v>
      </c>
      <c r="AE1771" s="77" t="s">
        <v>3499</v>
      </c>
    </row>
    <row r="1772" spans="1:32" x14ac:dyDescent="0.3">
      <c r="A1772" s="77" t="s">
        <v>3678</v>
      </c>
      <c r="B1772" s="77" t="s">
        <v>2015</v>
      </c>
      <c r="G1772" s="77" t="s">
        <v>3498</v>
      </c>
      <c r="H1772" s="77" t="s">
        <v>77</v>
      </c>
      <c r="I1772" s="77" t="s">
        <v>1521</v>
      </c>
      <c r="J1772" s="77" t="s">
        <v>3039</v>
      </c>
      <c r="K1772" s="77" t="s">
        <v>1522</v>
      </c>
      <c r="L1772" s="77" t="s">
        <v>1190</v>
      </c>
      <c r="M1772" s="77" t="s">
        <v>82</v>
      </c>
      <c r="N1772" s="77" t="s">
        <v>83</v>
      </c>
      <c r="Q1772" s="77" t="s">
        <v>111</v>
      </c>
      <c r="T1772" s="77" t="s">
        <v>1666</v>
      </c>
      <c r="U1772" s="77" t="s">
        <v>85</v>
      </c>
      <c r="V1772" s="80" t="s">
        <v>665</v>
      </c>
      <c r="X1772" s="77" t="s">
        <v>666</v>
      </c>
      <c r="Y1772" s="78" t="s">
        <v>88</v>
      </c>
      <c r="AA1772" s="77" t="s">
        <v>1568</v>
      </c>
      <c r="AB1772" s="77" t="s">
        <v>1521</v>
      </c>
      <c r="AC1772" s="77" t="s">
        <v>90</v>
      </c>
      <c r="AD1772" s="77" t="s">
        <v>91</v>
      </c>
      <c r="AE1772" s="77" t="s">
        <v>3499</v>
      </c>
    </row>
    <row r="1773" spans="1:32" x14ac:dyDescent="0.3">
      <c r="A1773" s="77" t="s">
        <v>3679</v>
      </c>
      <c r="B1773" s="77" t="s">
        <v>2017</v>
      </c>
      <c r="G1773" s="77" t="s">
        <v>3498</v>
      </c>
      <c r="H1773" s="77" t="s">
        <v>77</v>
      </c>
      <c r="I1773" s="77" t="s">
        <v>1521</v>
      </c>
      <c r="J1773" s="77" t="s">
        <v>3039</v>
      </c>
      <c r="K1773" s="77" t="s">
        <v>1522</v>
      </c>
      <c r="L1773" s="77" t="s">
        <v>1190</v>
      </c>
      <c r="M1773" s="77" t="s">
        <v>82</v>
      </c>
      <c r="N1773" s="77" t="s">
        <v>83</v>
      </c>
      <c r="Q1773" s="77" t="s">
        <v>111</v>
      </c>
      <c r="T1773" s="77" t="s">
        <v>1666</v>
      </c>
      <c r="U1773" s="77" t="s">
        <v>85</v>
      </c>
      <c r="V1773" s="80" t="s">
        <v>665</v>
      </c>
      <c r="X1773" s="77" t="s">
        <v>666</v>
      </c>
      <c r="Y1773" s="78" t="s">
        <v>88</v>
      </c>
      <c r="AA1773" s="77" t="s">
        <v>1568</v>
      </c>
      <c r="AB1773" s="77" t="s">
        <v>1521</v>
      </c>
      <c r="AC1773" s="77" t="s">
        <v>90</v>
      </c>
      <c r="AD1773" s="77" t="s">
        <v>91</v>
      </c>
      <c r="AE1773" s="77" t="s">
        <v>3499</v>
      </c>
    </row>
    <row r="1774" spans="1:32" hidden="1" x14ac:dyDescent="0.3">
      <c r="A1774" s="77" t="s">
        <v>3680</v>
      </c>
      <c r="B1774" s="77" t="s">
        <v>2019</v>
      </c>
      <c r="G1774" s="77" t="s">
        <v>3498</v>
      </c>
      <c r="H1774" s="77" t="s">
        <v>77</v>
      </c>
      <c r="I1774" s="77" t="s">
        <v>1521</v>
      </c>
      <c r="J1774" s="77" t="s">
        <v>3039</v>
      </c>
      <c r="K1774" s="77" t="s">
        <v>1522</v>
      </c>
      <c r="L1774" s="77" t="s">
        <v>2020</v>
      </c>
      <c r="M1774" s="77" t="s">
        <v>82</v>
      </c>
      <c r="N1774" s="77" t="s">
        <v>83</v>
      </c>
      <c r="Q1774" s="77" t="s">
        <v>111</v>
      </c>
      <c r="T1774" s="77" t="s">
        <v>1666</v>
      </c>
      <c r="U1774" s="77" t="s">
        <v>85</v>
      </c>
      <c r="V1774" s="77" t="s">
        <v>665</v>
      </c>
      <c r="W1774" s="79">
        <v>46213.704658993054</v>
      </c>
      <c r="X1774" s="77" t="s">
        <v>666</v>
      </c>
      <c r="Y1774" s="78" t="s">
        <v>88</v>
      </c>
      <c r="AA1774" s="77" t="s">
        <v>1568</v>
      </c>
      <c r="AB1774" s="77" t="s">
        <v>1521</v>
      </c>
      <c r="AC1774" s="77" t="s">
        <v>114</v>
      </c>
      <c r="AD1774" s="77" t="s">
        <v>91</v>
      </c>
      <c r="AE1774" s="77" t="s">
        <v>3499</v>
      </c>
      <c r="AF1774" s="77" t="s">
        <v>2706</v>
      </c>
    </row>
    <row r="1775" spans="1:32" hidden="1" x14ac:dyDescent="0.3">
      <c r="A1775" s="77" t="s">
        <v>3681</v>
      </c>
      <c r="B1775" s="77" t="s">
        <v>2022</v>
      </c>
      <c r="G1775" s="77" t="s">
        <v>3498</v>
      </c>
      <c r="H1775" s="77" t="s">
        <v>77</v>
      </c>
      <c r="I1775" s="77" t="s">
        <v>1521</v>
      </c>
      <c r="J1775" s="77" t="s">
        <v>3039</v>
      </c>
      <c r="K1775" s="77" t="s">
        <v>1522</v>
      </c>
      <c r="L1775" s="77" t="s">
        <v>2023</v>
      </c>
      <c r="M1775" s="77" t="s">
        <v>82</v>
      </c>
      <c r="N1775" s="77" t="s">
        <v>83</v>
      </c>
      <c r="Q1775" s="77" t="s">
        <v>111</v>
      </c>
      <c r="T1775" s="77" t="s">
        <v>1666</v>
      </c>
      <c r="U1775" s="77" t="s">
        <v>85</v>
      </c>
      <c r="V1775" s="77" t="s">
        <v>665</v>
      </c>
      <c r="W1775" s="79">
        <v>46213.704264583335</v>
      </c>
      <c r="X1775" s="77" t="s">
        <v>666</v>
      </c>
      <c r="Y1775" s="78" t="s">
        <v>88</v>
      </c>
      <c r="AA1775" s="77" t="s">
        <v>1568</v>
      </c>
      <c r="AB1775" s="77" t="s">
        <v>1521</v>
      </c>
      <c r="AC1775" s="77" t="s">
        <v>114</v>
      </c>
      <c r="AD1775" s="77" t="s">
        <v>91</v>
      </c>
      <c r="AE1775" s="77" t="s">
        <v>3499</v>
      </c>
      <c r="AF1775" s="77" t="s">
        <v>2706</v>
      </c>
    </row>
    <row r="1776" spans="1:32" x14ac:dyDescent="0.3">
      <c r="A1776" s="77" t="s">
        <v>3682</v>
      </c>
      <c r="B1776" s="77" t="s">
        <v>2025</v>
      </c>
      <c r="G1776" s="77" t="s">
        <v>3498</v>
      </c>
      <c r="H1776" s="77" t="s">
        <v>77</v>
      </c>
      <c r="I1776" s="77" t="s">
        <v>1521</v>
      </c>
      <c r="J1776" s="77" t="s">
        <v>3039</v>
      </c>
      <c r="K1776" s="77" t="s">
        <v>1522</v>
      </c>
      <c r="L1776" s="77" t="s">
        <v>2026</v>
      </c>
      <c r="M1776" s="77" t="s">
        <v>82</v>
      </c>
      <c r="N1776" s="77" t="s">
        <v>83</v>
      </c>
      <c r="Q1776" s="77" t="s">
        <v>111</v>
      </c>
      <c r="T1776" s="77" t="s">
        <v>1666</v>
      </c>
      <c r="U1776" s="77" t="s">
        <v>85</v>
      </c>
      <c r="V1776" s="80" t="s">
        <v>673</v>
      </c>
      <c r="X1776" s="77" t="s">
        <v>674</v>
      </c>
      <c r="Y1776" s="78" t="s">
        <v>101</v>
      </c>
      <c r="AA1776" s="77" t="s">
        <v>1568</v>
      </c>
      <c r="AB1776" s="77" t="s">
        <v>1521</v>
      </c>
      <c r="AC1776" s="77" t="s">
        <v>90</v>
      </c>
      <c r="AD1776" s="77" t="s">
        <v>102</v>
      </c>
      <c r="AE1776" s="77" t="s">
        <v>3499</v>
      </c>
    </row>
    <row r="1777" spans="1:32" x14ac:dyDescent="0.3">
      <c r="A1777" s="77" t="s">
        <v>3683</v>
      </c>
      <c r="B1777" s="77" t="s">
        <v>2028</v>
      </c>
      <c r="G1777" s="77" t="s">
        <v>3498</v>
      </c>
      <c r="H1777" s="77" t="s">
        <v>77</v>
      </c>
      <c r="I1777" s="77" t="s">
        <v>1521</v>
      </c>
      <c r="J1777" s="77" t="s">
        <v>3039</v>
      </c>
      <c r="K1777" s="77" t="s">
        <v>1522</v>
      </c>
      <c r="L1777" s="77" t="s">
        <v>2026</v>
      </c>
      <c r="M1777" s="77" t="s">
        <v>82</v>
      </c>
      <c r="N1777" s="77" t="s">
        <v>83</v>
      </c>
      <c r="Q1777" s="77" t="s">
        <v>111</v>
      </c>
      <c r="T1777" s="77" t="s">
        <v>1666</v>
      </c>
      <c r="U1777" s="77" t="s">
        <v>85</v>
      </c>
      <c r="V1777" s="80" t="s">
        <v>673</v>
      </c>
      <c r="X1777" s="77" t="s">
        <v>674</v>
      </c>
      <c r="Y1777" s="78" t="s">
        <v>101</v>
      </c>
      <c r="AA1777" s="77" t="s">
        <v>1568</v>
      </c>
      <c r="AB1777" s="77" t="s">
        <v>1521</v>
      </c>
      <c r="AC1777" s="77" t="s">
        <v>90</v>
      </c>
      <c r="AD1777" s="77" t="s">
        <v>102</v>
      </c>
      <c r="AE1777" s="77" t="s">
        <v>3499</v>
      </c>
    </row>
    <row r="1778" spans="1:32" x14ac:dyDescent="0.3">
      <c r="A1778" s="77" t="s">
        <v>3684</v>
      </c>
      <c r="B1778" s="77" t="s">
        <v>2030</v>
      </c>
      <c r="G1778" s="77" t="s">
        <v>3498</v>
      </c>
      <c r="H1778" s="77" t="s">
        <v>77</v>
      </c>
      <c r="I1778" s="77" t="s">
        <v>1521</v>
      </c>
      <c r="J1778" s="77" t="s">
        <v>3039</v>
      </c>
      <c r="K1778" s="77" t="s">
        <v>1522</v>
      </c>
      <c r="L1778" s="77" t="s">
        <v>2026</v>
      </c>
      <c r="M1778" s="77" t="s">
        <v>82</v>
      </c>
      <c r="N1778" s="77" t="s">
        <v>83</v>
      </c>
      <c r="Q1778" s="77" t="s">
        <v>111</v>
      </c>
      <c r="T1778" s="77" t="s">
        <v>1666</v>
      </c>
      <c r="U1778" s="77" t="s">
        <v>85</v>
      </c>
      <c r="V1778" s="80" t="s">
        <v>673</v>
      </c>
      <c r="X1778" s="77" t="s">
        <v>674</v>
      </c>
      <c r="Y1778" s="78" t="s">
        <v>101</v>
      </c>
      <c r="AA1778" s="77" t="s">
        <v>1568</v>
      </c>
      <c r="AB1778" s="77" t="s">
        <v>1521</v>
      </c>
      <c r="AC1778" s="77" t="s">
        <v>90</v>
      </c>
      <c r="AD1778" s="77" t="s">
        <v>102</v>
      </c>
      <c r="AE1778" s="77" t="s">
        <v>3499</v>
      </c>
    </row>
    <row r="1779" spans="1:32" x14ac:dyDescent="0.3">
      <c r="A1779" s="77" t="s">
        <v>3685</v>
      </c>
      <c r="B1779" s="77" t="s">
        <v>2032</v>
      </c>
      <c r="G1779" s="77" t="s">
        <v>3498</v>
      </c>
      <c r="H1779" s="77" t="s">
        <v>77</v>
      </c>
      <c r="I1779" s="77" t="s">
        <v>1521</v>
      </c>
      <c r="J1779" s="77" t="s">
        <v>3039</v>
      </c>
      <c r="K1779" s="77" t="s">
        <v>1522</v>
      </c>
      <c r="L1779" s="77" t="s">
        <v>2026</v>
      </c>
      <c r="M1779" s="77" t="s">
        <v>82</v>
      </c>
      <c r="N1779" s="77" t="s">
        <v>83</v>
      </c>
      <c r="Q1779" s="77" t="s">
        <v>111</v>
      </c>
      <c r="T1779" s="77" t="s">
        <v>1666</v>
      </c>
      <c r="U1779" s="77" t="s">
        <v>85</v>
      </c>
      <c r="V1779" s="80" t="s">
        <v>673</v>
      </c>
      <c r="X1779" s="77" t="s">
        <v>674</v>
      </c>
      <c r="Y1779" s="78" t="s">
        <v>101</v>
      </c>
      <c r="AA1779" s="77" t="s">
        <v>1568</v>
      </c>
      <c r="AB1779" s="77" t="s">
        <v>1521</v>
      </c>
      <c r="AC1779" s="77" t="s">
        <v>90</v>
      </c>
      <c r="AD1779" s="77" t="s">
        <v>102</v>
      </c>
      <c r="AE1779" s="77" t="s">
        <v>3499</v>
      </c>
    </row>
    <row r="1780" spans="1:32" x14ac:dyDescent="0.3">
      <c r="A1780" s="77" t="s">
        <v>3686</v>
      </c>
      <c r="B1780" s="77" t="s">
        <v>2034</v>
      </c>
      <c r="G1780" s="77" t="s">
        <v>3498</v>
      </c>
      <c r="H1780" s="77" t="s">
        <v>77</v>
      </c>
      <c r="I1780" s="77" t="s">
        <v>1521</v>
      </c>
      <c r="J1780" s="77" t="s">
        <v>3039</v>
      </c>
      <c r="K1780" s="77" t="s">
        <v>1522</v>
      </c>
      <c r="L1780" s="77" t="s">
        <v>2026</v>
      </c>
      <c r="M1780" s="77" t="s">
        <v>82</v>
      </c>
      <c r="N1780" s="77" t="s">
        <v>83</v>
      </c>
      <c r="Q1780" s="77" t="s">
        <v>111</v>
      </c>
      <c r="T1780" s="77" t="s">
        <v>1666</v>
      </c>
      <c r="U1780" s="77" t="s">
        <v>85</v>
      </c>
      <c r="V1780" s="80" t="s">
        <v>673</v>
      </c>
      <c r="X1780" s="77" t="s">
        <v>674</v>
      </c>
      <c r="Y1780" s="78" t="s">
        <v>101</v>
      </c>
      <c r="AA1780" s="77" t="s">
        <v>1568</v>
      </c>
      <c r="AB1780" s="77" t="s">
        <v>1521</v>
      </c>
      <c r="AC1780" s="77" t="s">
        <v>90</v>
      </c>
      <c r="AD1780" s="77" t="s">
        <v>102</v>
      </c>
      <c r="AE1780" s="77" t="s">
        <v>3499</v>
      </c>
    </row>
    <row r="1781" spans="1:32" x14ac:dyDescent="0.3">
      <c r="A1781" s="77" t="s">
        <v>3687</v>
      </c>
      <c r="B1781" s="77" t="s">
        <v>2036</v>
      </c>
      <c r="G1781" s="77" t="s">
        <v>3498</v>
      </c>
      <c r="H1781" s="77" t="s">
        <v>77</v>
      </c>
      <c r="I1781" s="77" t="s">
        <v>1521</v>
      </c>
      <c r="J1781" s="77" t="s">
        <v>3039</v>
      </c>
      <c r="K1781" s="77" t="s">
        <v>1522</v>
      </c>
      <c r="L1781" s="77" t="s">
        <v>1206</v>
      </c>
      <c r="M1781" s="77" t="s">
        <v>82</v>
      </c>
      <c r="N1781" s="77" t="s">
        <v>83</v>
      </c>
      <c r="Q1781" s="77" t="s">
        <v>111</v>
      </c>
      <c r="T1781" s="77" t="s">
        <v>1666</v>
      </c>
      <c r="U1781" s="77" t="s">
        <v>85</v>
      </c>
      <c r="V1781" s="80" t="s">
        <v>673</v>
      </c>
      <c r="X1781" s="77" t="s">
        <v>674</v>
      </c>
      <c r="Y1781" s="78" t="s">
        <v>101</v>
      </c>
      <c r="AA1781" s="77" t="s">
        <v>1568</v>
      </c>
      <c r="AB1781" s="77" t="s">
        <v>1521</v>
      </c>
      <c r="AC1781" s="77" t="s">
        <v>90</v>
      </c>
      <c r="AD1781" s="77" t="s">
        <v>102</v>
      </c>
      <c r="AE1781" s="77" t="s">
        <v>3499</v>
      </c>
    </row>
    <row r="1782" spans="1:32" x14ac:dyDescent="0.3">
      <c r="A1782" s="77" t="s">
        <v>3688</v>
      </c>
      <c r="B1782" s="77" t="s">
        <v>2038</v>
      </c>
      <c r="G1782" s="77" t="s">
        <v>3498</v>
      </c>
      <c r="H1782" s="77" t="s">
        <v>77</v>
      </c>
      <c r="I1782" s="77" t="s">
        <v>1521</v>
      </c>
      <c r="J1782" s="77" t="s">
        <v>3039</v>
      </c>
      <c r="K1782" s="77" t="s">
        <v>1522</v>
      </c>
      <c r="L1782" s="77" t="s">
        <v>1206</v>
      </c>
      <c r="M1782" s="77" t="s">
        <v>82</v>
      </c>
      <c r="N1782" s="77" t="s">
        <v>83</v>
      </c>
      <c r="Q1782" s="77" t="s">
        <v>111</v>
      </c>
      <c r="T1782" s="77" t="s">
        <v>1666</v>
      </c>
      <c r="U1782" s="77" t="s">
        <v>85</v>
      </c>
      <c r="V1782" s="80" t="s">
        <v>673</v>
      </c>
      <c r="X1782" s="77" t="s">
        <v>674</v>
      </c>
      <c r="Y1782" s="78" t="s">
        <v>101</v>
      </c>
      <c r="AA1782" s="77" t="s">
        <v>1568</v>
      </c>
      <c r="AB1782" s="77" t="s">
        <v>1521</v>
      </c>
      <c r="AC1782" s="77" t="s">
        <v>90</v>
      </c>
      <c r="AD1782" s="77" t="s">
        <v>102</v>
      </c>
      <c r="AE1782" s="77" t="s">
        <v>3499</v>
      </c>
    </row>
    <row r="1783" spans="1:32" x14ac:dyDescent="0.3">
      <c r="A1783" s="77" t="s">
        <v>3689</v>
      </c>
      <c r="B1783" s="77" t="s">
        <v>2040</v>
      </c>
      <c r="G1783" s="77" t="s">
        <v>3498</v>
      </c>
      <c r="H1783" s="77" t="s">
        <v>77</v>
      </c>
      <c r="I1783" s="77" t="s">
        <v>1521</v>
      </c>
      <c r="J1783" s="77" t="s">
        <v>3039</v>
      </c>
      <c r="K1783" s="77" t="s">
        <v>1522</v>
      </c>
      <c r="L1783" s="77" t="s">
        <v>1206</v>
      </c>
      <c r="M1783" s="77" t="s">
        <v>82</v>
      </c>
      <c r="N1783" s="77" t="s">
        <v>83</v>
      </c>
      <c r="Q1783" s="77" t="s">
        <v>111</v>
      </c>
      <c r="T1783" s="77" t="s">
        <v>1666</v>
      </c>
      <c r="U1783" s="77" t="s">
        <v>85</v>
      </c>
      <c r="V1783" s="80" t="s">
        <v>673</v>
      </c>
      <c r="X1783" s="77" t="s">
        <v>674</v>
      </c>
      <c r="Y1783" s="78" t="s">
        <v>101</v>
      </c>
      <c r="AA1783" s="77" t="s">
        <v>1568</v>
      </c>
      <c r="AB1783" s="77" t="s">
        <v>1521</v>
      </c>
      <c r="AC1783" s="77" t="s">
        <v>90</v>
      </c>
      <c r="AD1783" s="77" t="s">
        <v>102</v>
      </c>
      <c r="AE1783" s="77" t="s">
        <v>3499</v>
      </c>
    </row>
    <row r="1784" spans="1:32" x14ac:dyDescent="0.3">
      <c r="A1784" s="77" t="s">
        <v>3690</v>
      </c>
      <c r="B1784" s="77" t="s">
        <v>2042</v>
      </c>
      <c r="G1784" s="77" t="s">
        <v>3498</v>
      </c>
      <c r="H1784" s="77" t="s">
        <v>77</v>
      </c>
      <c r="I1784" s="77" t="s">
        <v>1521</v>
      </c>
      <c r="J1784" s="77" t="s">
        <v>3039</v>
      </c>
      <c r="K1784" s="77" t="s">
        <v>1522</v>
      </c>
      <c r="L1784" s="77" t="s">
        <v>1206</v>
      </c>
      <c r="M1784" s="77" t="s">
        <v>82</v>
      </c>
      <c r="N1784" s="77" t="s">
        <v>83</v>
      </c>
      <c r="Q1784" s="77" t="s">
        <v>111</v>
      </c>
      <c r="T1784" s="77" t="s">
        <v>1666</v>
      </c>
      <c r="U1784" s="77" t="s">
        <v>85</v>
      </c>
      <c r="V1784" s="80" t="s">
        <v>673</v>
      </c>
      <c r="X1784" s="77" t="s">
        <v>674</v>
      </c>
      <c r="Y1784" s="78" t="s">
        <v>101</v>
      </c>
      <c r="AA1784" s="77" t="s">
        <v>1568</v>
      </c>
      <c r="AB1784" s="77" t="s">
        <v>1521</v>
      </c>
      <c r="AC1784" s="77" t="s">
        <v>90</v>
      </c>
      <c r="AD1784" s="77" t="s">
        <v>102</v>
      </c>
      <c r="AE1784" s="77" t="s">
        <v>3499</v>
      </c>
    </row>
    <row r="1785" spans="1:32" x14ac:dyDescent="0.3">
      <c r="A1785" s="77" t="s">
        <v>3691</v>
      </c>
      <c r="B1785" s="77" t="s">
        <v>2044</v>
      </c>
      <c r="G1785" s="77" t="s">
        <v>3498</v>
      </c>
      <c r="H1785" s="77" t="s">
        <v>77</v>
      </c>
      <c r="I1785" s="77" t="s">
        <v>1521</v>
      </c>
      <c r="J1785" s="77" t="s">
        <v>3039</v>
      </c>
      <c r="K1785" s="77" t="s">
        <v>1522</v>
      </c>
      <c r="L1785" s="77" t="s">
        <v>1209</v>
      </c>
      <c r="M1785" s="77" t="s">
        <v>82</v>
      </c>
      <c r="N1785" s="77" t="s">
        <v>83</v>
      </c>
      <c r="Q1785" s="77" t="s">
        <v>111</v>
      </c>
      <c r="T1785" s="77" t="s">
        <v>1666</v>
      </c>
      <c r="U1785" s="77" t="s">
        <v>85</v>
      </c>
      <c r="V1785" s="80" t="s">
        <v>673</v>
      </c>
      <c r="X1785" s="77" t="s">
        <v>674</v>
      </c>
      <c r="Y1785" s="78" t="s">
        <v>101</v>
      </c>
      <c r="AA1785" s="77" t="s">
        <v>1568</v>
      </c>
      <c r="AB1785" s="77" t="s">
        <v>1521</v>
      </c>
      <c r="AC1785" s="77" t="s">
        <v>90</v>
      </c>
      <c r="AD1785" s="77" t="s">
        <v>102</v>
      </c>
      <c r="AE1785" s="77" t="s">
        <v>3499</v>
      </c>
    </row>
    <row r="1786" spans="1:32" x14ac:dyDescent="0.3">
      <c r="A1786" s="77" t="s">
        <v>3692</v>
      </c>
      <c r="B1786" s="77" t="s">
        <v>2046</v>
      </c>
      <c r="G1786" s="77" t="s">
        <v>3498</v>
      </c>
      <c r="H1786" s="77" t="s">
        <v>77</v>
      </c>
      <c r="I1786" s="77" t="s">
        <v>1521</v>
      </c>
      <c r="J1786" s="77" t="s">
        <v>3039</v>
      </c>
      <c r="K1786" s="77" t="s">
        <v>1522</v>
      </c>
      <c r="L1786" s="77" t="s">
        <v>1209</v>
      </c>
      <c r="M1786" s="77" t="s">
        <v>82</v>
      </c>
      <c r="N1786" s="77" t="s">
        <v>83</v>
      </c>
      <c r="Q1786" s="77" t="s">
        <v>111</v>
      </c>
      <c r="T1786" s="77" t="s">
        <v>1666</v>
      </c>
      <c r="U1786" s="77" t="s">
        <v>85</v>
      </c>
      <c r="V1786" s="80" t="s">
        <v>673</v>
      </c>
      <c r="X1786" s="77" t="s">
        <v>674</v>
      </c>
      <c r="Y1786" s="78" t="s">
        <v>101</v>
      </c>
      <c r="AA1786" s="77" t="s">
        <v>1568</v>
      </c>
      <c r="AB1786" s="77" t="s">
        <v>1521</v>
      </c>
      <c r="AC1786" s="77" t="s">
        <v>90</v>
      </c>
      <c r="AD1786" s="77" t="s">
        <v>102</v>
      </c>
      <c r="AE1786" s="77" t="s">
        <v>3499</v>
      </c>
    </row>
    <row r="1787" spans="1:32" x14ac:dyDescent="0.3">
      <c r="A1787" s="77" t="s">
        <v>3693</v>
      </c>
      <c r="B1787" s="77" t="s">
        <v>2048</v>
      </c>
      <c r="G1787" s="77" t="s">
        <v>3498</v>
      </c>
      <c r="H1787" s="77" t="s">
        <v>77</v>
      </c>
      <c r="I1787" s="77" t="s">
        <v>1521</v>
      </c>
      <c r="J1787" s="77" t="s">
        <v>3039</v>
      </c>
      <c r="K1787" s="77" t="s">
        <v>1522</v>
      </c>
      <c r="L1787" s="77" t="s">
        <v>1206</v>
      </c>
      <c r="M1787" s="77" t="s">
        <v>82</v>
      </c>
      <c r="N1787" s="77" t="s">
        <v>83</v>
      </c>
      <c r="Q1787" s="77" t="s">
        <v>111</v>
      </c>
      <c r="T1787" s="77" t="s">
        <v>1666</v>
      </c>
      <c r="U1787" s="77" t="s">
        <v>85</v>
      </c>
      <c r="V1787" s="80" t="s">
        <v>673</v>
      </c>
      <c r="X1787" s="77" t="s">
        <v>674</v>
      </c>
      <c r="Y1787" s="78" t="s">
        <v>101</v>
      </c>
      <c r="AA1787" s="77" t="s">
        <v>1568</v>
      </c>
      <c r="AB1787" s="77" t="s">
        <v>1521</v>
      </c>
      <c r="AC1787" s="77" t="s">
        <v>90</v>
      </c>
      <c r="AD1787" s="77" t="s">
        <v>102</v>
      </c>
      <c r="AE1787" s="77" t="s">
        <v>3499</v>
      </c>
    </row>
    <row r="1788" spans="1:32" x14ac:dyDescent="0.3">
      <c r="A1788" s="77" t="s">
        <v>3694</v>
      </c>
      <c r="B1788" s="77" t="s">
        <v>2050</v>
      </c>
      <c r="G1788" s="77" t="s">
        <v>3498</v>
      </c>
      <c r="H1788" s="77" t="s">
        <v>77</v>
      </c>
      <c r="I1788" s="77" t="s">
        <v>1521</v>
      </c>
      <c r="J1788" s="77" t="s">
        <v>3039</v>
      </c>
      <c r="K1788" s="77" t="s">
        <v>1522</v>
      </c>
      <c r="L1788" s="77" t="s">
        <v>1206</v>
      </c>
      <c r="M1788" s="77" t="s">
        <v>82</v>
      </c>
      <c r="N1788" s="77" t="s">
        <v>83</v>
      </c>
      <c r="Q1788" s="77" t="s">
        <v>111</v>
      </c>
      <c r="T1788" s="77" t="s">
        <v>1666</v>
      </c>
      <c r="U1788" s="77" t="s">
        <v>85</v>
      </c>
      <c r="V1788" s="80" t="s">
        <v>673</v>
      </c>
      <c r="X1788" s="77" t="s">
        <v>674</v>
      </c>
      <c r="Y1788" s="78" t="s">
        <v>101</v>
      </c>
      <c r="AA1788" s="77" t="s">
        <v>1568</v>
      </c>
      <c r="AB1788" s="77" t="s">
        <v>1521</v>
      </c>
      <c r="AC1788" s="77" t="s">
        <v>90</v>
      </c>
      <c r="AD1788" s="77" t="s">
        <v>102</v>
      </c>
      <c r="AE1788" s="77" t="s">
        <v>3499</v>
      </c>
    </row>
    <row r="1789" spans="1:32" x14ac:dyDescent="0.3">
      <c r="A1789" s="77" t="s">
        <v>3695</v>
      </c>
      <c r="B1789" s="77" t="s">
        <v>2052</v>
      </c>
      <c r="G1789" s="77" t="s">
        <v>3498</v>
      </c>
      <c r="H1789" s="77" t="s">
        <v>77</v>
      </c>
      <c r="I1789" s="77" t="s">
        <v>1521</v>
      </c>
      <c r="J1789" s="77" t="s">
        <v>3039</v>
      </c>
      <c r="K1789" s="77" t="s">
        <v>1522</v>
      </c>
      <c r="L1789" s="77" t="s">
        <v>1206</v>
      </c>
      <c r="M1789" s="77" t="s">
        <v>82</v>
      </c>
      <c r="N1789" s="77" t="s">
        <v>83</v>
      </c>
      <c r="Q1789" s="77" t="s">
        <v>111</v>
      </c>
      <c r="T1789" s="77" t="s">
        <v>1666</v>
      </c>
      <c r="U1789" s="77" t="s">
        <v>85</v>
      </c>
      <c r="V1789" s="80" t="s">
        <v>673</v>
      </c>
      <c r="X1789" s="77" t="s">
        <v>674</v>
      </c>
      <c r="Y1789" s="78" t="s">
        <v>101</v>
      </c>
      <c r="AA1789" s="77" t="s">
        <v>1568</v>
      </c>
      <c r="AB1789" s="77" t="s">
        <v>1521</v>
      </c>
      <c r="AC1789" s="77" t="s">
        <v>90</v>
      </c>
      <c r="AD1789" s="77" t="s">
        <v>102</v>
      </c>
      <c r="AE1789" s="77" t="s">
        <v>3499</v>
      </c>
    </row>
    <row r="1790" spans="1:32" hidden="1" x14ac:dyDescent="0.3">
      <c r="A1790" s="77" t="s">
        <v>3696</v>
      </c>
      <c r="B1790" s="77" t="s">
        <v>2054</v>
      </c>
      <c r="G1790" s="77" t="s">
        <v>3498</v>
      </c>
      <c r="H1790" s="77" t="s">
        <v>77</v>
      </c>
      <c r="I1790" s="77" t="s">
        <v>1521</v>
      </c>
      <c r="J1790" s="77" t="s">
        <v>3039</v>
      </c>
      <c r="K1790" s="77" t="s">
        <v>1522</v>
      </c>
      <c r="L1790" s="77" t="s">
        <v>2055</v>
      </c>
      <c r="M1790" s="77" t="s">
        <v>82</v>
      </c>
      <c r="N1790" s="77" t="s">
        <v>83</v>
      </c>
      <c r="Q1790" s="77" t="s">
        <v>111</v>
      </c>
      <c r="T1790" s="77" t="s">
        <v>1666</v>
      </c>
      <c r="U1790" s="77" t="s">
        <v>85</v>
      </c>
      <c r="V1790" s="77" t="s">
        <v>673</v>
      </c>
      <c r="W1790" s="79">
        <v>46213.710121446762</v>
      </c>
      <c r="X1790" s="77" t="s">
        <v>674</v>
      </c>
      <c r="Y1790" s="78" t="s">
        <v>101</v>
      </c>
      <c r="AA1790" s="77" t="s">
        <v>1568</v>
      </c>
      <c r="AB1790" s="77" t="s">
        <v>1521</v>
      </c>
      <c r="AC1790" s="77" t="s">
        <v>114</v>
      </c>
      <c r="AD1790" s="77" t="s">
        <v>102</v>
      </c>
      <c r="AE1790" s="77" t="s">
        <v>3499</v>
      </c>
      <c r="AF1790" s="77" t="s">
        <v>2706</v>
      </c>
    </row>
    <row r="1791" spans="1:32" hidden="1" x14ac:dyDescent="0.3">
      <c r="A1791" s="77" t="s">
        <v>3697</v>
      </c>
      <c r="B1791" s="77" t="s">
        <v>2057</v>
      </c>
      <c r="G1791" s="77" t="s">
        <v>3498</v>
      </c>
      <c r="H1791" s="77" t="s">
        <v>77</v>
      </c>
      <c r="I1791" s="77" t="s">
        <v>1521</v>
      </c>
      <c r="J1791" s="77" t="s">
        <v>3039</v>
      </c>
      <c r="K1791" s="77" t="s">
        <v>1522</v>
      </c>
      <c r="L1791" s="77" t="s">
        <v>2058</v>
      </c>
      <c r="M1791" s="77" t="s">
        <v>82</v>
      </c>
      <c r="N1791" s="77" t="s">
        <v>83</v>
      </c>
      <c r="Q1791" s="77" t="s">
        <v>111</v>
      </c>
      <c r="T1791" s="77" t="s">
        <v>1666</v>
      </c>
      <c r="U1791" s="77" t="s">
        <v>85</v>
      </c>
      <c r="V1791" s="77" t="s">
        <v>673</v>
      </c>
      <c r="W1791" s="79">
        <v>46213.71086107639</v>
      </c>
      <c r="X1791" s="77" t="s">
        <v>674</v>
      </c>
      <c r="Y1791" s="78" t="s">
        <v>101</v>
      </c>
      <c r="AA1791" s="77" t="s">
        <v>1568</v>
      </c>
      <c r="AB1791" s="77" t="s">
        <v>1521</v>
      </c>
      <c r="AC1791" s="77" t="s">
        <v>114</v>
      </c>
      <c r="AD1791" s="77" t="s">
        <v>102</v>
      </c>
      <c r="AE1791" s="77" t="s">
        <v>3499</v>
      </c>
      <c r="AF1791" s="77" t="s">
        <v>2706</v>
      </c>
    </row>
    <row r="1792" spans="1:32" x14ac:dyDescent="0.3">
      <c r="A1792" s="77" t="s">
        <v>3698</v>
      </c>
      <c r="B1792" s="77" t="s">
        <v>2060</v>
      </c>
      <c r="G1792" s="77" t="s">
        <v>3498</v>
      </c>
      <c r="H1792" s="77" t="s">
        <v>77</v>
      </c>
      <c r="I1792" s="77" t="s">
        <v>1521</v>
      </c>
      <c r="J1792" s="77" t="s">
        <v>3039</v>
      </c>
      <c r="K1792" s="77" t="s">
        <v>1522</v>
      </c>
      <c r="L1792" s="77" t="s">
        <v>2061</v>
      </c>
      <c r="M1792" s="77" t="s">
        <v>82</v>
      </c>
      <c r="N1792" s="77" t="s">
        <v>83</v>
      </c>
      <c r="Q1792" s="77" t="s">
        <v>111</v>
      </c>
      <c r="T1792" s="77" t="s">
        <v>1666</v>
      </c>
      <c r="U1792" s="77" t="s">
        <v>85</v>
      </c>
      <c r="V1792" s="80" t="s">
        <v>681</v>
      </c>
      <c r="X1792" s="77" t="s">
        <v>682</v>
      </c>
      <c r="Y1792" s="78" t="s">
        <v>101</v>
      </c>
      <c r="AA1792" s="77" t="s">
        <v>1568</v>
      </c>
      <c r="AB1792" s="77" t="s">
        <v>1521</v>
      </c>
      <c r="AC1792" s="77" t="s">
        <v>90</v>
      </c>
      <c r="AD1792" s="77" t="s">
        <v>102</v>
      </c>
      <c r="AE1792" s="77" t="s">
        <v>3499</v>
      </c>
    </row>
    <row r="1793" spans="1:32" x14ac:dyDescent="0.3">
      <c r="A1793" s="77" t="s">
        <v>3699</v>
      </c>
      <c r="B1793" s="77" t="s">
        <v>2063</v>
      </c>
      <c r="G1793" s="77" t="s">
        <v>3498</v>
      </c>
      <c r="H1793" s="77" t="s">
        <v>77</v>
      </c>
      <c r="I1793" s="77" t="s">
        <v>1521</v>
      </c>
      <c r="J1793" s="77" t="s">
        <v>3039</v>
      </c>
      <c r="K1793" s="77" t="s">
        <v>1522</v>
      </c>
      <c r="L1793" s="77" t="s">
        <v>2061</v>
      </c>
      <c r="M1793" s="77" t="s">
        <v>82</v>
      </c>
      <c r="N1793" s="77" t="s">
        <v>83</v>
      </c>
      <c r="Q1793" s="77" t="s">
        <v>111</v>
      </c>
      <c r="T1793" s="77" t="s">
        <v>1666</v>
      </c>
      <c r="U1793" s="77" t="s">
        <v>85</v>
      </c>
      <c r="V1793" s="80" t="s">
        <v>681</v>
      </c>
      <c r="X1793" s="77" t="s">
        <v>682</v>
      </c>
      <c r="Y1793" s="78" t="s">
        <v>101</v>
      </c>
      <c r="AA1793" s="77" t="s">
        <v>1568</v>
      </c>
      <c r="AB1793" s="77" t="s">
        <v>1521</v>
      </c>
      <c r="AC1793" s="77" t="s">
        <v>90</v>
      </c>
      <c r="AD1793" s="77" t="s">
        <v>102</v>
      </c>
      <c r="AE1793" s="77" t="s">
        <v>3499</v>
      </c>
    </row>
    <row r="1794" spans="1:32" x14ac:dyDescent="0.3">
      <c r="A1794" s="77" t="s">
        <v>3700</v>
      </c>
      <c r="B1794" s="77" t="s">
        <v>2065</v>
      </c>
      <c r="G1794" s="77" t="s">
        <v>3498</v>
      </c>
      <c r="H1794" s="77" t="s">
        <v>77</v>
      </c>
      <c r="I1794" s="77" t="s">
        <v>1521</v>
      </c>
      <c r="J1794" s="77" t="s">
        <v>3039</v>
      </c>
      <c r="K1794" s="77" t="s">
        <v>1522</v>
      </c>
      <c r="L1794" s="77" t="s">
        <v>2061</v>
      </c>
      <c r="M1794" s="77" t="s">
        <v>82</v>
      </c>
      <c r="N1794" s="77" t="s">
        <v>83</v>
      </c>
      <c r="Q1794" s="77" t="s">
        <v>111</v>
      </c>
      <c r="T1794" s="77" t="s">
        <v>1666</v>
      </c>
      <c r="U1794" s="77" t="s">
        <v>85</v>
      </c>
      <c r="V1794" s="80" t="s">
        <v>681</v>
      </c>
      <c r="X1794" s="77" t="s">
        <v>682</v>
      </c>
      <c r="Y1794" s="78" t="s">
        <v>101</v>
      </c>
      <c r="AA1794" s="77" t="s">
        <v>1568</v>
      </c>
      <c r="AB1794" s="77" t="s">
        <v>1521</v>
      </c>
      <c r="AC1794" s="77" t="s">
        <v>90</v>
      </c>
      <c r="AD1794" s="77" t="s">
        <v>102</v>
      </c>
      <c r="AE1794" s="77" t="s">
        <v>3499</v>
      </c>
    </row>
    <row r="1795" spans="1:32" x14ac:dyDescent="0.3">
      <c r="A1795" s="77" t="s">
        <v>3701</v>
      </c>
      <c r="B1795" s="77" t="s">
        <v>2067</v>
      </c>
      <c r="G1795" s="77" t="s">
        <v>3498</v>
      </c>
      <c r="H1795" s="77" t="s">
        <v>77</v>
      </c>
      <c r="I1795" s="77" t="s">
        <v>1521</v>
      </c>
      <c r="J1795" s="77" t="s">
        <v>3039</v>
      </c>
      <c r="K1795" s="77" t="s">
        <v>1522</v>
      </c>
      <c r="L1795" s="77" t="s">
        <v>2061</v>
      </c>
      <c r="M1795" s="77" t="s">
        <v>82</v>
      </c>
      <c r="N1795" s="77" t="s">
        <v>83</v>
      </c>
      <c r="Q1795" s="77" t="s">
        <v>111</v>
      </c>
      <c r="T1795" s="77" t="s">
        <v>1666</v>
      </c>
      <c r="U1795" s="77" t="s">
        <v>85</v>
      </c>
      <c r="V1795" s="80" t="s">
        <v>681</v>
      </c>
      <c r="X1795" s="77" t="s">
        <v>682</v>
      </c>
      <c r="Y1795" s="78" t="s">
        <v>101</v>
      </c>
      <c r="AA1795" s="77" t="s">
        <v>1568</v>
      </c>
      <c r="AB1795" s="77" t="s">
        <v>1521</v>
      </c>
      <c r="AC1795" s="77" t="s">
        <v>90</v>
      </c>
      <c r="AD1795" s="77" t="s">
        <v>102</v>
      </c>
      <c r="AE1795" s="77" t="s">
        <v>3499</v>
      </c>
    </row>
    <row r="1796" spans="1:32" x14ac:dyDescent="0.3">
      <c r="A1796" s="77" t="s">
        <v>3702</v>
      </c>
      <c r="B1796" s="77" t="s">
        <v>2069</v>
      </c>
      <c r="G1796" s="77" t="s">
        <v>3498</v>
      </c>
      <c r="H1796" s="77" t="s">
        <v>77</v>
      </c>
      <c r="I1796" s="77" t="s">
        <v>1521</v>
      </c>
      <c r="J1796" s="77" t="s">
        <v>3039</v>
      </c>
      <c r="K1796" s="77" t="s">
        <v>1522</v>
      </c>
      <c r="L1796" s="77" t="s">
        <v>2061</v>
      </c>
      <c r="M1796" s="77" t="s">
        <v>82</v>
      </c>
      <c r="N1796" s="77" t="s">
        <v>83</v>
      </c>
      <c r="Q1796" s="77" t="s">
        <v>111</v>
      </c>
      <c r="T1796" s="77" t="s">
        <v>1666</v>
      </c>
      <c r="U1796" s="77" t="s">
        <v>85</v>
      </c>
      <c r="V1796" s="80" t="s">
        <v>681</v>
      </c>
      <c r="X1796" s="77" t="s">
        <v>682</v>
      </c>
      <c r="Y1796" s="78" t="s">
        <v>101</v>
      </c>
      <c r="AA1796" s="77" t="s">
        <v>1568</v>
      </c>
      <c r="AB1796" s="77" t="s">
        <v>1521</v>
      </c>
      <c r="AC1796" s="77" t="s">
        <v>90</v>
      </c>
      <c r="AD1796" s="77" t="s">
        <v>102</v>
      </c>
      <c r="AE1796" s="77" t="s">
        <v>3499</v>
      </c>
    </row>
    <row r="1797" spans="1:32" x14ac:dyDescent="0.3">
      <c r="A1797" s="77" t="s">
        <v>3703</v>
      </c>
      <c r="B1797" s="77" t="s">
        <v>2071</v>
      </c>
      <c r="G1797" s="77" t="s">
        <v>3498</v>
      </c>
      <c r="H1797" s="77" t="s">
        <v>77</v>
      </c>
      <c r="I1797" s="77" t="s">
        <v>1521</v>
      </c>
      <c r="J1797" s="77" t="s">
        <v>3039</v>
      </c>
      <c r="K1797" s="77" t="s">
        <v>1522</v>
      </c>
      <c r="L1797" s="77" t="s">
        <v>1222</v>
      </c>
      <c r="M1797" s="77" t="s">
        <v>82</v>
      </c>
      <c r="N1797" s="77" t="s">
        <v>83</v>
      </c>
      <c r="Q1797" s="77" t="s">
        <v>111</v>
      </c>
      <c r="T1797" s="77" t="s">
        <v>1666</v>
      </c>
      <c r="U1797" s="77" t="s">
        <v>85</v>
      </c>
      <c r="V1797" s="80" t="s">
        <v>681</v>
      </c>
      <c r="X1797" s="77" t="s">
        <v>682</v>
      </c>
      <c r="Y1797" s="78" t="s">
        <v>101</v>
      </c>
      <c r="AA1797" s="77" t="s">
        <v>1568</v>
      </c>
      <c r="AB1797" s="77" t="s">
        <v>1521</v>
      </c>
      <c r="AC1797" s="77" t="s">
        <v>90</v>
      </c>
      <c r="AD1797" s="77" t="s">
        <v>102</v>
      </c>
      <c r="AE1797" s="77" t="s">
        <v>3499</v>
      </c>
    </row>
    <row r="1798" spans="1:32" x14ac:dyDescent="0.3">
      <c r="A1798" s="77" t="s">
        <v>3704</v>
      </c>
      <c r="B1798" s="77" t="s">
        <v>2073</v>
      </c>
      <c r="G1798" s="77" t="s">
        <v>3498</v>
      </c>
      <c r="H1798" s="77" t="s">
        <v>77</v>
      </c>
      <c r="I1798" s="77" t="s">
        <v>1521</v>
      </c>
      <c r="J1798" s="77" t="s">
        <v>3039</v>
      </c>
      <c r="K1798" s="77" t="s">
        <v>1522</v>
      </c>
      <c r="L1798" s="77" t="s">
        <v>1222</v>
      </c>
      <c r="M1798" s="77" t="s">
        <v>82</v>
      </c>
      <c r="N1798" s="77" t="s">
        <v>83</v>
      </c>
      <c r="Q1798" s="77" t="s">
        <v>111</v>
      </c>
      <c r="T1798" s="77" t="s">
        <v>1666</v>
      </c>
      <c r="U1798" s="77" t="s">
        <v>85</v>
      </c>
      <c r="V1798" s="80" t="s">
        <v>681</v>
      </c>
      <c r="X1798" s="77" t="s">
        <v>682</v>
      </c>
      <c r="Y1798" s="78" t="s">
        <v>101</v>
      </c>
      <c r="AA1798" s="77" t="s">
        <v>1568</v>
      </c>
      <c r="AB1798" s="77" t="s">
        <v>1521</v>
      </c>
      <c r="AC1798" s="77" t="s">
        <v>90</v>
      </c>
      <c r="AD1798" s="77" t="s">
        <v>102</v>
      </c>
      <c r="AE1798" s="77" t="s">
        <v>3499</v>
      </c>
    </row>
    <row r="1799" spans="1:32" x14ac:dyDescent="0.3">
      <c r="A1799" s="77" t="s">
        <v>3705</v>
      </c>
      <c r="B1799" s="77" t="s">
        <v>2075</v>
      </c>
      <c r="G1799" s="77" t="s">
        <v>3498</v>
      </c>
      <c r="H1799" s="77" t="s">
        <v>77</v>
      </c>
      <c r="I1799" s="77" t="s">
        <v>1521</v>
      </c>
      <c r="J1799" s="77" t="s">
        <v>3039</v>
      </c>
      <c r="K1799" s="77" t="s">
        <v>1522</v>
      </c>
      <c r="L1799" s="77" t="s">
        <v>1222</v>
      </c>
      <c r="M1799" s="77" t="s">
        <v>82</v>
      </c>
      <c r="N1799" s="77" t="s">
        <v>83</v>
      </c>
      <c r="Q1799" s="77" t="s">
        <v>111</v>
      </c>
      <c r="T1799" s="77" t="s">
        <v>1666</v>
      </c>
      <c r="U1799" s="77" t="s">
        <v>85</v>
      </c>
      <c r="V1799" s="80" t="s">
        <v>681</v>
      </c>
      <c r="X1799" s="77" t="s">
        <v>682</v>
      </c>
      <c r="Y1799" s="78" t="s">
        <v>101</v>
      </c>
      <c r="AA1799" s="77" t="s">
        <v>1568</v>
      </c>
      <c r="AB1799" s="77" t="s">
        <v>1521</v>
      </c>
      <c r="AC1799" s="77" t="s">
        <v>90</v>
      </c>
      <c r="AD1799" s="77" t="s">
        <v>102</v>
      </c>
      <c r="AE1799" s="77" t="s">
        <v>3499</v>
      </c>
    </row>
    <row r="1800" spans="1:32" x14ac:dyDescent="0.3">
      <c r="A1800" s="77" t="s">
        <v>3706</v>
      </c>
      <c r="B1800" s="77" t="s">
        <v>2077</v>
      </c>
      <c r="G1800" s="77" t="s">
        <v>3498</v>
      </c>
      <c r="H1800" s="77" t="s">
        <v>77</v>
      </c>
      <c r="I1800" s="77" t="s">
        <v>1521</v>
      </c>
      <c r="J1800" s="77" t="s">
        <v>3039</v>
      </c>
      <c r="K1800" s="77" t="s">
        <v>1522</v>
      </c>
      <c r="L1800" s="77" t="s">
        <v>1222</v>
      </c>
      <c r="M1800" s="77" t="s">
        <v>82</v>
      </c>
      <c r="N1800" s="77" t="s">
        <v>83</v>
      </c>
      <c r="Q1800" s="77" t="s">
        <v>111</v>
      </c>
      <c r="T1800" s="77" t="s">
        <v>1666</v>
      </c>
      <c r="U1800" s="77" t="s">
        <v>85</v>
      </c>
      <c r="V1800" s="80" t="s">
        <v>681</v>
      </c>
      <c r="X1800" s="77" t="s">
        <v>682</v>
      </c>
      <c r="Y1800" s="78" t="s">
        <v>101</v>
      </c>
      <c r="AA1800" s="77" t="s">
        <v>1568</v>
      </c>
      <c r="AB1800" s="77" t="s">
        <v>1521</v>
      </c>
      <c r="AC1800" s="77" t="s">
        <v>90</v>
      </c>
      <c r="AD1800" s="77" t="s">
        <v>102</v>
      </c>
      <c r="AE1800" s="77" t="s">
        <v>3499</v>
      </c>
    </row>
    <row r="1801" spans="1:32" x14ac:dyDescent="0.3">
      <c r="A1801" s="77" t="s">
        <v>3707</v>
      </c>
      <c r="B1801" s="77" t="s">
        <v>2079</v>
      </c>
      <c r="G1801" s="77" t="s">
        <v>3498</v>
      </c>
      <c r="H1801" s="77" t="s">
        <v>77</v>
      </c>
      <c r="I1801" s="77" t="s">
        <v>1521</v>
      </c>
      <c r="J1801" s="77" t="s">
        <v>3039</v>
      </c>
      <c r="K1801" s="77" t="s">
        <v>1522</v>
      </c>
      <c r="L1801" s="77" t="s">
        <v>1225</v>
      </c>
      <c r="M1801" s="77" t="s">
        <v>82</v>
      </c>
      <c r="N1801" s="77" t="s">
        <v>83</v>
      </c>
      <c r="Q1801" s="77" t="s">
        <v>111</v>
      </c>
      <c r="T1801" s="77" t="s">
        <v>1666</v>
      </c>
      <c r="U1801" s="77" t="s">
        <v>85</v>
      </c>
      <c r="V1801" s="80" t="s">
        <v>681</v>
      </c>
      <c r="X1801" s="77" t="s">
        <v>682</v>
      </c>
      <c r="Y1801" s="78" t="s">
        <v>101</v>
      </c>
      <c r="AA1801" s="77" t="s">
        <v>1568</v>
      </c>
      <c r="AB1801" s="77" t="s">
        <v>1521</v>
      </c>
      <c r="AC1801" s="77" t="s">
        <v>90</v>
      </c>
      <c r="AD1801" s="77" t="s">
        <v>102</v>
      </c>
      <c r="AE1801" s="77" t="s">
        <v>3499</v>
      </c>
    </row>
    <row r="1802" spans="1:32" x14ac:dyDescent="0.3">
      <c r="A1802" s="77" t="s">
        <v>3708</v>
      </c>
      <c r="B1802" s="77" t="s">
        <v>2081</v>
      </c>
      <c r="G1802" s="77" t="s">
        <v>3498</v>
      </c>
      <c r="H1802" s="77" t="s">
        <v>77</v>
      </c>
      <c r="I1802" s="77" t="s">
        <v>1521</v>
      </c>
      <c r="J1802" s="77" t="s">
        <v>3039</v>
      </c>
      <c r="K1802" s="77" t="s">
        <v>1522</v>
      </c>
      <c r="L1802" s="77" t="s">
        <v>1225</v>
      </c>
      <c r="M1802" s="77" t="s">
        <v>82</v>
      </c>
      <c r="N1802" s="77" t="s">
        <v>83</v>
      </c>
      <c r="Q1802" s="77" t="s">
        <v>111</v>
      </c>
      <c r="T1802" s="77" t="s">
        <v>1666</v>
      </c>
      <c r="U1802" s="77" t="s">
        <v>85</v>
      </c>
      <c r="V1802" s="80" t="s">
        <v>681</v>
      </c>
      <c r="X1802" s="77" t="s">
        <v>682</v>
      </c>
      <c r="Y1802" s="78" t="s">
        <v>101</v>
      </c>
      <c r="AA1802" s="77" t="s">
        <v>1568</v>
      </c>
      <c r="AB1802" s="77" t="s">
        <v>1521</v>
      </c>
      <c r="AC1802" s="77" t="s">
        <v>90</v>
      </c>
      <c r="AD1802" s="77" t="s">
        <v>102</v>
      </c>
      <c r="AE1802" s="77" t="s">
        <v>3499</v>
      </c>
    </row>
    <row r="1803" spans="1:32" x14ac:dyDescent="0.3">
      <c r="A1803" s="77" t="s">
        <v>3709</v>
      </c>
      <c r="B1803" s="77" t="s">
        <v>2083</v>
      </c>
      <c r="G1803" s="77" t="s">
        <v>3498</v>
      </c>
      <c r="H1803" s="77" t="s">
        <v>77</v>
      </c>
      <c r="I1803" s="77" t="s">
        <v>1521</v>
      </c>
      <c r="J1803" s="77" t="s">
        <v>3039</v>
      </c>
      <c r="K1803" s="77" t="s">
        <v>1522</v>
      </c>
      <c r="L1803" s="77" t="s">
        <v>1222</v>
      </c>
      <c r="M1803" s="77" t="s">
        <v>82</v>
      </c>
      <c r="N1803" s="77" t="s">
        <v>83</v>
      </c>
      <c r="Q1803" s="77" t="s">
        <v>111</v>
      </c>
      <c r="T1803" s="77" t="s">
        <v>1666</v>
      </c>
      <c r="U1803" s="77" t="s">
        <v>85</v>
      </c>
      <c r="V1803" s="80" t="s">
        <v>681</v>
      </c>
      <c r="X1803" s="77" t="s">
        <v>682</v>
      </c>
      <c r="Y1803" s="78" t="s">
        <v>101</v>
      </c>
      <c r="AA1803" s="77" t="s">
        <v>1568</v>
      </c>
      <c r="AB1803" s="77" t="s">
        <v>1521</v>
      </c>
      <c r="AC1803" s="77" t="s">
        <v>90</v>
      </c>
      <c r="AD1803" s="77" t="s">
        <v>102</v>
      </c>
      <c r="AE1803" s="77" t="s">
        <v>3499</v>
      </c>
    </row>
    <row r="1804" spans="1:32" x14ac:dyDescent="0.3">
      <c r="A1804" s="77" t="s">
        <v>3710</v>
      </c>
      <c r="B1804" s="77" t="s">
        <v>2085</v>
      </c>
      <c r="G1804" s="77" t="s">
        <v>3498</v>
      </c>
      <c r="H1804" s="77" t="s">
        <v>77</v>
      </c>
      <c r="I1804" s="77" t="s">
        <v>1521</v>
      </c>
      <c r="J1804" s="77" t="s">
        <v>3039</v>
      </c>
      <c r="K1804" s="77" t="s">
        <v>1522</v>
      </c>
      <c r="L1804" s="77" t="s">
        <v>1222</v>
      </c>
      <c r="M1804" s="77" t="s">
        <v>82</v>
      </c>
      <c r="N1804" s="77" t="s">
        <v>83</v>
      </c>
      <c r="Q1804" s="77" t="s">
        <v>111</v>
      </c>
      <c r="T1804" s="77" t="s">
        <v>1666</v>
      </c>
      <c r="U1804" s="77" t="s">
        <v>85</v>
      </c>
      <c r="V1804" s="80" t="s">
        <v>681</v>
      </c>
      <c r="X1804" s="77" t="s">
        <v>682</v>
      </c>
      <c r="Y1804" s="78" t="s">
        <v>101</v>
      </c>
      <c r="AA1804" s="77" t="s">
        <v>1568</v>
      </c>
      <c r="AB1804" s="77" t="s">
        <v>1521</v>
      </c>
      <c r="AC1804" s="77" t="s">
        <v>90</v>
      </c>
      <c r="AD1804" s="77" t="s">
        <v>102</v>
      </c>
      <c r="AE1804" s="77" t="s">
        <v>3499</v>
      </c>
    </row>
    <row r="1805" spans="1:32" x14ac:dyDescent="0.3">
      <c r="A1805" s="77" t="s">
        <v>3711</v>
      </c>
      <c r="B1805" s="77" t="s">
        <v>2087</v>
      </c>
      <c r="G1805" s="77" t="s">
        <v>3498</v>
      </c>
      <c r="H1805" s="77" t="s">
        <v>77</v>
      </c>
      <c r="I1805" s="77" t="s">
        <v>1521</v>
      </c>
      <c r="J1805" s="77" t="s">
        <v>3039</v>
      </c>
      <c r="K1805" s="77" t="s">
        <v>1522</v>
      </c>
      <c r="L1805" s="77" t="s">
        <v>1222</v>
      </c>
      <c r="M1805" s="77" t="s">
        <v>82</v>
      </c>
      <c r="N1805" s="77" t="s">
        <v>83</v>
      </c>
      <c r="Q1805" s="77" t="s">
        <v>111</v>
      </c>
      <c r="T1805" s="77" t="s">
        <v>1666</v>
      </c>
      <c r="U1805" s="77" t="s">
        <v>85</v>
      </c>
      <c r="V1805" s="80" t="s">
        <v>681</v>
      </c>
      <c r="X1805" s="77" t="s">
        <v>682</v>
      </c>
      <c r="Y1805" s="78" t="s">
        <v>101</v>
      </c>
      <c r="AA1805" s="77" t="s">
        <v>1568</v>
      </c>
      <c r="AB1805" s="77" t="s">
        <v>1521</v>
      </c>
      <c r="AC1805" s="77" t="s">
        <v>90</v>
      </c>
      <c r="AD1805" s="77" t="s">
        <v>102</v>
      </c>
      <c r="AE1805" s="77" t="s">
        <v>3499</v>
      </c>
    </row>
    <row r="1806" spans="1:32" hidden="1" x14ac:dyDescent="0.3">
      <c r="A1806" s="77" t="s">
        <v>3712</v>
      </c>
      <c r="B1806" s="77" t="s">
        <v>2089</v>
      </c>
      <c r="G1806" s="77" t="s">
        <v>3498</v>
      </c>
      <c r="H1806" s="77" t="s">
        <v>77</v>
      </c>
      <c r="I1806" s="77" t="s">
        <v>1521</v>
      </c>
      <c r="J1806" s="77" t="s">
        <v>3039</v>
      </c>
      <c r="K1806" s="77" t="s">
        <v>1522</v>
      </c>
      <c r="L1806" s="77" t="s">
        <v>2090</v>
      </c>
      <c r="M1806" s="77" t="s">
        <v>82</v>
      </c>
      <c r="N1806" s="77" t="s">
        <v>83</v>
      </c>
      <c r="Q1806" s="77" t="s">
        <v>111</v>
      </c>
      <c r="T1806" s="77" t="s">
        <v>1666</v>
      </c>
      <c r="U1806" s="77" t="s">
        <v>85</v>
      </c>
      <c r="V1806" s="77" t="s">
        <v>681</v>
      </c>
      <c r="W1806" s="79">
        <v>46213.710613923613</v>
      </c>
      <c r="X1806" s="77" t="s">
        <v>682</v>
      </c>
      <c r="Y1806" s="78" t="s">
        <v>101</v>
      </c>
      <c r="AA1806" s="77" t="s">
        <v>1568</v>
      </c>
      <c r="AB1806" s="77" t="s">
        <v>1521</v>
      </c>
      <c r="AC1806" s="77" t="s">
        <v>114</v>
      </c>
      <c r="AD1806" s="77" t="s">
        <v>102</v>
      </c>
      <c r="AE1806" s="77" t="s">
        <v>3499</v>
      </c>
      <c r="AF1806" s="77" t="s">
        <v>2706</v>
      </c>
    </row>
    <row r="1807" spans="1:32" hidden="1" x14ac:dyDescent="0.3">
      <c r="A1807" s="77" t="s">
        <v>3713</v>
      </c>
      <c r="B1807" s="77" t="s">
        <v>2092</v>
      </c>
      <c r="G1807" s="77" t="s">
        <v>3498</v>
      </c>
      <c r="H1807" s="77" t="s">
        <v>77</v>
      </c>
      <c r="I1807" s="77" t="s">
        <v>1521</v>
      </c>
      <c r="J1807" s="77" t="s">
        <v>3039</v>
      </c>
      <c r="K1807" s="77" t="s">
        <v>1522</v>
      </c>
      <c r="L1807" s="77" t="s">
        <v>2093</v>
      </c>
      <c r="M1807" s="77" t="s">
        <v>82</v>
      </c>
      <c r="N1807" s="77" t="s">
        <v>83</v>
      </c>
      <c r="Q1807" s="77" t="s">
        <v>111</v>
      </c>
      <c r="T1807" s="77" t="s">
        <v>1666</v>
      </c>
      <c r="U1807" s="77" t="s">
        <v>85</v>
      </c>
      <c r="V1807" s="77" t="s">
        <v>681</v>
      </c>
      <c r="W1807" s="79">
        <v>46213.710403784724</v>
      </c>
      <c r="X1807" s="77" t="s">
        <v>682</v>
      </c>
      <c r="Y1807" s="78" t="s">
        <v>101</v>
      </c>
      <c r="AA1807" s="77" t="s">
        <v>1568</v>
      </c>
      <c r="AB1807" s="77" t="s">
        <v>1521</v>
      </c>
      <c r="AC1807" s="77" t="s">
        <v>114</v>
      </c>
      <c r="AD1807" s="77" t="s">
        <v>102</v>
      </c>
      <c r="AE1807" s="77" t="s">
        <v>3499</v>
      </c>
      <c r="AF1807" s="77" t="s">
        <v>2706</v>
      </c>
    </row>
    <row r="1808" spans="1:32" x14ac:dyDescent="0.3">
      <c r="A1808" s="77" t="s">
        <v>3714</v>
      </c>
      <c r="B1808" s="77" t="s">
        <v>2095</v>
      </c>
      <c r="G1808" s="77" t="s">
        <v>3498</v>
      </c>
      <c r="H1808" s="77" t="s">
        <v>77</v>
      </c>
      <c r="I1808" s="77" t="s">
        <v>1521</v>
      </c>
      <c r="J1808" s="77" t="s">
        <v>3039</v>
      </c>
      <c r="K1808" s="77" t="s">
        <v>1522</v>
      </c>
      <c r="L1808" s="77" t="s">
        <v>2096</v>
      </c>
      <c r="M1808" s="77" t="s">
        <v>82</v>
      </c>
      <c r="N1808" s="77" t="s">
        <v>83</v>
      </c>
      <c r="Q1808" s="77" t="s">
        <v>111</v>
      </c>
      <c r="T1808" s="77" t="s">
        <v>1666</v>
      </c>
      <c r="U1808" s="77" t="s">
        <v>85</v>
      </c>
      <c r="V1808" s="80" t="s">
        <v>231</v>
      </c>
      <c r="X1808" s="77" t="s">
        <v>232</v>
      </c>
      <c r="Y1808" s="78" t="s">
        <v>88</v>
      </c>
      <c r="AA1808" s="77" t="s">
        <v>1568</v>
      </c>
      <c r="AB1808" s="77" t="s">
        <v>1521</v>
      </c>
      <c r="AC1808" s="77" t="s">
        <v>90</v>
      </c>
      <c r="AD1808" s="77" t="s">
        <v>91</v>
      </c>
      <c r="AE1808" s="77" t="s">
        <v>3499</v>
      </c>
    </row>
    <row r="1809" spans="1:32" x14ac:dyDescent="0.3">
      <c r="A1809" s="77" t="s">
        <v>3715</v>
      </c>
      <c r="B1809" s="77" t="s">
        <v>2098</v>
      </c>
      <c r="G1809" s="77" t="s">
        <v>3498</v>
      </c>
      <c r="H1809" s="77" t="s">
        <v>77</v>
      </c>
      <c r="I1809" s="77" t="s">
        <v>1521</v>
      </c>
      <c r="J1809" s="77" t="s">
        <v>3039</v>
      </c>
      <c r="K1809" s="77" t="s">
        <v>1522</v>
      </c>
      <c r="L1809" s="77" t="s">
        <v>2099</v>
      </c>
      <c r="M1809" s="77" t="s">
        <v>82</v>
      </c>
      <c r="N1809" s="77" t="s">
        <v>83</v>
      </c>
      <c r="Q1809" s="77" t="s">
        <v>111</v>
      </c>
      <c r="T1809" s="77" t="s">
        <v>1666</v>
      </c>
      <c r="U1809" s="77" t="s">
        <v>85</v>
      </c>
      <c r="V1809" s="80" t="s">
        <v>231</v>
      </c>
      <c r="X1809" s="77" t="s">
        <v>232</v>
      </c>
      <c r="Y1809" s="78" t="s">
        <v>88</v>
      </c>
      <c r="AA1809" s="77" t="s">
        <v>1568</v>
      </c>
      <c r="AB1809" s="77" t="s">
        <v>1521</v>
      </c>
      <c r="AC1809" s="77" t="s">
        <v>90</v>
      </c>
      <c r="AD1809" s="77" t="s">
        <v>91</v>
      </c>
      <c r="AE1809" s="77" t="s">
        <v>3499</v>
      </c>
    </row>
    <row r="1810" spans="1:32" x14ac:dyDescent="0.3">
      <c r="A1810" s="77" t="s">
        <v>3716</v>
      </c>
      <c r="B1810" s="77" t="s">
        <v>2101</v>
      </c>
      <c r="G1810" s="77" t="s">
        <v>3498</v>
      </c>
      <c r="H1810" s="77" t="s">
        <v>77</v>
      </c>
      <c r="I1810" s="77" t="s">
        <v>1521</v>
      </c>
      <c r="J1810" s="77" t="s">
        <v>3039</v>
      </c>
      <c r="K1810" s="77" t="s">
        <v>1522</v>
      </c>
      <c r="L1810" s="77" t="s">
        <v>2102</v>
      </c>
      <c r="M1810" s="77" t="s">
        <v>82</v>
      </c>
      <c r="N1810" s="77" t="s">
        <v>83</v>
      </c>
      <c r="Q1810" s="77" t="s">
        <v>111</v>
      </c>
      <c r="T1810" s="77" t="s">
        <v>1666</v>
      </c>
      <c r="U1810" s="77" t="s">
        <v>85</v>
      </c>
      <c r="V1810" s="80" t="s">
        <v>231</v>
      </c>
      <c r="X1810" s="77" t="s">
        <v>232</v>
      </c>
      <c r="Y1810" s="78" t="s">
        <v>88</v>
      </c>
      <c r="AA1810" s="77" t="s">
        <v>1568</v>
      </c>
      <c r="AB1810" s="77" t="s">
        <v>1521</v>
      </c>
      <c r="AC1810" s="77" t="s">
        <v>90</v>
      </c>
      <c r="AD1810" s="77" t="s">
        <v>91</v>
      </c>
      <c r="AE1810" s="77" t="s">
        <v>3499</v>
      </c>
    </row>
    <row r="1811" spans="1:32" x14ac:dyDescent="0.3">
      <c r="A1811" s="77" t="s">
        <v>3717</v>
      </c>
      <c r="B1811" s="77" t="s">
        <v>2104</v>
      </c>
      <c r="G1811" s="77" t="s">
        <v>3498</v>
      </c>
      <c r="H1811" s="77" t="s">
        <v>77</v>
      </c>
      <c r="I1811" s="77" t="s">
        <v>1521</v>
      </c>
      <c r="J1811" s="77" t="s">
        <v>3039</v>
      </c>
      <c r="K1811" s="77" t="s">
        <v>1522</v>
      </c>
      <c r="L1811" s="77" t="s">
        <v>2105</v>
      </c>
      <c r="M1811" s="77" t="s">
        <v>82</v>
      </c>
      <c r="N1811" s="77" t="s">
        <v>83</v>
      </c>
      <c r="Q1811" s="77" t="s">
        <v>111</v>
      </c>
      <c r="T1811" s="77" t="s">
        <v>1666</v>
      </c>
      <c r="U1811" s="77" t="s">
        <v>85</v>
      </c>
      <c r="V1811" s="80" t="s">
        <v>231</v>
      </c>
      <c r="X1811" s="77" t="s">
        <v>232</v>
      </c>
      <c r="Y1811" s="78" t="s">
        <v>88</v>
      </c>
      <c r="AA1811" s="77" t="s">
        <v>1568</v>
      </c>
      <c r="AB1811" s="77" t="s">
        <v>1521</v>
      </c>
      <c r="AC1811" s="77" t="s">
        <v>90</v>
      </c>
      <c r="AD1811" s="77" t="s">
        <v>91</v>
      </c>
      <c r="AE1811" s="77" t="s">
        <v>3499</v>
      </c>
    </row>
    <row r="1812" spans="1:32" x14ac:dyDescent="0.3">
      <c r="A1812" s="77" t="s">
        <v>3718</v>
      </c>
      <c r="B1812" s="77" t="s">
        <v>2107</v>
      </c>
      <c r="G1812" s="77" t="s">
        <v>3498</v>
      </c>
      <c r="H1812" s="77" t="s">
        <v>77</v>
      </c>
      <c r="I1812" s="77" t="s">
        <v>1521</v>
      </c>
      <c r="J1812" s="77" t="s">
        <v>3039</v>
      </c>
      <c r="K1812" s="77" t="s">
        <v>1522</v>
      </c>
      <c r="L1812" s="77" t="s">
        <v>2108</v>
      </c>
      <c r="M1812" s="77" t="s">
        <v>82</v>
      </c>
      <c r="N1812" s="77" t="s">
        <v>83</v>
      </c>
      <c r="Q1812" s="77" t="s">
        <v>111</v>
      </c>
      <c r="T1812" s="77" t="s">
        <v>1666</v>
      </c>
      <c r="U1812" s="77" t="s">
        <v>85</v>
      </c>
      <c r="V1812" s="80" t="s">
        <v>231</v>
      </c>
      <c r="X1812" s="77" t="s">
        <v>232</v>
      </c>
      <c r="Y1812" s="78" t="s">
        <v>88</v>
      </c>
      <c r="AA1812" s="77" t="s">
        <v>1568</v>
      </c>
      <c r="AB1812" s="77" t="s">
        <v>1521</v>
      </c>
      <c r="AC1812" s="77" t="s">
        <v>90</v>
      </c>
      <c r="AD1812" s="77" t="s">
        <v>91</v>
      </c>
      <c r="AE1812" s="77" t="s">
        <v>3499</v>
      </c>
    </row>
    <row r="1813" spans="1:32" x14ac:dyDescent="0.3">
      <c r="A1813" s="77" t="s">
        <v>3719</v>
      </c>
      <c r="B1813" s="77" t="s">
        <v>2110</v>
      </c>
      <c r="G1813" s="77" t="s">
        <v>3498</v>
      </c>
      <c r="H1813" s="77" t="s">
        <v>77</v>
      </c>
      <c r="I1813" s="77" t="s">
        <v>1521</v>
      </c>
      <c r="J1813" s="77" t="s">
        <v>3039</v>
      </c>
      <c r="K1813" s="77" t="s">
        <v>1522</v>
      </c>
      <c r="L1813" s="77" t="s">
        <v>2111</v>
      </c>
      <c r="M1813" s="77" t="s">
        <v>82</v>
      </c>
      <c r="N1813" s="77" t="s">
        <v>83</v>
      </c>
      <c r="Q1813" s="77" t="s">
        <v>111</v>
      </c>
      <c r="T1813" s="77" t="s">
        <v>1666</v>
      </c>
      <c r="U1813" s="77" t="s">
        <v>85</v>
      </c>
      <c r="V1813" s="80" t="s">
        <v>231</v>
      </c>
      <c r="X1813" s="77" t="s">
        <v>232</v>
      </c>
      <c r="Y1813" s="78" t="s">
        <v>88</v>
      </c>
      <c r="AA1813" s="77" t="s">
        <v>1568</v>
      </c>
      <c r="AB1813" s="77" t="s">
        <v>1521</v>
      </c>
      <c r="AC1813" s="77" t="s">
        <v>90</v>
      </c>
      <c r="AD1813" s="77" t="s">
        <v>91</v>
      </c>
      <c r="AE1813" s="77" t="s">
        <v>3499</v>
      </c>
    </row>
    <row r="1814" spans="1:32" x14ac:dyDescent="0.3">
      <c r="A1814" s="77" t="s">
        <v>3720</v>
      </c>
      <c r="B1814" s="77" t="s">
        <v>2113</v>
      </c>
      <c r="G1814" s="77" t="s">
        <v>3498</v>
      </c>
      <c r="H1814" s="77" t="s">
        <v>77</v>
      </c>
      <c r="I1814" s="77" t="s">
        <v>1521</v>
      </c>
      <c r="J1814" s="77" t="s">
        <v>3039</v>
      </c>
      <c r="K1814" s="77" t="s">
        <v>1522</v>
      </c>
      <c r="L1814" s="77" t="s">
        <v>2114</v>
      </c>
      <c r="M1814" s="77" t="s">
        <v>82</v>
      </c>
      <c r="N1814" s="77" t="s">
        <v>83</v>
      </c>
      <c r="Q1814" s="77" t="s">
        <v>111</v>
      </c>
      <c r="T1814" s="77" t="s">
        <v>1666</v>
      </c>
      <c r="U1814" s="77" t="s">
        <v>85</v>
      </c>
      <c r="V1814" s="80" t="s">
        <v>231</v>
      </c>
      <c r="X1814" s="77" t="s">
        <v>232</v>
      </c>
      <c r="Y1814" s="78" t="s">
        <v>88</v>
      </c>
      <c r="AA1814" s="77" t="s">
        <v>1568</v>
      </c>
      <c r="AB1814" s="77" t="s">
        <v>1521</v>
      </c>
      <c r="AC1814" s="77" t="s">
        <v>90</v>
      </c>
      <c r="AD1814" s="77" t="s">
        <v>91</v>
      </c>
      <c r="AE1814" s="77" t="s">
        <v>3499</v>
      </c>
    </row>
    <row r="1815" spans="1:32" x14ac:dyDescent="0.3">
      <c r="A1815" s="77" t="s">
        <v>3721</v>
      </c>
      <c r="B1815" s="77" t="s">
        <v>2116</v>
      </c>
      <c r="G1815" s="77" t="s">
        <v>3498</v>
      </c>
      <c r="H1815" s="77" t="s">
        <v>77</v>
      </c>
      <c r="I1815" s="77" t="s">
        <v>1521</v>
      </c>
      <c r="J1815" s="77" t="s">
        <v>3039</v>
      </c>
      <c r="K1815" s="77" t="s">
        <v>1522</v>
      </c>
      <c r="L1815" s="77" t="s">
        <v>2117</v>
      </c>
      <c r="M1815" s="77" t="s">
        <v>82</v>
      </c>
      <c r="N1815" s="77" t="s">
        <v>83</v>
      </c>
      <c r="Q1815" s="77" t="s">
        <v>111</v>
      </c>
      <c r="T1815" s="77" t="s">
        <v>1666</v>
      </c>
      <c r="U1815" s="77" t="s">
        <v>85</v>
      </c>
      <c r="V1815" s="80" t="s">
        <v>365</v>
      </c>
      <c r="X1815" s="77" t="s">
        <v>366</v>
      </c>
      <c r="Y1815" s="78" t="s">
        <v>88</v>
      </c>
      <c r="AA1815" s="77" t="s">
        <v>1568</v>
      </c>
      <c r="AB1815" s="77" t="s">
        <v>1521</v>
      </c>
      <c r="AC1815" s="77" t="s">
        <v>90</v>
      </c>
      <c r="AD1815" s="77" t="s">
        <v>91</v>
      </c>
      <c r="AE1815" s="77" t="s">
        <v>3499</v>
      </c>
    </row>
    <row r="1816" spans="1:32" x14ac:dyDescent="0.3">
      <c r="A1816" s="77" t="s">
        <v>3722</v>
      </c>
      <c r="B1816" s="77" t="s">
        <v>2119</v>
      </c>
      <c r="G1816" s="77" t="s">
        <v>3498</v>
      </c>
      <c r="H1816" s="77" t="s">
        <v>77</v>
      </c>
      <c r="I1816" s="77" t="s">
        <v>1521</v>
      </c>
      <c r="J1816" s="77" t="s">
        <v>3039</v>
      </c>
      <c r="K1816" s="77" t="s">
        <v>1522</v>
      </c>
      <c r="L1816" s="77" t="s">
        <v>2117</v>
      </c>
      <c r="M1816" s="77" t="s">
        <v>82</v>
      </c>
      <c r="N1816" s="77" t="s">
        <v>83</v>
      </c>
      <c r="Q1816" s="77" t="s">
        <v>111</v>
      </c>
      <c r="T1816" s="77" t="s">
        <v>1666</v>
      </c>
      <c r="U1816" s="77" t="s">
        <v>85</v>
      </c>
      <c r="V1816" s="80" t="s">
        <v>365</v>
      </c>
      <c r="X1816" s="77" t="s">
        <v>366</v>
      </c>
      <c r="Y1816" s="78" t="s">
        <v>88</v>
      </c>
      <c r="AA1816" s="77" t="s">
        <v>1568</v>
      </c>
      <c r="AB1816" s="77" t="s">
        <v>1521</v>
      </c>
      <c r="AC1816" s="77" t="s">
        <v>90</v>
      </c>
      <c r="AD1816" s="77" t="s">
        <v>91</v>
      </c>
      <c r="AE1816" s="77" t="s">
        <v>3499</v>
      </c>
    </row>
    <row r="1817" spans="1:32" x14ac:dyDescent="0.3">
      <c r="A1817" s="77" t="s">
        <v>3723</v>
      </c>
      <c r="B1817" s="77" t="s">
        <v>2121</v>
      </c>
      <c r="G1817" s="77" t="s">
        <v>3498</v>
      </c>
      <c r="H1817" s="77" t="s">
        <v>77</v>
      </c>
      <c r="I1817" s="77" t="s">
        <v>1521</v>
      </c>
      <c r="J1817" s="77" t="s">
        <v>3039</v>
      </c>
      <c r="K1817" s="77" t="s">
        <v>1522</v>
      </c>
      <c r="L1817" s="77" t="s">
        <v>2117</v>
      </c>
      <c r="M1817" s="77" t="s">
        <v>82</v>
      </c>
      <c r="N1817" s="77" t="s">
        <v>83</v>
      </c>
      <c r="Q1817" s="77" t="s">
        <v>111</v>
      </c>
      <c r="T1817" s="77" t="s">
        <v>1666</v>
      </c>
      <c r="U1817" s="77" t="s">
        <v>85</v>
      </c>
      <c r="V1817" s="80" t="s">
        <v>365</v>
      </c>
      <c r="X1817" s="77" t="s">
        <v>366</v>
      </c>
      <c r="Y1817" s="78" t="s">
        <v>88</v>
      </c>
      <c r="AA1817" s="77" t="s">
        <v>1568</v>
      </c>
      <c r="AB1817" s="77" t="s">
        <v>1521</v>
      </c>
      <c r="AC1817" s="77" t="s">
        <v>90</v>
      </c>
      <c r="AD1817" s="77" t="s">
        <v>91</v>
      </c>
      <c r="AE1817" s="77" t="s">
        <v>3499</v>
      </c>
    </row>
    <row r="1818" spans="1:32" hidden="1" x14ac:dyDescent="0.3">
      <c r="A1818" s="77" t="s">
        <v>3724</v>
      </c>
      <c r="B1818" s="77" t="s">
        <v>2123</v>
      </c>
      <c r="G1818" s="77" t="s">
        <v>3498</v>
      </c>
      <c r="H1818" s="77" t="s">
        <v>77</v>
      </c>
      <c r="I1818" s="77" t="s">
        <v>1521</v>
      </c>
      <c r="J1818" s="77" t="s">
        <v>3039</v>
      </c>
      <c r="K1818" s="77" t="s">
        <v>1522</v>
      </c>
      <c r="L1818" s="77" t="s">
        <v>2117</v>
      </c>
      <c r="M1818" s="77" t="s">
        <v>82</v>
      </c>
      <c r="N1818" s="77" t="s">
        <v>83</v>
      </c>
      <c r="Q1818" s="77" t="s">
        <v>111</v>
      </c>
      <c r="T1818" s="77" t="s">
        <v>1666</v>
      </c>
      <c r="U1818" s="77" t="s">
        <v>85</v>
      </c>
      <c r="V1818" s="80" t="s">
        <v>365</v>
      </c>
      <c r="W1818" s="79">
        <v>46204.554085960648</v>
      </c>
      <c r="X1818" s="77" t="s">
        <v>366</v>
      </c>
      <c r="Y1818" s="78" t="s">
        <v>88</v>
      </c>
      <c r="AA1818" s="77" t="s">
        <v>1568</v>
      </c>
      <c r="AB1818" s="77" t="s">
        <v>1521</v>
      </c>
      <c r="AC1818" s="77" t="s">
        <v>114</v>
      </c>
      <c r="AD1818" s="77" t="s">
        <v>91</v>
      </c>
      <c r="AE1818" s="77" t="s">
        <v>3499</v>
      </c>
      <c r="AF1818" s="77" t="s">
        <v>2706</v>
      </c>
    </row>
    <row r="1819" spans="1:32" x14ac:dyDescent="0.3">
      <c r="A1819" s="77" t="s">
        <v>3725</v>
      </c>
      <c r="B1819" s="77" t="s">
        <v>2125</v>
      </c>
      <c r="G1819" s="77" t="s">
        <v>3498</v>
      </c>
      <c r="H1819" s="77" t="s">
        <v>77</v>
      </c>
      <c r="I1819" s="77" t="s">
        <v>1521</v>
      </c>
      <c r="J1819" s="77" t="s">
        <v>3039</v>
      </c>
      <c r="K1819" s="77" t="s">
        <v>1522</v>
      </c>
      <c r="L1819" s="77" t="s">
        <v>2126</v>
      </c>
      <c r="M1819" s="77" t="s">
        <v>82</v>
      </c>
      <c r="N1819" s="77" t="s">
        <v>83</v>
      </c>
      <c r="Q1819" s="77" t="s">
        <v>111</v>
      </c>
      <c r="T1819" s="77" t="s">
        <v>1666</v>
      </c>
      <c r="U1819" s="77" t="s">
        <v>85</v>
      </c>
      <c r="V1819" s="80" t="s">
        <v>370</v>
      </c>
      <c r="X1819" s="77" t="s">
        <v>371</v>
      </c>
      <c r="Y1819" s="78" t="s">
        <v>88</v>
      </c>
      <c r="AA1819" s="77" t="s">
        <v>1568</v>
      </c>
      <c r="AB1819" s="77" t="s">
        <v>1521</v>
      </c>
      <c r="AC1819" s="77" t="s">
        <v>90</v>
      </c>
      <c r="AD1819" s="77" t="s">
        <v>91</v>
      </c>
      <c r="AE1819" s="77" t="s">
        <v>3499</v>
      </c>
    </row>
    <row r="1820" spans="1:32" x14ac:dyDescent="0.3">
      <c r="A1820" s="77" t="s">
        <v>3726</v>
      </c>
      <c r="B1820" s="77" t="s">
        <v>2128</v>
      </c>
      <c r="G1820" s="77" t="s">
        <v>3498</v>
      </c>
      <c r="H1820" s="77" t="s">
        <v>77</v>
      </c>
      <c r="I1820" s="77" t="s">
        <v>1521</v>
      </c>
      <c r="J1820" s="77" t="s">
        <v>3039</v>
      </c>
      <c r="K1820" s="77" t="s">
        <v>1522</v>
      </c>
      <c r="L1820" s="77" t="s">
        <v>2126</v>
      </c>
      <c r="M1820" s="77" t="s">
        <v>82</v>
      </c>
      <c r="N1820" s="77" t="s">
        <v>83</v>
      </c>
      <c r="Q1820" s="77" t="s">
        <v>111</v>
      </c>
      <c r="T1820" s="77" t="s">
        <v>1666</v>
      </c>
      <c r="U1820" s="77" t="s">
        <v>85</v>
      </c>
      <c r="V1820" s="80" t="s">
        <v>370</v>
      </c>
      <c r="X1820" s="77" t="s">
        <v>371</v>
      </c>
      <c r="Y1820" s="78" t="s">
        <v>88</v>
      </c>
      <c r="AA1820" s="77" t="s">
        <v>1568</v>
      </c>
      <c r="AB1820" s="77" t="s">
        <v>1521</v>
      </c>
      <c r="AC1820" s="77" t="s">
        <v>90</v>
      </c>
      <c r="AD1820" s="77" t="s">
        <v>91</v>
      </c>
      <c r="AE1820" s="77" t="s">
        <v>3499</v>
      </c>
    </row>
    <row r="1821" spans="1:32" x14ac:dyDescent="0.3">
      <c r="A1821" s="77" t="s">
        <v>3727</v>
      </c>
      <c r="B1821" s="77" t="s">
        <v>2130</v>
      </c>
      <c r="G1821" s="77" t="s">
        <v>3498</v>
      </c>
      <c r="H1821" s="77" t="s">
        <v>77</v>
      </c>
      <c r="I1821" s="77" t="s">
        <v>1521</v>
      </c>
      <c r="J1821" s="77" t="s">
        <v>3039</v>
      </c>
      <c r="K1821" s="77" t="s">
        <v>1522</v>
      </c>
      <c r="L1821" s="77" t="s">
        <v>2126</v>
      </c>
      <c r="M1821" s="77" t="s">
        <v>82</v>
      </c>
      <c r="N1821" s="77" t="s">
        <v>83</v>
      </c>
      <c r="Q1821" s="77" t="s">
        <v>111</v>
      </c>
      <c r="T1821" s="77" t="s">
        <v>1666</v>
      </c>
      <c r="U1821" s="77" t="s">
        <v>85</v>
      </c>
      <c r="V1821" s="80" t="s">
        <v>370</v>
      </c>
      <c r="X1821" s="77" t="s">
        <v>371</v>
      </c>
      <c r="Y1821" s="78" t="s">
        <v>88</v>
      </c>
      <c r="AA1821" s="77" t="s">
        <v>1568</v>
      </c>
      <c r="AB1821" s="77" t="s">
        <v>1521</v>
      </c>
      <c r="AC1821" s="77" t="s">
        <v>90</v>
      </c>
      <c r="AD1821" s="77" t="s">
        <v>91</v>
      </c>
      <c r="AE1821" s="77" t="s">
        <v>3499</v>
      </c>
    </row>
    <row r="1822" spans="1:32" hidden="1" x14ac:dyDescent="0.3">
      <c r="A1822" s="77" t="s">
        <v>3728</v>
      </c>
      <c r="B1822" s="77" t="s">
        <v>2132</v>
      </c>
      <c r="G1822" s="77" t="s">
        <v>3498</v>
      </c>
      <c r="H1822" s="77" t="s">
        <v>77</v>
      </c>
      <c r="I1822" s="77" t="s">
        <v>1521</v>
      </c>
      <c r="J1822" s="77" t="s">
        <v>3039</v>
      </c>
      <c r="K1822" s="77" t="s">
        <v>1522</v>
      </c>
      <c r="L1822" s="77" t="s">
        <v>2126</v>
      </c>
      <c r="M1822" s="77" t="s">
        <v>82</v>
      </c>
      <c r="N1822" s="77" t="s">
        <v>83</v>
      </c>
      <c r="Q1822" s="77" t="s">
        <v>111</v>
      </c>
      <c r="T1822" s="77" t="s">
        <v>1666</v>
      </c>
      <c r="U1822" s="77" t="s">
        <v>85</v>
      </c>
      <c r="V1822" s="77" t="s">
        <v>370</v>
      </c>
      <c r="W1822" s="79">
        <v>46204.554426504626</v>
      </c>
      <c r="X1822" s="77" t="s">
        <v>371</v>
      </c>
      <c r="Y1822" s="78" t="s">
        <v>88</v>
      </c>
      <c r="AA1822" s="77" t="s">
        <v>1568</v>
      </c>
      <c r="AB1822" s="77" t="s">
        <v>1521</v>
      </c>
      <c r="AC1822" s="77" t="s">
        <v>114</v>
      </c>
      <c r="AD1822" s="77" t="s">
        <v>91</v>
      </c>
      <c r="AE1822" s="77" t="s">
        <v>3499</v>
      </c>
      <c r="AF1822" s="77" t="s">
        <v>2706</v>
      </c>
    </row>
    <row r="1823" spans="1:32" x14ac:dyDescent="0.3">
      <c r="A1823" s="77" t="s">
        <v>3729</v>
      </c>
      <c r="B1823" s="77" t="s">
        <v>2134</v>
      </c>
      <c r="G1823" s="77" t="s">
        <v>3498</v>
      </c>
      <c r="H1823" s="77" t="s">
        <v>77</v>
      </c>
      <c r="I1823" s="77" t="s">
        <v>1521</v>
      </c>
      <c r="J1823" s="77" t="s">
        <v>3039</v>
      </c>
      <c r="K1823" s="77" t="s">
        <v>1522</v>
      </c>
      <c r="L1823" s="77" t="s">
        <v>2135</v>
      </c>
      <c r="M1823" s="77" t="s">
        <v>82</v>
      </c>
      <c r="N1823" s="77" t="s">
        <v>83</v>
      </c>
      <c r="Q1823" s="77" t="s">
        <v>111</v>
      </c>
      <c r="T1823" s="77" t="s">
        <v>1666</v>
      </c>
      <c r="U1823" s="77" t="s">
        <v>85</v>
      </c>
      <c r="V1823" s="80" t="s">
        <v>375</v>
      </c>
      <c r="X1823" s="77" t="s">
        <v>376</v>
      </c>
      <c r="Y1823" s="78" t="s">
        <v>101</v>
      </c>
      <c r="AA1823" s="77" t="s">
        <v>1568</v>
      </c>
      <c r="AB1823" s="77" t="s">
        <v>1521</v>
      </c>
      <c r="AC1823" s="77" t="s">
        <v>90</v>
      </c>
      <c r="AD1823" s="77" t="s">
        <v>102</v>
      </c>
      <c r="AE1823" s="77" t="s">
        <v>3499</v>
      </c>
    </row>
    <row r="1824" spans="1:32" hidden="1" x14ac:dyDescent="0.3">
      <c r="A1824" s="77" t="s">
        <v>3730</v>
      </c>
      <c r="B1824" s="77" t="s">
        <v>2137</v>
      </c>
      <c r="G1824" s="77" t="s">
        <v>3498</v>
      </c>
      <c r="H1824" s="77" t="s">
        <v>77</v>
      </c>
      <c r="I1824" s="77" t="s">
        <v>1521</v>
      </c>
      <c r="J1824" s="77" t="s">
        <v>3039</v>
      </c>
      <c r="K1824" s="77" t="s">
        <v>1522</v>
      </c>
      <c r="L1824" s="77" t="s">
        <v>2135</v>
      </c>
      <c r="M1824" s="77" t="s">
        <v>82</v>
      </c>
      <c r="N1824" s="77" t="s">
        <v>83</v>
      </c>
      <c r="Q1824" s="77" t="s">
        <v>111</v>
      </c>
      <c r="T1824" s="77" t="s">
        <v>1666</v>
      </c>
      <c r="U1824" s="77" t="s">
        <v>85</v>
      </c>
      <c r="V1824" s="77" t="s">
        <v>375</v>
      </c>
      <c r="W1824" s="79">
        <v>46204.554766631947</v>
      </c>
      <c r="X1824" s="77" t="s">
        <v>376</v>
      </c>
      <c r="Y1824" s="78" t="s">
        <v>101</v>
      </c>
      <c r="AA1824" s="77" t="s">
        <v>1568</v>
      </c>
      <c r="AB1824" s="77" t="s">
        <v>1521</v>
      </c>
      <c r="AC1824" s="77" t="s">
        <v>114</v>
      </c>
      <c r="AD1824" s="77" t="s">
        <v>102</v>
      </c>
      <c r="AE1824" s="77" t="s">
        <v>3499</v>
      </c>
      <c r="AF1824" s="77" t="s">
        <v>2706</v>
      </c>
    </row>
    <row r="1825" spans="1:32" x14ac:dyDescent="0.3">
      <c r="A1825" s="77" t="s">
        <v>3731</v>
      </c>
      <c r="B1825" s="77" t="s">
        <v>2139</v>
      </c>
      <c r="G1825" s="77" t="s">
        <v>3498</v>
      </c>
      <c r="H1825" s="77" t="s">
        <v>77</v>
      </c>
      <c r="I1825" s="77" t="s">
        <v>1521</v>
      </c>
      <c r="J1825" s="77" t="s">
        <v>3039</v>
      </c>
      <c r="K1825" s="77" t="s">
        <v>1522</v>
      </c>
      <c r="L1825" s="77" t="s">
        <v>2135</v>
      </c>
      <c r="M1825" s="77" t="s">
        <v>82</v>
      </c>
      <c r="N1825" s="77" t="s">
        <v>83</v>
      </c>
      <c r="Q1825" s="77" t="s">
        <v>111</v>
      </c>
      <c r="T1825" s="77" t="s">
        <v>1666</v>
      </c>
      <c r="U1825" s="77" t="s">
        <v>85</v>
      </c>
      <c r="V1825" s="80" t="s">
        <v>375</v>
      </c>
      <c r="X1825" s="77" t="s">
        <v>376</v>
      </c>
      <c r="Y1825" s="78" t="s">
        <v>101</v>
      </c>
      <c r="AA1825" s="77" t="s">
        <v>1568</v>
      </c>
      <c r="AB1825" s="77" t="s">
        <v>1521</v>
      </c>
      <c r="AC1825" s="77" t="s">
        <v>90</v>
      </c>
      <c r="AD1825" s="77" t="s">
        <v>102</v>
      </c>
      <c r="AE1825" s="77" t="s">
        <v>3499</v>
      </c>
    </row>
    <row r="1826" spans="1:32" hidden="1" x14ac:dyDescent="0.3">
      <c r="A1826" s="77" t="s">
        <v>3732</v>
      </c>
      <c r="B1826" s="77" t="s">
        <v>2141</v>
      </c>
      <c r="G1826" s="77" t="s">
        <v>3498</v>
      </c>
      <c r="H1826" s="77" t="s">
        <v>77</v>
      </c>
      <c r="I1826" s="77" t="s">
        <v>1521</v>
      </c>
      <c r="J1826" s="77" t="s">
        <v>3039</v>
      </c>
      <c r="K1826" s="77" t="s">
        <v>1522</v>
      </c>
      <c r="L1826" s="77" t="s">
        <v>2135</v>
      </c>
      <c r="M1826" s="77" t="s">
        <v>82</v>
      </c>
      <c r="N1826" s="77" t="s">
        <v>83</v>
      </c>
      <c r="Q1826" s="77" t="s">
        <v>111</v>
      </c>
      <c r="T1826" s="77" t="s">
        <v>1666</v>
      </c>
      <c r="U1826" s="77" t="s">
        <v>85</v>
      </c>
      <c r="V1826" s="77" t="s">
        <v>375</v>
      </c>
      <c r="W1826" s="79">
        <v>46204.555115243056</v>
      </c>
      <c r="X1826" s="77" t="s">
        <v>376</v>
      </c>
      <c r="Y1826" s="78" t="s">
        <v>101</v>
      </c>
      <c r="AA1826" s="77" t="s">
        <v>1568</v>
      </c>
      <c r="AB1826" s="77" t="s">
        <v>1521</v>
      </c>
      <c r="AC1826" s="77" t="s">
        <v>114</v>
      </c>
      <c r="AD1826" s="77" t="s">
        <v>102</v>
      </c>
      <c r="AE1826" s="77" t="s">
        <v>3499</v>
      </c>
      <c r="AF1826" s="77" t="s">
        <v>2706</v>
      </c>
    </row>
    <row r="1827" spans="1:32" x14ac:dyDescent="0.3">
      <c r="A1827" s="77" t="s">
        <v>3733</v>
      </c>
      <c r="B1827" s="77" t="s">
        <v>2143</v>
      </c>
      <c r="G1827" s="77" t="s">
        <v>3498</v>
      </c>
      <c r="H1827" s="77" t="s">
        <v>77</v>
      </c>
      <c r="I1827" s="77" t="s">
        <v>1521</v>
      </c>
      <c r="J1827" s="77" t="s">
        <v>3039</v>
      </c>
      <c r="K1827" s="77" t="s">
        <v>1522</v>
      </c>
      <c r="L1827" s="77" t="s">
        <v>2144</v>
      </c>
      <c r="M1827" s="77" t="s">
        <v>82</v>
      </c>
      <c r="N1827" s="77" t="s">
        <v>83</v>
      </c>
      <c r="Q1827" s="77" t="s">
        <v>111</v>
      </c>
      <c r="T1827" s="77" t="s">
        <v>1666</v>
      </c>
      <c r="U1827" s="77" t="s">
        <v>85</v>
      </c>
      <c r="V1827" s="80" t="s">
        <v>380</v>
      </c>
      <c r="X1827" s="77" t="s">
        <v>381</v>
      </c>
      <c r="Y1827" s="78" t="s">
        <v>101</v>
      </c>
      <c r="AA1827" s="77" t="s">
        <v>1568</v>
      </c>
      <c r="AB1827" s="77" t="s">
        <v>1521</v>
      </c>
      <c r="AC1827" s="77" t="s">
        <v>90</v>
      </c>
      <c r="AD1827" s="77" t="s">
        <v>102</v>
      </c>
      <c r="AE1827" s="77" t="s">
        <v>3499</v>
      </c>
    </row>
    <row r="1828" spans="1:32" hidden="1" x14ac:dyDescent="0.3">
      <c r="A1828" s="77" t="s">
        <v>3734</v>
      </c>
      <c r="B1828" s="77" t="s">
        <v>2146</v>
      </c>
      <c r="G1828" s="77" t="s">
        <v>3498</v>
      </c>
      <c r="H1828" s="77" t="s">
        <v>77</v>
      </c>
      <c r="I1828" s="77" t="s">
        <v>1521</v>
      </c>
      <c r="J1828" s="77" t="s">
        <v>3039</v>
      </c>
      <c r="K1828" s="77" t="s">
        <v>1522</v>
      </c>
      <c r="L1828" s="77" t="s">
        <v>2144</v>
      </c>
      <c r="M1828" s="77" t="s">
        <v>82</v>
      </c>
      <c r="N1828" s="77" t="s">
        <v>83</v>
      </c>
      <c r="Q1828" s="77" t="s">
        <v>111</v>
      </c>
      <c r="T1828" s="77" t="s">
        <v>1666</v>
      </c>
      <c r="U1828" s="77" t="s">
        <v>85</v>
      </c>
      <c r="V1828" s="77" t="s">
        <v>380</v>
      </c>
      <c r="W1828" s="79">
        <v>46204.555429016204</v>
      </c>
      <c r="X1828" s="77" t="s">
        <v>381</v>
      </c>
      <c r="Y1828" s="78" t="s">
        <v>101</v>
      </c>
      <c r="AA1828" s="77" t="s">
        <v>1568</v>
      </c>
      <c r="AB1828" s="77" t="s">
        <v>1521</v>
      </c>
      <c r="AC1828" s="77" t="s">
        <v>114</v>
      </c>
      <c r="AD1828" s="77" t="s">
        <v>102</v>
      </c>
      <c r="AE1828" s="77" t="s">
        <v>3499</v>
      </c>
      <c r="AF1828" s="77" t="s">
        <v>2706</v>
      </c>
    </row>
    <row r="1829" spans="1:32" x14ac:dyDescent="0.3">
      <c r="A1829" s="77" t="s">
        <v>3735</v>
      </c>
      <c r="B1829" s="77" t="s">
        <v>2148</v>
      </c>
      <c r="G1829" s="77" t="s">
        <v>3498</v>
      </c>
      <c r="H1829" s="77" t="s">
        <v>77</v>
      </c>
      <c r="I1829" s="77" t="s">
        <v>1521</v>
      </c>
      <c r="J1829" s="77" t="s">
        <v>3039</v>
      </c>
      <c r="K1829" s="77" t="s">
        <v>1522</v>
      </c>
      <c r="L1829" s="77" t="s">
        <v>2144</v>
      </c>
      <c r="M1829" s="77" t="s">
        <v>82</v>
      </c>
      <c r="N1829" s="77" t="s">
        <v>83</v>
      </c>
      <c r="Q1829" s="77" t="s">
        <v>111</v>
      </c>
      <c r="T1829" s="77" t="s">
        <v>1666</v>
      </c>
      <c r="U1829" s="77" t="s">
        <v>85</v>
      </c>
      <c r="V1829" s="80" t="s">
        <v>380</v>
      </c>
      <c r="X1829" s="77" t="s">
        <v>381</v>
      </c>
      <c r="Y1829" s="78" t="s">
        <v>101</v>
      </c>
      <c r="AA1829" s="77" t="s">
        <v>1568</v>
      </c>
      <c r="AB1829" s="77" t="s">
        <v>1521</v>
      </c>
      <c r="AC1829" s="77" t="s">
        <v>90</v>
      </c>
      <c r="AD1829" s="77" t="s">
        <v>102</v>
      </c>
      <c r="AE1829" s="77" t="s">
        <v>3499</v>
      </c>
    </row>
    <row r="1830" spans="1:32" hidden="1" x14ac:dyDescent="0.3">
      <c r="A1830" s="77" t="s">
        <v>3736</v>
      </c>
      <c r="B1830" s="77" t="s">
        <v>2150</v>
      </c>
      <c r="G1830" s="77" t="s">
        <v>3498</v>
      </c>
      <c r="H1830" s="77" t="s">
        <v>77</v>
      </c>
      <c r="I1830" s="77" t="s">
        <v>1521</v>
      </c>
      <c r="J1830" s="77" t="s">
        <v>3039</v>
      </c>
      <c r="K1830" s="77" t="s">
        <v>1522</v>
      </c>
      <c r="L1830" s="77" t="s">
        <v>2144</v>
      </c>
      <c r="M1830" s="77" t="s">
        <v>82</v>
      </c>
      <c r="N1830" s="77" t="s">
        <v>83</v>
      </c>
      <c r="Q1830" s="77" t="s">
        <v>111</v>
      </c>
      <c r="T1830" s="77" t="s">
        <v>1666</v>
      </c>
      <c r="U1830" s="77" t="s">
        <v>85</v>
      </c>
      <c r="V1830" s="77" t="s">
        <v>380</v>
      </c>
      <c r="W1830" s="79">
        <v>46204.555968402776</v>
      </c>
      <c r="X1830" s="77" t="s">
        <v>381</v>
      </c>
      <c r="Y1830" s="78" t="s">
        <v>101</v>
      </c>
      <c r="AA1830" s="77" t="s">
        <v>1568</v>
      </c>
      <c r="AB1830" s="77" t="s">
        <v>1521</v>
      </c>
      <c r="AC1830" s="77" t="s">
        <v>114</v>
      </c>
      <c r="AD1830" s="77" t="s">
        <v>102</v>
      </c>
      <c r="AE1830" s="77" t="s">
        <v>3499</v>
      </c>
      <c r="AF1830" s="77" t="s">
        <v>2706</v>
      </c>
    </row>
    <row r="1831" spans="1:32" x14ac:dyDescent="0.3">
      <c r="A1831" s="77" t="s">
        <v>3737</v>
      </c>
      <c r="B1831" s="77" t="s">
        <v>2152</v>
      </c>
      <c r="G1831" s="77" t="s">
        <v>3498</v>
      </c>
      <c r="H1831" s="77" t="s">
        <v>77</v>
      </c>
      <c r="I1831" s="77" t="s">
        <v>1521</v>
      </c>
      <c r="J1831" s="77" t="s">
        <v>3039</v>
      </c>
      <c r="K1831" s="77" t="s">
        <v>1522</v>
      </c>
      <c r="L1831" s="77" t="s">
        <v>2153</v>
      </c>
      <c r="M1831" s="77" t="s">
        <v>82</v>
      </c>
      <c r="N1831" s="77" t="s">
        <v>83</v>
      </c>
      <c r="Q1831" s="77" t="s">
        <v>111</v>
      </c>
      <c r="T1831" s="77" t="s">
        <v>1666</v>
      </c>
      <c r="U1831" s="77" t="s">
        <v>85</v>
      </c>
      <c r="V1831" s="80" t="s">
        <v>189</v>
      </c>
      <c r="X1831" s="77" t="s">
        <v>190</v>
      </c>
      <c r="Y1831" s="78" t="s">
        <v>88</v>
      </c>
      <c r="AA1831" s="77" t="s">
        <v>1568</v>
      </c>
      <c r="AB1831" s="77" t="s">
        <v>1521</v>
      </c>
      <c r="AC1831" s="77" t="s">
        <v>90</v>
      </c>
      <c r="AD1831" s="77" t="s">
        <v>91</v>
      </c>
      <c r="AE1831" s="77" t="s">
        <v>3499</v>
      </c>
    </row>
    <row r="1832" spans="1:32" x14ac:dyDescent="0.3">
      <c r="A1832" s="77" t="s">
        <v>3738</v>
      </c>
      <c r="B1832" s="77" t="s">
        <v>2155</v>
      </c>
      <c r="G1832" s="77" t="s">
        <v>3498</v>
      </c>
      <c r="H1832" s="77" t="s">
        <v>77</v>
      </c>
      <c r="I1832" s="77" t="s">
        <v>1521</v>
      </c>
      <c r="J1832" s="77" t="s">
        <v>3039</v>
      </c>
      <c r="K1832" s="77" t="s">
        <v>1522</v>
      </c>
      <c r="L1832" s="77" t="s">
        <v>2153</v>
      </c>
      <c r="M1832" s="77" t="s">
        <v>82</v>
      </c>
      <c r="N1832" s="77" t="s">
        <v>83</v>
      </c>
      <c r="Q1832" s="77" t="s">
        <v>111</v>
      </c>
      <c r="T1832" s="77" t="s">
        <v>1666</v>
      </c>
      <c r="U1832" s="77" t="s">
        <v>85</v>
      </c>
      <c r="V1832" s="80" t="s">
        <v>189</v>
      </c>
      <c r="X1832" s="77" t="s">
        <v>190</v>
      </c>
      <c r="Y1832" s="78" t="s">
        <v>88</v>
      </c>
      <c r="AA1832" s="77" t="s">
        <v>1568</v>
      </c>
      <c r="AB1832" s="77" t="s">
        <v>1521</v>
      </c>
      <c r="AC1832" s="77" t="s">
        <v>90</v>
      </c>
      <c r="AD1832" s="77" t="s">
        <v>91</v>
      </c>
      <c r="AE1832" s="77" t="s">
        <v>3499</v>
      </c>
    </row>
    <row r="1833" spans="1:32" x14ac:dyDescent="0.3">
      <c r="A1833" s="77" t="s">
        <v>3739</v>
      </c>
      <c r="B1833" s="77" t="s">
        <v>2157</v>
      </c>
      <c r="G1833" s="77" t="s">
        <v>3498</v>
      </c>
      <c r="H1833" s="77" t="s">
        <v>77</v>
      </c>
      <c r="I1833" s="77" t="s">
        <v>1521</v>
      </c>
      <c r="J1833" s="77" t="s">
        <v>3039</v>
      </c>
      <c r="K1833" s="77" t="s">
        <v>1522</v>
      </c>
      <c r="L1833" s="77" t="s">
        <v>2153</v>
      </c>
      <c r="M1833" s="77" t="s">
        <v>82</v>
      </c>
      <c r="N1833" s="77" t="s">
        <v>83</v>
      </c>
      <c r="Q1833" s="77" t="s">
        <v>111</v>
      </c>
      <c r="T1833" s="77" t="s">
        <v>1666</v>
      </c>
      <c r="U1833" s="77" t="s">
        <v>85</v>
      </c>
      <c r="V1833" s="80" t="s">
        <v>189</v>
      </c>
      <c r="X1833" s="77" t="s">
        <v>190</v>
      </c>
      <c r="Y1833" s="78" t="s">
        <v>88</v>
      </c>
      <c r="AA1833" s="77" t="s">
        <v>1568</v>
      </c>
      <c r="AB1833" s="77" t="s">
        <v>1521</v>
      </c>
      <c r="AC1833" s="77" t="s">
        <v>90</v>
      </c>
      <c r="AD1833" s="77" t="s">
        <v>91</v>
      </c>
      <c r="AE1833" s="77" t="s">
        <v>3499</v>
      </c>
    </row>
    <row r="1834" spans="1:32" x14ac:dyDescent="0.3">
      <c r="A1834" s="77" t="s">
        <v>3740</v>
      </c>
      <c r="B1834" s="77" t="s">
        <v>2159</v>
      </c>
      <c r="G1834" s="77" t="s">
        <v>3498</v>
      </c>
      <c r="H1834" s="77" t="s">
        <v>77</v>
      </c>
      <c r="I1834" s="77" t="s">
        <v>1521</v>
      </c>
      <c r="J1834" s="77" t="s">
        <v>3039</v>
      </c>
      <c r="K1834" s="77" t="s">
        <v>1522</v>
      </c>
      <c r="L1834" s="77" t="s">
        <v>2153</v>
      </c>
      <c r="M1834" s="77" t="s">
        <v>82</v>
      </c>
      <c r="N1834" s="77" t="s">
        <v>83</v>
      </c>
      <c r="Q1834" s="77" t="s">
        <v>111</v>
      </c>
      <c r="T1834" s="77" t="s">
        <v>1666</v>
      </c>
      <c r="U1834" s="77" t="s">
        <v>85</v>
      </c>
      <c r="V1834" s="80" t="s">
        <v>189</v>
      </c>
      <c r="X1834" s="77" t="s">
        <v>190</v>
      </c>
      <c r="Y1834" s="78" t="s">
        <v>88</v>
      </c>
      <c r="AA1834" s="77" t="s">
        <v>1568</v>
      </c>
      <c r="AB1834" s="77" t="s">
        <v>1521</v>
      </c>
      <c r="AC1834" s="77" t="s">
        <v>90</v>
      </c>
      <c r="AD1834" s="77" t="s">
        <v>91</v>
      </c>
      <c r="AE1834" s="77" t="s">
        <v>3499</v>
      </c>
    </row>
    <row r="1835" spans="1:32" x14ac:dyDescent="0.3">
      <c r="A1835" s="77" t="s">
        <v>3741</v>
      </c>
      <c r="B1835" s="77" t="s">
        <v>2161</v>
      </c>
      <c r="G1835" s="77" t="s">
        <v>3498</v>
      </c>
      <c r="H1835" s="77" t="s">
        <v>77</v>
      </c>
      <c r="I1835" s="77" t="s">
        <v>1521</v>
      </c>
      <c r="J1835" s="77" t="s">
        <v>3039</v>
      </c>
      <c r="K1835" s="77" t="s">
        <v>1522</v>
      </c>
      <c r="L1835" s="77" t="s">
        <v>2153</v>
      </c>
      <c r="M1835" s="77" t="s">
        <v>82</v>
      </c>
      <c r="N1835" s="77" t="s">
        <v>83</v>
      </c>
      <c r="Q1835" s="77" t="s">
        <v>111</v>
      </c>
      <c r="T1835" s="77" t="s">
        <v>1666</v>
      </c>
      <c r="U1835" s="77" t="s">
        <v>85</v>
      </c>
      <c r="V1835" s="80" t="s">
        <v>189</v>
      </c>
      <c r="X1835" s="77" t="s">
        <v>190</v>
      </c>
      <c r="Y1835" s="78" t="s">
        <v>88</v>
      </c>
      <c r="AA1835" s="77" t="s">
        <v>1568</v>
      </c>
      <c r="AB1835" s="77" t="s">
        <v>1521</v>
      </c>
      <c r="AC1835" s="77" t="s">
        <v>90</v>
      </c>
      <c r="AD1835" s="77" t="s">
        <v>91</v>
      </c>
      <c r="AE1835" s="77" t="s">
        <v>3499</v>
      </c>
    </row>
    <row r="1836" spans="1:32" x14ac:dyDescent="0.3">
      <c r="A1836" s="77" t="s">
        <v>3742</v>
      </c>
      <c r="B1836" s="77" t="s">
        <v>2163</v>
      </c>
      <c r="G1836" s="77" t="s">
        <v>3498</v>
      </c>
      <c r="H1836" s="77" t="s">
        <v>77</v>
      </c>
      <c r="I1836" s="77" t="s">
        <v>1521</v>
      </c>
      <c r="J1836" s="77" t="s">
        <v>3039</v>
      </c>
      <c r="K1836" s="77" t="s">
        <v>1522</v>
      </c>
      <c r="L1836" s="77" t="s">
        <v>2153</v>
      </c>
      <c r="M1836" s="77" t="s">
        <v>82</v>
      </c>
      <c r="N1836" s="77" t="s">
        <v>83</v>
      </c>
      <c r="Q1836" s="77" t="s">
        <v>111</v>
      </c>
      <c r="T1836" s="77" t="s">
        <v>1666</v>
      </c>
      <c r="U1836" s="77" t="s">
        <v>85</v>
      </c>
      <c r="V1836" s="80" t="s">
        <v>189</v>
      </c>
      <c r="X1836" s="77" t="s">
        <v>190</v>
      </c>
      <c r="Y1836" s="78" t="s">
        <v>88</v>
      </c>
      <c r="AA1836" s="77" t="s">
        <v>1568</v>
      </c>
      <c r="AB1836" s="77" t="s">
        <v>1521</v>
      </c>
      <c r="AC1836" s="77" t="s">
        <v>90</v>
      </c>
      <c r="AD1836" s="77" t="s">
        <v>91</v>
      </c>
      <c r="AE1836" s="77" t="s">
        <v>3499</v>
      </c>
    </row>
    <row r="1837" spans="1:32" hidden="1" x14ac:dyDescent="0.3">
      <c r="A1837" s="77" t="s">
        <v>3743</v>
      </c>
      <c r="B1837" s="77" t="s">
        <v>2165</v>
      </c>
      <c r="G1837" s="77" t="s">
        <v>3498</v>
      </c>
      <c r="H1837" s="77" t="s">
        <v>77</v>
      </c>
      <c r="I1837" s="77" t="s">
        <v>1521</v>
      </c>
      <c r="J1837" s="77" t="s">
        <v>3039</v>
      </c>
      <c r="K1837" s="77" t="s">
        <v>1522</v>
      </c>
      <c r="L1837" s="77" t="s">
        <v>2166</v>
      </c>
      <c r="M1837" s="77" t="s">
        <v>82</v>
      </c>
      <c r="N1837" s="77" t="s">
        <v>83</v>
      </c>
      <c r="Q1837" s="77" t="s">
        <v>111</v>
      </c>
      <c r="T1837" s="77" t="s">
        <v>1666</v>
      </c>
      <c r="U1837" s="77" t="s">
        <v>85</v>
      </c>
      <c r="V1837" s="77" t="s">
        <v>196</v>
      </c>
      <c r="W1837" s="79">
        <v>46210.58746072917</v>
      </c>
      <c r="X1837" s="77" t="s">
        <v>197</v>
      </c>
      <c r="Y1837" s="78" t="s">
        <v>88</v>
      </c>
      <c r="AA1837" s="77" t="s">
        <v>1568</v>
      </c>
      <c r="AB1837" s="77" t="s">
        <v>1521</v>
      </c>
      <c r="AC1837" s="77" t="s">
        <v>114</v>
      </c>
      <c r="AD1837" s="77" t="s">
        <v>91</v>
      </c>
      <c r="AE1837" s="77" t="s">
        <v>3499</v>
      </c>
      <c r="AF1837" s="77" t="s">
        <v>2706</v>
      </c>
    </row>
    <row r="1838" spans="1:32" x14ac:dyDescent="0.3">
      <c r="A1838" s="77" t="s">
        <v>3744</v>
      </c>
      <c r="B1838" s="77" t="s">
        <v>2168</v>
      </c>
      <c r="G1838" s="77" t="s">
        <v>3498</v>
      </c>
      <c r="H1838" s="77" t="s">
        <v>77</v>
      </c>
      <c r="I1838" s="77" t="s">
        <v>1521</v>
      </c>
      <c r="J1838" s="77" t="s">
        <v>3039</v>
      </c>
      <c r="K1838" s="77" t="s">
        <v>1522</v>
      </c>
      <c r="L1838" s="77" t="s">
        <v>2166</v>
      </c>
      <c r="M1838" s="77" t="s">
        <v>82</v>
      </c>
      <c r="N1838" s="77" t="s">
        <v>83</v>
      </c>
      <c r="Q1838" s="77" t="s">
        <v>111</v>
      </c>
      <c r="T1838" s="77" t="s">
        <v>1666</v>
      </c>
      <c r="U1838" s="77" t="s">
        <v>85</v>
      </c>
      <c r="V1838" s="80" t="s">
        <v>196</v>
      </c>
      <c r="X1838" s="77" t="s">
        <v>197</v>
      </c>
      <c r="Y1838" s="78" t="s">
        <v>88</v>
      </c>
      <c r="AA1838" s="77" t="s">
        <v>1568</v>
      </c>
      <c r="AB1838" s="77" t="s">
        <v>1521</v>
      </c>
      <c r="AC1838" s="77" t="s">
        <v>90</v>
      </c>
      <c r="AD1838" s="77" t="s">
        <v>91</v>
      </c>
      <c r="AE1838" s="77" t="s">
        <v>3499</v>
      </c>
    </row>
    <row r="1839" spans="1:32" x14ac:dyDescent="0.3">
      <c r="A1839" s="77" t="s">
        <v>3745</v>
      </c>
      <c r="B1839" s="77" t="s">
        <v>2170</v>
      </c>
      <c r="G1839" s="77" t="s">
        <v>3498</v>
      </c>
      <c r="H1839" s="77" t="s">
        <v>77</v>
      </c>
      <c r="I1839" s="77" t="s">
        <v>1521</v>
      </c>
      <c r="J1839" s="77" t="s">
        <v>3039</v>
      </c>
      <c r="K1839" s="77" t="s">
        <v>1522</v>
      </c>
      <c r="L1839" s="77" t="s">
        <v>2166</v>
      </c>
      <c r="M1839" s="77" t="s">
        <v>82</v>
      </c>
      <c r="N1839" s="77" t="s">
        <v>83</v>
      </c>
      <c r="Q1839" s="77" t="s">
        <v>111</v>
      </c>
      <c r="T1839" s="77" t="s">
        <v>1666</v>
      </c>
      <c r="U1839" s="77" t="s">
        <v>85</v>
      </c>
      <c r="V1839" s="80" t="s">
        <v>196</v>
      </c>
      <c r="X1839" s="77" t="s">
        <v>197</v>
      </c>
      <c r="Y1839" s="78" t="s">
        <v>88</v>
      </c>
      <c r="AA1839" s="77" t="s">
        <v>1568</v>
      </c>
      <c r="AB1839" s="77" t="s">
        <v>1521</v>
      </c>
      <c r="AC1839" s="77" t="s">
        <v>90</v>
      </c>
      <c r="AD1839" s="77" t="s">
        <v>91</v>
      </c>
      <c r="AE1839" s="77" t="s">
        <v>3499</v>
      </c>
    </row>
    <row r="1840" spans="1:32" hidden="1" x14ac:dyDescent="0.3">
      <c r="A1840" s="77" t="s">
        <v>3746</v>
      </c>
      <c r="B1840" s="77" t="s">
        <v>2172</v>
      </c>
      <c r="G1840" s="77" t="s">
        <v>3498</v>
      </c>
      <c r="H1840" s="77" t="s">
        <v>77</v>
      </c>
      <c r="I1840" s="77" t="s">
        <v>1521</v>
      </c>
      <c r="J1840" s="77" t="s">
        <v>3039</v>
      </c>
      <c r="K1840" s="77" t="s">
        <v>1522</v>
      </c>
      <c r="L1840" s="77" t="s">
        <v>2166</v>
      </c>
      <c r="M1840" s="77" t="s">
        <v>82</v>
      </c>
      <c r="N1840" s="77" t="s">
        <v>83</v>
      </c>
      <c r="Q1840" s="77" t="s">
        <v>111</v>
      </c>
      <c r="T1840" s="77" t="s">
        <v>1666</v>
      </c>
      <c r="U1840" s="77" t="s">
        <v>85</v>
      </c>
      <c r="V1840" s="77" t="s">
        <v>196</v>
      </c>
      <c r="W1840" s="79">
        <v>46210.587563460649</v>
      </c>
      <c r="X1840" s="77" t="s">
        <v>197</v>
      </c>
      <c r="Y1840" s="78" t="s">
        <v>88</v>
      </c>
      <c r="AA1840" s="77" t="s">
        <v>1568</v>
      </c>
      <c r="AB1840" s="77" t="s">
        <v>1521</v>
      </c>
      <c r="AC1840" s="77" t="s">
        <v>114</v>
      </c>
      <c r="AD1840" s="77" t="s">
        <v>91</v>
      </c>
      <c r="AE1840" s="77" t="s">
        <v>3499</v>
      </c>
      <c r="AF1840" s="77" t="s">
        <v>2706</v>
      </c>
    </row>
    <row r="1841" spans="1:32" x14ac:dyDescent="0.3">
      <c r="A1841" s="77" t="s">
        <v>3747</v>
      </c>
      <c r="B1841" s="77" t="s">
        <v>2174</v>
      </c>
      <c r="G1841" s="77" t="s">
        <v>3498</v>
      </c>
      <c r="H1841" s="77" t="s">
        <v>77</v>
      </c>
      <c r="I1841" s="77" t="s">
        <v>1521</v>
      </c>
      <c r="J1841" s="77" t="s">
        <v>3039</v>
      </c>
      <c r="K1841" s="77" t="s">
        <v>1522</v>
      </c>
      <c r="L1841" s="77" t="s">
        <v>2166</v>
      </c>
      <c r="M1841" s="77" t="s">
        <v>82</v>
      </c>
      <c r="N1841" s="77" t="s">
        <v>83</v>
      </c>
      <c r="Q1841" s="77" t="s">
        <v>111</v>
      </c>
      <c r="T1841" s="77" t="s">
        <v>1666</v>
      </c>
      <c r="U1841" s="77" t="s">
        <v>85</v>
      </c>
      <c r="V1841" s="80" t="s">
        <v>196</v>
      </c>
      <c r="X1841" s="77" t="s">
        <v>197</v>
      </c>
      <c r="Y1841" s="78" t="s">
        <v>88</v>
      </c>
      <c r="AA1841" s="77" t="s">
        <v>1568</v>
      </c>
      <c r="AB1841" s="77" t="s">
        <v>1521</v>
      </c>
      <c r="AC1841" s="77" t="s">
        <v>90</v>
      </c>
      <c r="AD1841" s="77" t="s">
        <v>91</v>
      </c>
      <c r="AE1841" s="77" t="s">
        <v>3499</v>
      </c>
    </row>
    <row r="1842" spans="1:32" x14ac:dyDescent="0.3">
      <c r="A1842" s="77" t="s">
        <v>3748</v>
      </c>
      <c r="B1842" s="77" t="s">
        <v>2176</v>
      </c>
      <c r="G1842" s="77" t="s">
        <v>3498</v>
      </c>
      <c r="H1842" s="77" t="s">
        <v>77</v>
      </c>
      <c r="I1842" s="77" t="s">
        <v>1521</v>
      </c>
      <c r="J1842" s="77" t="s">
        <v>3039</v>
      </c>
      <c r="K1842" s="77" t="s">
        <v>1522</v>
      </c>
      <c r="L1842" s="77" t="s">
        <v>2166</v>
      </c>
      <c r="M1842" s="77" t="s">
        <v>82</v>
      </c>
      <c r="N1842" s="77" t="s">
        <v>83</v>
      </c>
      <c r="Q1842" s="77" t="s">
        <v>111</v>
      </c>
      <c r="T1842" s="77" t="s">
        <v>1666</v>
      </c>
      <c r="U1842" s="77" t="s">
        <v>85</v>
      </c>
      <c r="V1842" s="80" t="s">
        <v>196</v>
      </c>
      <c r="X1842" s="77" t="s">
        <v>197</v>
      </c>
      <c r="Y1842" s="78" t="s">
        <v>88</v>
      </c>
      <c r="AA1842" s="77" t="s">
        <v>1568</v>
      </c>
      <c r="AB1842" s="77" t="s">
        <v>1521</v>
      </c>
      <c r="AC1842" s="77" t="s">
        <v>90</v>
      </c>
      <c r="AD1842" s="77" t="s">
        <v>91</v>
      </c>
      <c r="AE1842" s="77" t="s">
        <v>3499</v>
      </c>
    </row>
    <row r="1843" spans="1:32" hidden="1" x14ac:dyDescent="0.3">
      <c r="A1843" s="77" t="s">
        <v>3749</v>
      </c>
      <c r="B1843" s="77" t="s">
        <v>2178</v>
      </c>
      <c r="G1843" s="77" t="s">
        <v>3498</v>
      </c>
      <c r="H1843" s="77" t="s">
        <v>77</v>
      </c>
      <c r="I1843" s="77" t="s">
        <v>1521</v>
      </c>
      <c r="J1843" s="77" t="s">
        <v>3039</v>
      </c>
      <c r="K1843" s="77" t="s">
        <v>1522</v>
      </c>
      <c r="L1843" s="77" t="s">
        <v>2179</v>
      </c>
      <c r="M1843" s="77" t="s">
        <v>82</v>
      </c>
      <c r="N1843" s="77" t="s">
        <v>83</v>
      </c>
      <c r="Q1843" s="77" t="s">
        <v>111</v>
      </c>
      <c r="T1843" s="77" t="s">
        <v>1666</v>
      </c>
      <c r="U1843" s="77" t="s">
        <v>85</v>
      </c>
      <c r="V1843" s="77" t="s">
        <v>201</v>
      </c>
      <c r="W1843" s="79">
        <v>46210.588463738422</v>
      </c>
      <c r="X1843" s="77" t="s">
        <v>202</v>
      </c>
      <c r="Y1843" s="78" t="s">
        <v>101</v>
      </c>
      <c r="AA1843" s="77" t="s">
        <v>1568</v>
      </c>
      <c r="AB1843" s="77" t="s">
        <v>1521</v>
      </c>
      <c r="AC1843" s="77" t="s">
        <v>114</v>
      </c>
      <c r="AD1843" s="77" t="s">
        <v>102</v>
      </c>
      <c r="AE1843" s="77" t="s">
        <v>3499</v>
      </c>
      <c r="AF1843" s="77" t="s">
        <v>2706</v>
      </c>
    </row>
    <row r="1844" spans="1:32" x14ac:dyDescent="0.3">
      <c r="A1844" s="77" t="s">
        <v>3750</v>
      </c>
      <c r="B1844" s="77" t="s">
        <v>2181</v>
      </c>
      <c r="G1844" s="77" t="s">
        <v>3498</v>
      </c>
      <c r="H1844" s="77" t="s">
        <v>77</v>
      </c>
      <c r="I1844" s="77" t="s">
        <v>1521</v>
      </c>
      <c r="J1844" s="77" t="s">
        <v>3039</v>
      </c>
      <c r="K1844" s="77" t="s">
        <v>1522</v>
      </c>
      <c r="L1844" s="77" t="s">
        <v>2179</v>
      </c>
      <c r="M1844" s="77" t="s">
        <v>82</v>
      </c>
      <c r="N1844" s="77" t="s">
        <v>83</v>
      </c>
      <c r="Q1844" s="77" t="s">
        <v>111</v>
      </c>
      <c r="T1844" s="77" t="s">
        <v>1666</v>
      </c>
      <c r="U1844" s="77" t="s">
        <v>85</v>
      </c>
      <c r="V1844" s="80" t="s">
        <v>201</v>
      </c>
      <c r="X1844" s="77" t="s">
        <v>202</v>
      </c>
      <c r="Y1844" s="78" t="s">
        <v>101</v>
      </c>
      <c r="AA1844" s="77" t="s">
        <v>1568</v>
      </c>
      <c r="AB1844" s="77" t="s">
        <v>1521</v>
      </c>
      <c r="AC1844" s="77" t="s">
        <v>90</v>
      </c>
      <c r="AD1844" s="77" t="s">
        <v>102</v>
      </c>
      <c r="AE1844" s="77" t="s">
        <v>3499</v>
      </c>
    </row>
    <row r="1845" spans="1:32" x14ac:dyDescent="0.3">
      <c r="A1845" s="77" t="s">
        <v>3751</v>
      </c>
      <c r="B1845" s="77" t="s">
        <v>2183</v>
      </c>
      <c r="G1845" s="77" t="s">
        <v>3498</v>
      </c>
      <c r="H1845" s="77" t="s">
        <v>77</v>
      </c>
      <c r="I1845" s="77" t="s">
        <v>1521</v>
      </c>
      <c r="J1845" s="77" t="s">
        <v>3039</v>
      </c>
      <c r="K1845" s="77" t="s">
        <v>1522</v>
      </c>
      <c r="L1845" s="77" t="s">
        <v>2179</v>
      </c>
      <c r="M1845" s="77" t="s">
        <v>82</v>
      </c>
      <c r="N1845" s="77" t="s">
        <v>83</v>
      </c>
      <c r="Q1845" s="77" t="s">
        <v>111</v>
      </c>
      <c r="T1845" s="77" t="s">
        <v>1666</v>
      </c>
      <c r="U1845" s="77" t="s">
        <v>85</v>
      </c>
      <c r="V1845" s="80" t="s">
        <v>201</v>
      </c>
      <c r="X1845" s="77" t="s">
        <v>202</v>
      </c>
      <c r="Y1845" s="78" t="s">
        <v>101</v>
      </c>
      <c r="AA1845" s="77" t="s">
        <v>1568</v>
      </c>
      <c r="AB1845" s="77" t="s">
        <v>1521</v>
      </c>
      <c r="AC1845" s="77" t="s">
        <v>90</v>
      </c>
      <c r="AD1845" s="77" t="s">
        <v>102</v>
      </c>
      <c r="AE1845" s="77" t="s">
        <v>3499</v>
      </c>
    </row>
    <row r="1846" spans="1:32" hidden="1" x14ac:dyDescent="0.3">
      <c r="A1846" s="77" t="s">
        <v>3752</v>
      </c>
      <c r="B1846" s="77" t="s">
        <v>2185</v>
      </c>
      <c r="G1846" s="77" t="s">
        <v>3498</v>
      </c>
      <c r="H1846" s="77" t="s">
        <v>77</v>
      </c>
      <c r="I1846" s="77" t="s">
        <v>1521</v>
      </c>
      <c r="J1846" s="77" t="s">
        <v>3039</v>
      </c>
      <c r="K1846" s="77" t="s">
        <v>1522</v>
      </c>
      <c r="L1846" s="77" t="s">
        <v>2179</v>
      </c>
      <c r="M1846" s="77" t="s">
        <v>82</v>
      </c>
      <c r="N1846" s="77" t="s">
        <v>83</v>
      </c>
      <c r="Q1846" s="77" t="s">
        <v>111</v>
      </c>
      <c r="T1846" s="77" t="s">
        <v>1666</v>
      </c>
      <c r="U1846" s="77" t="s">
        <v>85</v>
      </c>
      <c r="V1846" s="77" t="s">
        <v>201</v>
      </c>
      <c r="W1846" s="79">
        <v>46210.589806678239</v>
      </c>
      <c r="X1846" s="77" t="s">
        <v>202</v>
      </c>
      <c r="Y1846" s="78" t="s">
        <v>101</v>
      </c>
      <c r="AA1846" s="77" t="s">
        <v>1568</v>
      </c>
      <c r="AB1846" s="77" t="s">
        <v>1521</v>
      </c>
      <c r="AC1846" s="77" t="s">
        <v>114</v>
      </c>
      <c r="AD1846" s="77" t="s">
        <v>102</v>
      </c>
      <c r="AE1846" s="77" t="s">
        <v>3499</v>
      </c>
      <c r="AF1846" s="77" t="s">
        <v>2706</v>
      </c>
    </row>
    <row r="1847" spans="1:32" x14ac:dyDescent="0.3">
      <c r="A1847" s="77" t="s">
        <v>3753</v>
      </c>
      <c r="B1847" s="77" t="s">
        <v>2187</v>
      </c>
      <c r="G1847" s="77" t="s">
        <v>3498</v>
      </c>
      <c r="H1847" s="77" t="s">
        <v>77</v>
      </c>
      <c r="I1847" s="77" t="s">
        <v>1521</v>
      </c>
      <c r="J1847" s="77" t="s">
        <v>3039</v>
      </c>
      <c r="K1847" s="77" t="s">
        <v>1522</v>
      </c>
      <c r="L1847" s="77" t="s">
        <v>2179</v>
      </c>
      <c r="M1847" s="77" t="s">
        <v>82</v>
      </c>
      <c r="N1847" s="77" t="s">
        <v>83</v>
      </c>
      <c r="Q1847" s="77" t="s">
        <v>111</v>
      </c>
      <c r="T1847" s="77" t="s">
        <v>1666</v>
      </c>
      <c r="U1847" s="77" t="s">
        <v>85</v>
      </c>
      <c r="V1847" s="80" t="s">
        <v>201</v>
      </c>
      <c r="X1847" s="77" t="s">
        <v>202</v>
      </c>
      <c r="Y1847" s="78" t="s">
        <v>101</v>
      </c>
      <c r="AA1847" s="77" t="s">
        <v>1568</v>
      </c>
      <c r="AB1847" s="77" t="s">
        <v>1521</v>
      </c>
      <c r="AC1847" s="77" t="s">
        <v>90</v>
      </c>
      <c r="AD1847" s="77" t="s">
        <v>102</v>
      </c>
      <c r="AE1847" s="77" t="s">
        <v>3499</v>
      </c>
    </row>
    <row r="1848" spans="1:32" x14ac:dyDescent="0.3">
      <c r="A1848" s="77" t="s">
        <v>3754</v>
      </c>
      <c r="B1848" s="77" t="s">
        <v>2189</v>
      </c>
      <c r="G1848" s="77" t="s">
        <v>3498</v>
      </c>
      <c r="H1848" s="77" t="s">
        <v>77</v>
      </c>
      <c r="I1848" s="77" t="s">
        <v>1521</v>
      </c>
      <c r="J1848" s="77" t="s">
        <v>3039</v>
      </c>
      <c r="K1848" s="77" t="s">
        <v>1522</v>
      </c>
      <c r="L1848" s="77" t="s">
        <v>2179</v>
      </c>
      <c r="M1848" s="77" t="s">
        <v>82</v>
      </c>
      <c r="N1848" s="77" t="s">
        <v>83</v>
      </c>
      <c r="Q1848" s="77" t="s">
        <v>111</v>
      </c>
      <c r="T1848" s="77" t="s">
        <v>1666</v>
      </c>
      <c r="U1848" s="77" t="s">
        <v>85</v>
      </c>
      <c r="V1848" s="80" t="s">
        <v>201</v>
      </c>
      <c r="X1848" s="77" t="s">
        <v>202</v>
      </c>
      <c r="Y1848" s="78" t="s">
        <v>101</v>
      </c>
      <c r="AA1848" s="77" t="s">
        <v>1568</v>
      </c>
      <c r="AB1848" s="77" t="s">
        <v>1521</v>
      </c>
      <c r="AC1848" s="77" t="s">
        <v>90</v>
      </c>
      <c r="AD1848" s="77" t="s">
        <v>102</v>
      </c>
      <c r="AE1848" s="77" t="s">
        <v>3499</v>
      </c>
    </row>
    <row r="1849" spans="1:32" hidden="1" x14ac:dyDescent="0.3">
      <c r="A1849" s="77" t="s">
        <v>3755</v>
      </c>
      <c r="B1849" s="77" t="s">
        <v>2191</v>
      </c>
      <c r="G1849" s="77" t="s">
        <v>3498</v>
      </c>
      <c r="H1849" s="77" t="s">
        <v>77</v>
      </c>
      <c r="I1849" s="77" t="s">
        <v>1521</v>
      </c>
      <c r="J1849" s="77" t="s">
        <v>3039</v>
      </c>
      <c r="K1849" s="77" t="s">
        <v>1522</v>
      </c>
      <c r="L1849" s="77" t="s">
        <v>2192</v>
      </c>
      <c r="M1849" s="77" t="s">
        <v>82</v>
      </c>
      <c r="N1849" s="77" t="s">
        <v>83</v>
      </c>
      <c r="Q1849" s="77" t="s">
        <v>111</v>
      </c>
      <c r="T1849" s="77" t="s">
        <v>1666</v>
      </c>
      <c r="U1849" s="77" t="s">
        <v>85</v>
      </c>
      <c r="V1849" s="77" t="s">
        <v>206</v>
      </c>
      <c r="W1849" s="79">
        <v>46210.590760729167</v>
      </c>
      <c r="X1849" s="77" t="s">
        <v>207</v>
      </c>
      <c r="Y1849" s="78" t="s">
        <v>101</v>
      </c>
      <c r="AA1849" s="77" t="s">
        <v>1568</v>
      </c>
      <c r="AB1849" s="77" t="s">
        <v>1521</v>
      </c>
      <c r="AC1849" s="77" t="s">
        <v>114</v>
      </c>
      <c r="AD1849" s="77" t="s">
        <v>102</v>
      </c>
      <c r="AE1849" s="77" t="s">
        <v>3499</v>
      </c>
      <c r="AF1849" s="77" t="s">
        <v>2706</v>
      </c>
    </row>
    <row r="1850" spans="1:32" x14ac:dyDescent="0.3">
      <c r="A1850" s="77" t="s">
        <v>3756</v>
      </c>
      <c r="B1850" s="77" t="s">
        <v>2194</v>
      </c>
      <c r="G1850" s="77" t="s">
        <v>3498</v>
      </c>
      <c r="H1850" s="77" t="s">
        <v>77</v>
      </c>
      <c r="I1850" s="77" t="s">
        <v>1521</v>
      </c>
      <c r="J1850" s="77" t="s">
        <v>3039</v>
      </c>
      <c r="K1850" s="77" t="s">
        <v>1522</v>
      </c>
      <c r="L1850" s="77" t="s">
        <v>2192</v>
      </c>
      <c r="M1850" s="77" t="s">
        <v>82</v>
      </c>
      <c r="N1850" s="77" t="s">
        <v>83</v>
      </c>
      <c r="Q1850" s="77" t="s">
        <v>111</v>
      </c>
      <c r="T1850" s="77" t="s">
        <v>1666</v>
      </c>
      <c r="U1850" s="77" t="s">
        <v>85</v>
      </c>
      <c r="V1850" s="80" t="s">
        <v>206</v>
      </c>
      <c r="X1850" s="77" t="s">
        <v>207</v>
      </c>
      <c r="Y1850" s="78" t="s">
        <v>101</v>
      </c>
      <c r="AA1850" s="77" t="s">
        <v>1568</v>
      </c>
      <c r="AB1850" s="77" t="s">
        <v>1521</v>
      </c>
      <c r="AC1850" s="77" t="s">
        <v>90</v>
      </c>
      <c r="AD1850" s="77" t="s">
        <v>102</v>
      </c>
      <c r="AE1850" s="77" t="s">
        <v>3499</v>
      </c>
    </row>
    <row r="1851" spans="1:32" x14ac:dyDescent="0.3">
      <c r="A1851" s="77" t="s">
        <v>3757</v>
      </c>
      <c r="B1851" s="77" t="s">
        <v>2196</v>
      </c>
      <c r="G1851" s="77" t="s">
        <v>3498</v>
      </c>
      <c r="H1851" s="77" t="s">
        <v>77</v>
      </c>
      <c r="I1851" s="77" t="s">
        <v>1521</v>
      </c>
      <c r="J1851" s="77" t="s">
        <v>3039</v>
      </c>
      <c r="K1851" s="77" t="s">
        <v>1522</v>
      </c>
      <c r="L1851" s="77" t="s">
        <v>2192</v>
      </c>
      <c r="M1851" s="77" t="s">
        <v>82</v>
      </c>
      <c r="N1851" s="77" t="s">
        <v>83</v>
      </c>
      <c r="Q1851" s="77" t="s">
        <v>111</v>
      </c>
      <c r="T1851" s="77" t="s">
        <v>1666</v>
      </c>
      <c r="U1851" s="77" t="s">
        <v>85</v>
      </c>
      <c r="V1851" s="80" t="s">
        <v>206</v>
      </c>
      <c r="X1851" s="77" t="s">
        <v>207</v>
      </c>
      <c r="Y1851" s="78" t="s">
        <v>101</v>
      </c>
      <c r="AA1851" s="77" t="s">
        <v>1568</v>
      </c>
      <c r="AB1851" s="77" t="s">
        <v>1521</v>
      </c>
      <c r="AC1851" s="77" t="s">
        <v>90</v>
      </c>
      <c r="AD1851" s="77" t="s">
        <v>102</v>
      </c>
      <c r="AE1851" s="77" t="s">
        <v>3499</v>
      </c>
    </row>
    <row r="1852" spans="1:32" hidden="1" x14ac:dyDescent="0.3">
      <c r="A1852" s="77" t="s">
        <v>3758</v>
      </c>
      <c r="B1852" s="77" t="s">
        <v>2198</v>
      </c>
      <c r="G1852" s="77" t="s">
        <v>3498</v>
      </c>
      <c r="H1852" s="77" t="s">
        <v>77</v>
      </c>
      <c r="I1852" s="77" t="s">
        <v>1521</v>
      </c>
      <c r="J1852" s="77" t="s">
        <v>3039</v>
      </c>
      <c r="K1852" s="77" t="s">
        <v>1522</v>
      </c>
      <c r="L1852" s="77" t="s">
        <v>2192</v>
      </c>
      <c r="M1852" s="77" t="s">
        <v>82</v>
      </c>
      <c r="N1852" s="77" t="s">
        <v>83</v>
      </c>
      <c r="Q1852" s="77" t="s">
        <v>111</v>
      </c>
      <c r="T1852" s="77" t="s">
        <v>1666</v>
      </c>
      <c r="U1852" s="77" t="s">
        <v>85</v>
      </c>
      <c r="V1852" s="77" t="s">
        <v>206</v>
      </c>
      <c r="W1852" s="79">
        <v>46211.252761377313</v>
      </c>
      <c r="X1852" s="77" t="s">
        <v>207</v>
      </c>
      <c r="Y1852" s="78" t="s">
        <v>101</v>
      </c>
      <c r="AA1852" s="77" t="s">
        <v>1568</v>
      </c>
      <c r="AB1852" s="77" t="s">
        <v>1521</v>
      </c>
      <c r="AC1852" s="77" t="s">
        <v>114</v>
      </c>
      <c r="AD1852" s="77" t="s">
        <v>102</v>
      </c>
      <c r="AE1852" s="77" t="s">
        <v>3499</v>
      </c>
      <c r="AF1852" s="77" t="s">
        <v>2706</v>
      </c>
    </row>
    <row r="1853" spans="1:32" x14ac:dyDescent="0.3">
      <c r="A1853" s="77" t="s">
        <v>3759</v>
      </c>
      <c r="B1853" s="77" t="s">
        <v>2200</v>
      </c>
      <c r="G1853" s="77" t="s">
        <v>3498</v>
      </c>
      <c r="H1853" s="77" t="s">
        <v>77</v>
      </c>
      <c r="I1853" s="77" t="s">
        <v>1521</v>
      </c>
      <c r="J1853" s="77" t="s">
        <v>3039</v>
      </c>
      <c r="K1853" s="77" t="s">
        <v>1522</v>
      </c>
      <c r="L1853" s="77" t="s">
        <v>2192</v>
      </c>
      <c r="M1853" s="77" t="s">
        <v>82</v>
      </c>
      <c r="N1853" s="77" t="s">
        <v>83</v>
      </c>
      <c r="Q1853" s="77" t="s">
        <v>111</v>
      </c>
      <c r="T1853" s="77" t="s">
        <v>1666</v>
      </c>
      <c r="U1853" s="77" t="s">
        <v>85</v>
      </c>
      <c r="V1853" s="80" t="s">
        <v>206</v>
      </c>
      <c r="X1853" s="77" t="s">
        <v>207</v>
      </c>
      <c r="Y1853" s="78" t="s">
        <v>101</v>
      </c>
      <c r="AA1853" s="77" t="s">
        <v>1568</v>
      </c>
      <c r="AB1853" s="77" t="s">
        <v>1521</v>
      </c>
      <c r="AC1853" s="77" t="s">
        <v>90</v>
      </c>
      <c r="AD1853" s="77" t="s">
        <v>102</v>
      </c>
      <c r="AE1853" s="77" t="s">
        <v>3499</v>
      </c>
    </row>
    <row r="1854" spans="1:32" x14ac:dyDescent="0.3">
      <c r="A1854" s="77" t="s">
        <v>3760</v>
      </c>
      <c r="B1854" s="77" t="s">
        <v>2202</v>
      </c>
      <c r="G1854" s="77" t="s">
        <v>3498</v>
      </c>
      <c r="H1854" s="77" t="s">
        <v>77</v>
      </c>
      <c r="I1854" s="77" t="s">
        <v>1521</v>
      </c>
      <c r="J1854" s="77" t="s">
        <v>3039</v>
      </c>
      <c r="K1854" s="77" t="s">
        <v>1522</v>
      </c>
      <c r="L1854" s="77" t="s">
        <v>2192</v>
      </c>
      <c r="M1854" s="77" t="s">
        <v>82</v>
      </c>
      <c r="N1854" s="77" t="s">
        <v>83</v>
      </c>
      <c r="Q1854" s="77" t="s">
        <v>111</v>
      </c>
      <c r="T1854" s="77" t="s">
        <v>1666</v>
      </c>
      <c r="U1854" s="77" t="s">
        <v>85</v>
      </c>
      <c r="V1854" s="80" t="s">
        <v>206</v>
      </c>
      <c r="X1854" s="77" t="s">
        <v>207</v>
      </c>
      <c r="Y1854" s="78" t="s">
        <v>101</v>
      </c>
      <c r="AA1854" s="77" t="s">
        <v>1568</v>
      </c>
      <c r="AB1854" s="77" t="s">
        <v>1521</v>
      </c>
      <c r="AC1854" s="77" t="s">
        <v>90</v>
      </c>
      <c r="AD1854" s="77" t="s">
        <v>102</v>
      </c>
      <c r="AE1854" s="77" t="s">
        <v>3499</v>
      </c>
    </row>
    <row r="1855" spans="1:32" x14ac:dyDescent="0.3">
      <c r="A1855" s="77" t="s">
        <v>3761</v>
      </c>
      <c r="B1855" s="77" t="s">
        <v>2204</v>
      </c>
      <c r="G1855" s="77" t="s">
        <v>3498</v>
      </c>
      <c r="H1855" s="77" t="s">
        <v>77</v>
      </c>
      <c r="I1855" s="77" t="s">
        <v>1521</v>
      </c>
      <c r="J1855" s="77" t="s">
        <v>3039</v>
      </c>
      <c r="K1855" s="77" t="s">
        <v>1522</v>
      </c>
      <c r="L1855" s="77" t="s">
        <v>1662</v>
      </c>
      <c r="M1855" s="77" t="s">
        <v>82</v>
      </c>
      <c r="N1855" s="77" t="s">
        <v>83</v>
      </c>
      <c r="Q1855" s="77" t="s">
        <v>111</v>
      </c>
      <c r="T1855" s="77" t="s">
        <v>1666</v>
      </c>
      <c r="U1855" s="77" t="s">
        <v>85</v>
      </c>
      <c r="V1855" s="80" t="s">
        <v>272</v>
      </c>
      <c r="X1855" s="77" t="s">
        <v>273</v>
      </c>
      <c r="Y1855" s="78" t="s">
        <v>101</v>
      </c>
      <c r="AA1855" s="77" t="s">
        <v>1568</v>
      </c>
      <c r="AB1855" s="77" t="s">
        <v>1521</v>
      </c>
      <c r="AC1855" s="77" t="s">
        <v>90</v>
      </c>
      <c r="AD1855" s="77" t="s">
        <v>274</v>
      </c>
      <c r="AE1855" s="77" t="s">
        <v>3499</v>
      </c>
    </row>
    <row r="1856" spans="1:32" x14ac:dyDescent="0.3">
      <c r="A1856" s="77" t="s">
        <v>3762</v>
      </c>
      <c r="B1856" s="77" t="s">
        <v>2206</v>
      </c>
      <c r="G1856" s="77" t="s">
        <v>3498</v>
      </c>
      <c r="H1856" s="77" t="s">
        <v>77</v>
      </c>
      <c r="I1856" s="77" t="s">
        <v>1521</v>
      </c>
      <c r="J1856" s="77" t="s">
        <v>3039</v>
      </c>
      <c r="K1856" s="77" t="s">
        <v>1522</v>
      </c>
      <c r="L1856" s="77" t="s">
        <v>2207</v>
      </c>
      <c r="M1856" s="77" t="s">
        <v>82</v>
      </c>
      <c r="N1856" s="77" t="s">
        <v>83</v>
      </c>
      <c r="Q1856" s="77" t="s">
        <v>111</v>
      </c>
      <c r="T1856" s="77" t="s">
        <v>1666</v>
      </c>
      <c r="U1856" s="77" t="s">
        <v>85</v>
      </c>
      <c r="V1856" s="80" t="s">
        <v>86</v>
      </c>
      <c r="X1856" s="77" t="s">
        <v>87</v>
      </c>
      <c r="Y1856" s="78" t="s">
        <v>88</v>
      </c>
      <c r="AA1856" s="77" t="s">
        <v>1568</v>
      </c>
      <c r="AB1856" s="77" t="s">
        <v>1521</v>
      </c>
      <c r="AC1856" s="77" t="s">
        <v>90</v>
      </c>
      <c r="AD1856" s="77" t="s">
        <v>91</v>
      </c>
      <c r="AE1856" s="77" t="s">
        <v>3499</v>
      </c>
    </row>
    <row r="1857" spans="1:32" x14ac:dyDescent="0.3">
      <c r="A1857" s="77" t="s">
        <v>3763</v>
      </c>
      <c r="B1857" s="77" t="s">
        <v>2209</v>
      </c>
      <c r="G1857" s="77" t="s">
        <v>3498</v>
      </c>
      <c r="H1857" s="77" t="s">
        <v>77</v>
      </c>
      <c r="I1857" s="77" t="s">
        <v>1521</v>
      </c>
      <c r="J1857" s="77" t="s">
        <v>3039</v>
      </c>
      <c r="K1857" s="77" t="s">
        <v>1522</v>
      </c>
      <c r="L1857" s="77" t="s">
        <v>2207</v>
      </c>
      <c r="M1857" s="77" t="s">
        <v>82</v>
      </c>
      <c r="N1857" s="77" t="s">
        <v>83</v>
      </c>
      <c r="Q1857" s="77" t="s">
        <v>111</v>
      </c>
      <c r="T1857" s="77" t="s">
        <v>1666</v>
      </c>
      <c r="U1857" s="77" t="s">
        <v>85</v>
      </c>
      <c r="V1857" s="80" t="s">
        <v>86</v>
      </c>
      <c r="X1857" s="77" t="s">
        <v>87</v>
      </c>
      <c r="Y1857" s="78" t="s">
        <v>88</v>
      </c>
      <c r="AA1857" s="77" t="s">
        <v>1568</v>
      </c>
      <c r="AB1857" s="77" t="s">
        <v>1521</v>
      </c>
      <c r="AC1857" s="77" t="s">
        <v>90</v>
      </c>
      <c r="AD1857" s="77" t="s">
        <v>91</v>
      </c>
      <c r="AE1857" s="77" t="s">
        <v>3499</v>
      </c>
    </row>
    <row r="1858" spans="1:32" x14ac:dyDescent="0.3">
      <c r="A1858" s="77" t="s">
        <v>3764</v>
      </c>
      <c r="B1858" s="77" t="s">
        <v>2211</v>
      </c>
      <c r="G1858" s="77" t="s">
        <v>3498</v>
      </c>
      <c r="H1858" s="77" t="s">
        <v>77</v>
      </c>
      <c r="I1858" s="77" t="s">
        <v>1521</v>
      </c>
      <c r="J1858" s="77" t="s">
        <v>3039</v>
      </c>
      <c r="K1858" s="77" t="s">
        <v>1522</v>
      </c>
      <c r="L1858" s="77" t="s">
        <v>2207</v>
      </c>
      <c r="M1858" s="77" t="s">
        <v>82</v>
      </c>
      <c r="N1858" s="77" t="s">
        <v>83</v>
      </c>
      <c r="Q1858" s="77" t="s">
        <v>111</v>
      </c>
      <c r="T1858" s="77" t="s">
        <v>1666</v>
      </c>
      <c r="U1858" s="77" t="s">
        <v>85</v>
      </c>
      <c r="V1858" s="80" t="s">
        <v>86</v>
      </c>
      <c r="X1858" s="77" t="s">
        <v>87</v>
      </c>
      <c r="Y1858" s="78" t="s">
        <v>88</v>
      </c>
      <c r="AA1858" s="77" t="s">
        <v>1568</v>
      </c>
      <c r="AB1858" s="77" t="s">
        <v>1521</v>
      </c>
      <c r="AC1858" s="77" t="s">
        <v>90</v>
      </c>
      <c r="AD1858" s="77" t="s">
        <v>91</v>
      </c>
      <c r="AE1858" s="77" t="s">
        <v>3499</v>
      </c>
    </row>
    <row r="1859" spans="1:32" x14ac:dyDescent="0.3">
      <c r="A1859" s="77" t="s">
        <v>3765</v>
      </c>
      <c r="B1859" s="77" t="s">
        <v>2213</v>
      </c>
      <c r="G1859" s="77" t="s">
        <v>3498</v>
      </c>
      <c r="H1859" s="77" t="s">
        <v>77</v>
      </c>
      <c r="I1859" s="77" t="s">
        <v>1521</v>
      </c>
      <c r="J1859" s="77" t="s">
        <v>3039</v>
      </c>
      <c r="K1859" s="77" t="s">
        <v>1522</v>
      </c>
      <c r="L1859" s="77" t="s">
        <v>2214</v>
      </c>
      <c r="M1859" s="77" t="s">
        <v>82</v>
      </c>
      <c r="N1859" s="77" t="s">
        <v>83</v>
      </c>
      <c r="Q1859" s="77" t="s">
        <v>111</v>
      </c>
      <c r="T1859" s="77" t="s">
        <v>1666</v>
      </c>
      <c r="U1859" s="77" t="s">
        <v>85</v>
      </c>
      <c r="V1859" s="80" t="s">
        <v>86</v>
      </c>
      <c r="X1859" s="77" t="s">
        <v>87</v>
      </c>
      <c r="Y1859" s="78" t="s">
        <v>88</v>
      </c>
      <c r="AA1859" s="77" t="s">
        <v>1568</v>
      </c>
      <c r="AB1859" s="77" t="s">
        <v>1521</v>
      </c>
      <c r="AC1859" s="77" t="s">
        <v>90</v>
      </c>
      <c r="AD1859" s="77" t="s">
        <v>91</v>
      </c>
      <c r="AE1859" s="77" t="s">
        <v>3499</v>
      </c>
    </row>
    <row r="1860" spans="1:32" x14ac:dyDescent="0.3">
      <c r="A1860" s="77" t="s">
        <v>3766</v>
      </c>
      <c r="B1860" s="77" t="s">
        <v>2216</v>
      </c>
      <c r="G1860" s="77" t="s">
        <v>3498</v>
      </c>
      <c r="H1860" s="77" t="s">
        <v>77</v>
      </c>
      <c r="I1860" s="77" t="s">
        <v>1521</v>
      </c>
      <c r="J1860" s="77" t="s">
        <v>3039</v>
      </c>
      <c r="K1860" s="77" t="s">
        <v>1522</v>
      </c>
      <c r="L1860" s="77" t="s">
        <v>2214</v>
      </c>
      <c r="M1860" s="77" t="s">
        <v>82</v>
      </c>
      <c r="N1860" s="77" t="s">
        <v>83</v>
      </c>
      <c r="Q1860" s="77" t="s">
        <v>111</v>
      </c>
      <c r="T1860" s="77" t="s">
        <v>1666</v>
      </c>
      <c r="U1860" s="77" t="s">
        <v>85</v>
      </c>
      <c r="V1860" s="80" t="s">
        <v>86</v>
      </c>
      <c r="X1860" s="77" t="s">
        <v>87</v>
      </c>
      <c r="Y1860" s="78" t="s">
        <v>88</v>
      </c>
      <c r="AA1860" s="77" t="s">
        <v>1568</v>
      </c>
      <c r="AB1860" s="77" t="s">
        <v>1521</v>
      </c>
      <c r="AC1860" s="77" t="s">
        <v>90</v>
      </c>
      <c r="AD1860" s="77" t="s">
        <v>91</v>
      </c>
      <c r="AE1860" s="77" t="s">
        <v>3499</v>
      </c>
    </row>
    <row r="1861" spans="1:32" x14ac:dyDescent="0.3">
      <c r="A1861" s="77" t="s">
        <v>3767</v>
      </c>
      <c r="B1861" s="77" t="s">
        <v>2218</v>
      </c>
      <c r="G1861" s="77" t="s">
        <v>3498</v>
      </c>
      <c r="H1861" s="77" t="s">
        <v>77</v>
      </c>
      <c r="I1861" s="77" t="s">
        <v>1521</v>
      </c>
      <c r="J1861" s="77" t="s">
        <v>3039</v>
      </c>
      <c r="K1861" s="77" t="s">
        <v>1522</v>
      </c>
      <c r="L1861" s="77" t="s">
        <v>2214</v>
      </c>
      <c r="M1861" s="77" t="s">
        <v>82</v>
      </c>
      <c r="N1861" s="77" t="s">
        <v>83</v>
      </c>
      <c r="Q1861" s="77" t="s">
        <v>111</v>
      </c>
      <c r="T1861" s="77" t="s">
        <v>1666</v>
      </c>
      <c r="U1861" s="77" t="s">
        <v>85</v>
      </c>
      <c r="V1861" s="80" t="s">
        <v>86</v>
      </c>
      <c r="X1861" s="77" t="s">
        <v>87</v>
      </c>
      <c r="Y1861" s="78" t="s">
        <v>88</v>
      </c>
      <c r="AA1861" s="77" t="s">
        <v>1568</v>
      </c>
      <c r="AB1861" s="77" t="s">
        <v>1521</v>
      </c>
      <c r="AC1861" s="77" t="s">
        <v>90</v>
      </c>
      <c r="AD1861" s="77" t="s">
        <v>91</v>
      </c>
      <c r="AE1861" s="77" t="s">
        <v>3499</v>
      </c>
    </row>
    <row r="1862" spans="1:32" x14ac:dyDescent="0.3">
      <c r="A1862" s="77" t="s">
        <v>3768</v>
      </c>
      <c r="B1862" s="77" t="s">
        <v>2220</v>
      </c>
      <c r="G1862" s="77" t="s">
        <v>3498</v>
      </c>
      <c r="H1862" s="77" t="s">
        <v>77</v>
      </c>
      <c r="I1862" s="77" t="s">
        <v>1521</v>
      </c>
      <c r="J1862" s="77" t="s">
        <v>3039</v>
      </c>
      <c r="K1862" s="77" t="s">
        <v>1522</v>
      </c>
      <c r="L1862" s="77" t="s">
        <v>2221</v>
      </c>
      <c r="M1862" s="77" t="s">
        <v>82</v>
      </c>
      <c r="N1862" s="77" t="s">
        <v>83</v>
      </c>
      <c r="Q1862" s="77" t="s">
        <v>111</v>
      </c>
      <c r="T1862" s="77" t="s">
        <v>1666</v>
      </c>
      <c r="U1862" s="77" t="s">
        <v>85</v>
      </c>
      <c r="V1862" s="80" t="s">
        <v>86</v>
      </c>
      <c r="X1862" s="77" t="s">
        <v>87</v>
      </c>
      <c r="Y1862" s="78" t="s">
        <v>88</v>
      </c>
      <c r="AA1862" s="77" t="s">
        <v>1568</v>
      </c>
      <c r="AB1862" s="77" t="s">
        <v>1521</v>
      </c>
      <c r="AC1862" s="77" t="s">
        <v>90</v>
      </c>
      <c r="AD1862" s="77" t="s">
        <v>91</v>
      </c>
      <c r="AE1862" s="77" t="s">
        <v>3499</v>
      </c>
    </row>
    <row r="1863" spans="1:32" x14ac:dyDescent="0.3">
      <c r="A1863" s="77" t="s">
        <v>3769</v>
      </c>
      <c r="B1863" s="77" t="s">
        <v>2223</v>
      </c>
      <c r="G1863" s="77" t="s">
        <v>3498</v>
      </c>
      <c r="H1863" s="77" t="s">
        <v>77</v>
      </c>
      <c r="I1863" s="77" t="s">
        <v>1521</v>
      </c>
      <c r="J1863" s="77" t="s">
        <v>3039</v>
      </c>
      <c r="K1863" s="77" t="s">
        <v>1522</v>
      </c>
      <c r="L1863" s="77" t="s">
        <v>2221</v>
      </c>
      <c r="M1863" s="77" t="s">
        <v>82</v>
      </c>
      <c r="N1863" s="77" t="s">
        <v>83</v>
      </c>
      <c r="Q1863" s="77" t="s">
        <v>111</v>
      </c>
      <c r="T1863" s="77" t="s">
        <v>1666</v>
      </c>
      <c r="U1863" s="77" t="s">
        <v>85</v>
      </c>
      <c r="V1863" s="80" t="s">
        <v>86</v>
      </c>
      <c r="X1863" s="77" t="s">
        <v>87</v>
      </c>
      <c r="Y1863" s="78" t="s">
        <v>88</v>
      </c>
      <c r="AA1863" s="77" t="s">
        <v>1568</v>
      </c>
      <c r="AB1863" s="77" t="s">
        <v>1521</v>
      </c>
      <c r="AC1863" s="77" t="s">
        <v>90</v>
      </c>
      <c r="AD1863" s="77" t="s">
        <v>91</v>
      </c>
      <c r="AE1863" s="77" t="s">
        <v>3499</v>
      </c>
    </row>
    <row r="1864" spans="1:32" x14ac:dyDescent="0.3">
      <c r="A1864" s="77" t="s">
        <v>3770</v>
      </c>
      <c r="B1864" s="77" t="s">
        <v>2225</v>
      </c>
      <c r="G1864" s="77" t="s">
        <v>3498</v>
      </c>
      <c r="H1864" s="77" t="s">
        <v>77</v>
      </c>
      <c r="I1864" s="77" t="s">
        <v>1521</v>
      </c>
      <c r="J1864" s="77" t="s">
        <v>3039</v>
      </c>
      <c r="K1864" s="77" t="s">
        <v>1522</v>
      </c>
      <c r="L1864" s="77" t="s">
        <v>2221</v>
      </c>
      <c r="M1864" s="77" t="s">
        <v>82</v>
      </c>
      <c r="N1864" s="77" t="s">
        <v>83</v>
      </c>
      <c r="Q1864" s="77" t="s">
        <v>111</v>
      </c>
      <c r="T1864" s="77" t="s">
        <v>1666</v>
      </c>
      <c r="U1864" s="77" t="s">
        <v>85</v>
      </c>
      <c r="V1864" s="80" t="s">
        <v>86</v>
      </c>
      <c r="X1864" s="77" t="s">
        <v>87</v>
      </c>
      <c r="Y1864" s="78" t="s">
        <v>88</v>
      </c>
      <c r="AA1864" s="77" t="s">
        <v>1568</v>
      </c>
      <c r="AB1864" s="77" t="s">
        <v>1521</v>
      </c>
      <c r="AC1864" s="77" t="s">
        <v>90</v>
      </c>
      <c r="AD1864" s="77" t="s">
        <v>91</v>
      </c>
      <c r="AE1864" s="77" t="s">
        <v>3499</v>
      </c>
    </row>
    <row r="1865" spans="1:32" x14ac:dyDescent="0.3">
      <c r="A1865" s="77" t="s">
        <v>3771</v>
      </c>
      <c r="B1865" s="77" t="s">
        <v>2227</v>
      </c>
      <c r="G1865" s="77" t="s">
        <v>3498</v>
      </c>
      <c r="H1865" s="77" t="s">
        <v>77</v>
      </c>
      <c r="I1865" s="77" t="s">
        <v>1521</v>
      </c>
      <c r="J1865" s="77" t="s">
        <v>3039</v>
      </c>
      <c r="K1865" s="77" t="s">
        <v>1522</v>
      </c>
      <c r="L1865" s="77" t="s">
        <v>2228</v>
      </c>
      <c r="M1865" s="77" t="s">
        <v>82</v>
      </c>
      <c r="N1865" s="77" t="s">
        <v>83</v>
      </c>
      <c r="Q1865" s="77" t="s">
        <v>111</v>
      </c>
      <c r="T1865" s="77" t="s">
        <v>1666</v>
      </c>
      <c r="U1865" s="77" t="s">
        <v>85</v>
      </c>
      <c r="V1865" s="80" t="s">
        <v>105</v>
      </c>
      <c r="X1865" s="77" t="s">
        <v>106</v>
      </c>
      <c r="Y1865" s="78" t="s">
        <v>101</v>
      </c>
      <c r="AA1865" s="77" t="s">
        <v>1568</v>
      </c>
      <c r="AB1865" s="77" t="s">
        <v>1521</v>
      </c>
      <c r="AC1865" s="77" t="s">
        <v>90</v>
      </c>
      <c r="AD1865" s="77" t="s">
        <v>102</v>
      </c>
      <c r="AE1865" s="77" t="s">
        <v>3499</v>
      </c>
    </row>
    <row r="1866" spans="1:32" x14ac:dyDescent="0.3">
      <c r="A1866" s="77" t="s">
        <v>3772</v>
      </c>
      <c r="B1866" s="77" t="s">
        <v>2230</v>
      </c>
      <c r="G1866" s="77" t="s">
        <v>3498</v>
      </c>
      <c r="H1866" s="77" t="s">
        <v>77</v>
      </c>
      <c r="I1866" s="77" t="s">
        <v>1521</v>
      </c>
      <c r="J1866" s="77" t="s">
        <v>3039</v>
      </c>
      <c r="K1866" s="77" t="s">
        <v>1522</v>
      </c>
      <c r="L1866" s="77" t="s">
        <v>2228</v>
      </c>
      <c r="M1866" s="77" t="s">
        <v>82</v>
      </c>
      <c r="N1866" s="77" t="s">
        <v>83</v>
      </c>
      <c r="Q1866" s="77" t="s">
        <v>111</v>
      </c>
      <c r="T1866" s="77" t="s">
        <v>1666</v>
      </c>
      <c r="U1866" s="77" t="s">
        <v>85</v>
      </c>
      <c r="V1866" s="80" t="s">
        <v>105</v>
      </c>
      <c r="X1866" s="77" t="s">
        <v>106</v>
      </c>
      <c r="Y1866" s="78" t="s">
        <v>101</v>
      </c>
      <c r="AA1866" s="77" t="s">
        <v>1568</v>
      </c>
      <c r="AB1866" s="77" t="s">
        <v>1521</v>
      </c>
      <c r="AC1866" s="77" t="s">
        <v>90</v>
      </c>
      <c r="AD1866" s="77" t="s">
        <v>102</v>
      </c>
      <c r="AE1866" s="77" t="s">
        <v>3499</v>
      </c>
    </row>
    <row r="1867" spans="1:32" x14ac:dyDescent="0.3">
      <c r="A1867" s="77" t="s">
        <v>3773</v>
      </c>
      <c r="B1867" s="77" t="s">
        <v>2232</v>
      </c>
      <c r="G1867" s="77" t="s">
        <v>3498</v>
      </c>
      <c r="H1867" s="77" t="s">
        <v>77</v>
      </c>
      <c r="I1867" s="77" t="s">
        <v>1521</v>
      </c>
      <c r="J1867" s="77" t="s">
        <v>3039</v>
      </c>
      <c r="K1867" s="77" t="s">
        <v>1522</v>
      </c>
      <c r="L1867" s="77" t="s">
        <v>2228</v>
      </c>
      <c r="M1867" s="77" t="s">
        <v>82</v>
      </c>
      <c r="N1867" s="77" t="s">
        <v>83</v>
      </c>
      <c r="Q1867" s="77" t="s">
        <v>111</v>
      </c>
      <c r="T1867" s="77" t="s">
        <v>1666</v>
      </c>
      <c r="U1867" s="77" t="s">
        <v>85</v>
      </c>
      <c r="V1867" s="80" t="s">
        <v>105</v>
      </c>
      <c r="X1867" s="77" t="s">
        <v>106</v>
      </c>
      <c r="Y1867" s="78" t="s">
        <v>101</v>
      </c>
      <c r="AA1867" s="77" t="s">
        <v>1568</v>
      </c>
      <c r="AB1867" s="77" t="s">
        <v>1521</v>
      </c>
      <c r="AC1867" s="77" t="s">
        <v>90</v>
      </c>
      <c r="AD1867" s="77" t="s">
        <v>102</v>
      </c>
      <c r="AE1867" s="77" t="s">
        <v>3499</v>
      </c>
    </row>
    <row r="1868" spans="1:32" x14ac:dyDescent="0.3">
      <c r="A1868" s="77" t="s">
        <v>3774</v>
      </c>
      <c r="B1868" s="77" t="s">
        <v>2234</v>
      </c>
      <c r="G1868" s="77" t="s">
        <v>3498</v>
      </c>
      <c r="H1868" s="77" t="s">
        <v>77</v>
      </c>
      <c r="I1868" s="77" t="s">
        <v>1521</v>
      </c>
      <c r="J1868" s="77" t="s">
        <v>3039</v>
      </c>
      <c r="K1868" s="77" t="s">
        <v>1522</v>
      </c>
      <c r="L1868" s="77" t="s">
        <v>2235</v>
      </c>
      <c r="M1868" s="77" t="s">
        <v>82</v>
      </c>
      <c r="N1868" s="77" t="s">
        <v>83</v>
      </c>
      <c r="Q1868" s="77" t="s">
        <v>111</v>
      </c>
      <c r="T1868" s="77" t="s">
        <v>1666</v>
      </c>
      <c r="U1868" s="77" t="s">
        <v>85</v>
      </c>
      <c r="V1868" s="80" t="s">
        <v>105</v>
      </c>
      <c r="X1868" s="77" t="s">
        <v>106</v>
      </c>
      <c r="Y1868" s="78" t="s">
        <v>101</v>
      </c>
      <c r="AA1868" s="77" t="s">
        <v>1568</v>
      </c>
      <c r="AB1868" s="77" t="s">
        <v>1521</v>
      </c>
      <c r="AC1868" s="77" t="s">
        <v>90</v>
      </c>
      <c r="AD1868" s="77" t="s">
        <v>102</v>
      </c>
      <c r="AE1868" s="77" t="s">
        <v>3499</v>
      </c>
    </row>
    <row r="1869" spans="1:32" x14ac:dyDescent="0.3">
      <c r="A1869" s="77" t="s">
        <v>3775</v>
      </c>
      <c r="B1869" s="77" t="s">
        <v>2237</v>
      </c>
      <c r="G1869" s="77" t="s">
        <v>3498</v>
      </c>
      <c r="H1869" s="77" t="s">
        <v>77</v>
      </c>
      <c r="I1869" s="77" t="s">
        <v>1521</v>
      </c>
      <c r="J1869" s="77" t="s">
        <v>3039</v>
      </c>
      <c r="K1869" s="77" t="s">
        <v>1522</v>
      </c>
      <c r="L1869" s="77" t="s">
        <v>2235</v>
      </c>
      <c r="M1869" s="77" t="s">
        <v>82</v>
      </c>
      <c r="N1869" s="77" t="s">
        <v>83</v>
      </c>
      <c r="Q1869" s="77" t="s">
        <v>111</v>
      </c>
      <c r="T1869" s="77" t="s">
        <v>1666</v>
      </c>
      <c r="U1869" s="77" t="s">
        <v>85</v>
      </c>
      <c r="V1869" s="80" t="s">
        <v>105</v>
      </c>
      <c r="X1869" s="77" t="s">
        <v>106</v>
      </c>
      <c r="Y1869" s="78" t="s">
        <v>101</v>
      </c>
      <c r="AA1869" s="77" t="s">
        <v>1568</v>
      </c>
      <c r="AB1869" s="77" t="s">
        <v>1521</v>
      </c>
      <c r="AC1869" s="77" t="s">
        <v>90</v>
      </c>
      <c r="AD1869" s="77" t="s">
        <v>102</v>
      </c>
      <c r="AE1869" s="77" t="s">
        <v>3499</v>
      </c>
    </row>
    <row r="1870" spans="1:32" x14ac:dyDescent="0.3">
      <c r="A1870" s="77" t="s">
        <v>3776</v>
      </c>
      <c r="B1870" s="77" t="s">
        <v>2239</v>
      </c>
      <c r="G1870" s="77" t="s">
        <v>3498</v>
      </c>
      <c r="H1870" s="77" t="s">
        <v>77</v>
      </c>
      <c r="I1870" s="77" t="s">
        <v>1521</v>
      </c>
      <c r="J1870" s="77" t="s">
        <v>3039</v>
      </c>
      <c r="K1870" s="77" t="s">
        <v>1522</v>
      </c>
      <c r="L1870" s="77" t="s">
        <v>2235</v>
      </c>
      <c r="M1870" s="77" t="s">
        <v>82</v>
      </c>
      <c r="N1870" s="77" t="s">
        <v>83</v>
      </c>
      <c r="Q1870" s="77" t="s">
        <v>111</v>
      </c>
      <c r="T1870" s="77" t="s">
        <v>1666</v>
      </c>
      <c r="U1870" s="77" t="s">
        <v>85</v>
      </c>
      <c r="V1870" s="80" t="s">
        <v>105</v>
      </c>
      <c r="X1870" s="77" t="s">
        <v>106</v>
      </c>
      <c r="Y1870" s="78" t="s">
        <v>101</v>
      </c>
      <c r="AA1870" s="77" t="s">
        <v>1568</v>
      </c>
      <c r="AB1870" s="77" t="s">
        <v>1521</v>
      </c>
      <c r="AC1870" s="77" t="s">
        <v>90</v>
      </c>
      <c r="AD1870" s="77" t="s">
        <v>102</v>
      </c>
      <c r="AE1870" s="77" t="s">
        <v>3499</v>
      </c>
    </row>
    <row r="1871" spans="1:32" x14ac:dyDescent="0.3">
      <c r="A1871" s="77" t="s">
        <v>3777</v>
      </c>
      <c r="B1871" s="77" t="s">
        <v>2241</v>
      </c>
      <c r="G1871" s="77" t="s">
        <v>3498</v>
      </c>
      <c r="H1871" s="77" t="s">
        <v>77</v>
      </c>
      <c r="I1871" s="77" t="s">
        <v>1521</v>
      </c>
      <c r="J1871" s="77" t="s">
        <v>3039</v>
      </c>
      <c r="K1871" s="77" t="s">
        <v>1522</v>
      </c>
      <c r="L1871" s="77" t="s">
        <v>1637</v>
      </c>
      <c r="M1871" s="77" t="s">
        <v>82</v>
      </c>
      <c r="N1871" s="77" t="s">
        <v>83</v>
      </c>
      <c r="Q1871" s="77" t="s">
        <v>111</v>
      </c>
      <c r="T1871" s="77" t="s">
        <v>1666</v>
      </c>
      <c r="U1871" s="77" t="s">
        <v>85</v>
      </c>
      <c r="V1871" s="80" t="s">
        <v>231</v>
      </c>
      <c r="X1871" s="77" t="s">
        <v>232</v>
      </c>
      <c r="Y1871" s="78" t="s">
        <v>88</v>
      </c>
      <c r="AA1871" s="77" t="s">
        <v>1568</v>
      </c>
      <c r="AB1871" s="77" t="s">
        <v>1521</v>
      </c>
      <c r="AC1871" s="77" t="s">
        <v>90</v>
      </c>
      <c r="AD1871" s="77" t="s">
        <v>91</v>
      </c>
      <c r="AE1871" s="77" t="s">
        <v>3499</v>
      </c>
    </row>
    <row r="1872" spans="1:32" hidden="1" x14ac:dyDescent="0.3">
      <c r="A1872" s="77" t="s">
        <v>3778</v>
      </c>
      <c r="B1872" s="77" t="s">
        <v>2243</v>
      </c>
      <c r="G1872" s="77" t="s">
        <v>3498</v>
      </c>
      <c r="H1872" s="77" t="s">
        <v>77</v>
      </c>
      <c r="I1872" s="77" t="s">
        <v>1521</v>
      </c>
      <c r="J1872" s="77" t="s">
        <v>3039</v>
      </c>
      <c r="K1872" s="77" t="s">
        <v>1522</v>
      </c>
      <c r="L1872" s="77" t="s">
        <v>2244</v>
      </c>
      <c r="M1872" s="77" t="s">
        <v>82</v>
      </c>
      <c r="N1872" s="77" t="s">
        <v>83</v>
      </c>
      <c r="Q1872" s="77" t="s">
        <v>111</v>
      </c>
      <c r="T1872" s="77" t="s">
        <v>1666</v>
      </c>
      <c r="U1872" s="77" t="s">
        <v>85</v>
      </c>
      <c r="V1872" s="77" t="s">
        <v>325</v>
      </c>
      <c r="W1872" s="79">
        <v>46211.204140891205</v>
      </c>
      <c r="X1872" s="77" t="s">
        <v>326</v>
      </c>
      <c r="Y1872" s="78" t="s">
        <v>101</v>
      </c>
      <c r="AA1872" s="77" t="s">
        <v>1568</v>
      </c>
      <c r="AB1872" s="77" t="s">
        <v>1521</v>
      </c>
      <c r="AC1872" s="77" t="s">
        <v>114</v>
      </c>
      <c r="AD1872" s="77" t="s">
        <v>327</v>
      </c>
      <c r="AE1872" s="77" t="s">
        <v>3499</v>
      </c>
      <c r="AF1872" s="77" t="s">
        <v>2706</v>
      </c>
    </row>
    <row r="1873" spans="1:32" x14ac:dyDescent="0.3">
      <c r="A1873" s="77" t="s">
        <v>3779</v>
      </c>
      <c r="B1873" s="77" t="s">
        <v>2246</v>
      </c>
      <c r="G1873" s="77" t="s">
        <v>3498</v>
      </c>
      <c r="H1873" s="77" t="s">
        <v>77</v>
      </c>
      <c r="I1873" s="77" t="s">
        <v>1521</v>
      </c>
      <c r="J1873" s="77" t="s">
        <v>3039</v>
      </c>
      <c r="K1873" s="77" t="s">
        <v>1522</v>
      </c>
      <c r="L1873" s="77" t="s">
        <v>2247</v>
      </c>
      <c r="M1873" s="77" t="s">
        <v>82</v>
      </c>
      <c r="N1873" s="77" t="s">
        <v>83</v>
      </c>
      <c r="Q1873" s="77" t="s">
        <v>111</v>
      </c>
      <c r="T1873" s="77" t="s">
        <v>1666</v>
      </c>
      <c r="U1873" s="77" t="s">
        <v>85</v>
      </c>
      <c r="V1873" s="80" t="s">
        <v>325</v>
      </c>
      <c r="X1873" s="77" t="s">
        <v>326</v>
      </c>
      <c r="Y1873" s="78" t="s">
        <v>101</v>
      </c>
      <c r="AA1873" s="77" t="s">
        <v>1568</v>
      </c>
      <c r="AB1873" s="77" t="s">
        <v>1521</v>
      </c>
      <c r="AC1873" s="77" t="s">
        <v>90</v>
      </c>
      <c r="AD1873" s="77" t="s">
        <v>327</v>
      </c>
      <c r="AE1873" s="77" t="s">
        <v>3499</v>
      </c>
    </row>
    <row r="1874" spans="1:32" hidden="1" x14ac:dyDescent="0.3">
      <c r="A1874" s="77" t="s">
        <v>3780</v>
      </c>
      <c r="B1874" s="77" t="s">
        <v>2249</v>
      </c>
      <c r="G1874" s="77" t="s">
        <v>3498</v>
      </c>
      <c r="H1874" s="77" t="s">
        <v>77</v>
      </c>
      <c r="I1874" s="77" t="s">
        <v>1521</v>
      </c>
      <c r="J1874" s="77" t="s">
        <v>3039</v>
      </c>
      <c r="K1874" s="77" t="s">
        <v>1522</v>
      </c>
      <c r="L1874" s="77" t="s">
        <v>2250</v>
      </c>
      <c r="M1874" s="77" t="s">
        <v>82</v>
      </c>
      <c r="N1874" s="77" t="s">
        <v>83</v>
      </c>
      <c r="Q1874" s="77" t="s">
        <v>111</v>
      </c>
      <c r="T1874" s="77" t="s">
        <v>1666</v>
      </c>
      <c r="U1874" s="77" t="s">
        <v>85</v>
      </c>
      <c r="V1874" s="77" t="s">
        <v>325</v>
      </c>
      <c r="W1874" s="79">
        <v>46211.205592708335</v>
      </c>
      <c r="X1874" s="77" t="s">
        <v>326</v>
      </c>
      <c r="Y1874" s="78" t="s">
        <v>101</v>
      </c>
      <c r="AA1874" s="77" t="s">
        <v>1568</v>
      </c>
      <c r="AB1874" s="77" t="s">
        <v>1521</v>
      </c>
      <c r="AC1874" s="77" t="s">
        <v>114</v>
      </c>
      <c r="AD1874" s="77" t="s">
        <v>327</v>
      </c>
      <c r="AE1874" s="77" t="s">
        <v>3499</v>
      </c>
      <c r="AF1874" s="77" t="s">
        <v>2706</v>
      </c>
    </row>
    <row r="1875" spans="1:32" hidden="1" x14ac:dyDescent="0.3">
      <c r="A1875" s="77" t="s">
        <v>3781</v>
      </c>
      <c r="B1875" s="77" t="s">
        <v>2252</v>
      </c>
      <c r="G1875" s="77" t="s">
        <v>3498</v>
      </c>
      <c r="H1875" s="77" t="s">
        <v>77</v>
      </c>
      <c r="I1875" s="77" t="s">
        <v>1521</v>
      </c>
      <c r="J1875" s="77" t="s">
        <v>3039</v>
      </c>
      <c r="K1875" s="77" t="s">
        <v>1522</v>
      </c>
      <c r="L1875" s="77" t="s">
        <v>2253</v>
      </c>
      <c r="M1875" s="77" t="s">
        <v>82</v>
      </c>
      <c r="N1875" s="77" t="s">
        <v>83</v>
      </c>
      <c r="Q1875" s="77" t="s">
        <v>111</v>
      </c>
      <c r="T1875" s="77" t="s">
        <v>1666</v>
      </c>
      <c r="U1875" s="77" t="s">
        <v>85</v>
      </c>
      <c r="V1875" s="77" t="s">
        <v>325</v>
      </c>
      <c r="W1875" s="79">
        <v>46211.209177395831</v>
      </c>
      <c r="X1875" s="77" t="s">
        <v>326</v>
      </c>
      <c r="Y1875" s="78" t="s">
        <v>101</v>
      </c>
      <c r="AA1875" s="77" t="s">
        <v>1568</v>
      </c>
      <c r="AB1875" s="77" t="s">
        <v>1521</v>
      </c>
      <c r="AC1875" s="77" t="s">
        <v>114</v>
      </c>
      <c r="AD1875" s="77" t="s">
        <v>327</v>
      </c>
      <c r="AE1875" s="77" t="s">
        <v>3499</v>
      </c>
      <c r="AF1875" s="77" t="s">
        <v>2706</v>
      </c>
    </row>
    <row r="1876" spans="1:32" hidden="1" x14ac:dyDescent="0.3">
      <c r="A1876" s="77" t="s">
        <v>3782</v>
      </c>
      <c r="B1876" s="77" t="s">
        <v>2255</v>
      </c>
      <c r="G1876" s="77" t="s">
        <v>3498</v>
      </c>
      <c r="H1876" s="77" t="s">
        <v>77</v>
      </c>
      <c r="I1876" s="77" t="s">
        <v>1521</v>
      </c>
      <c r="J1876" s="77" t="s">
        <v>3039</v>
      </c>
      <c r="K1876" s="77" t="s">
        <v>1522</v>
      </c>
      <c r="L1876" s="77" t="s">
        <v>2256</v>
      </c>
      <c r="M1876" s="77" t="s">
        <v>82</v>
      </c>
      <c r="N1876" s="77" t="s">
        <v>83</v>
      </c>
      <c r="Q1876" s="77" t="s">
        <v>111</v>
      </c>
      <c r="T1876" s="77" t="s">
        <v>1666</v>
      </c>
      <c r="U1876" s="77" t="s">
        <v>85</v>
      </c>
      <c r="V1876" s="77" t="s">
        <v>325</v>
      </c>
      <c r="W1876" s="79">
        <v>46211.211578622686</v>
      </c>
      <c r="X1876" s="77" t="s">
        <v>326</v>
      </c>
      <c r="Y1876" s="78" t="s">
        <v>101</v>
      </c>
      <c r="AA1876" s="77" t="s">
        <v>1568</v>
      </c>
      <c r="AB1876" s="77" t="s">
        <v>1521</v>
      </c>
      <c r="AC1876" s="77" t="s">
        <v>114</v>
      </c>
      <c r="AD1876" s="77" t="s">
        <v>327</v>
      </c>
      <c r="AE1876" s="77" t="s">
        <v>3499</v>
      </c>
      <c r="AF1876" s="77" t="s">
        <v>2706</v>
      </c>
    </row>
    <row r="1877" spans="1:32" hidden="1" x14ac:dyDescent="0.3">
      <c r="A1877" s="77" t="s">
        <v>3783</v>
      </c>
      <c r="B1877" s="77" t="s">
        <v>2258</v>
      </c>
      <c r="G1877" s="77" t="s">
        <v>3498</v>
      </c>
      <c r="H1877" s="77" t="s">
        <v>77</v>
      </c>
      <c r="I1877" s="77" t="s">
        <v>1521</v>
      </c>
      <c r="J1877" s="77" t="s">
        <v>3039</v>
      </c>
      <c r="K1877" s="77" t="s">
        <v>1522</v>
      </c>
      <c r="L1877" s="77" t="s">
        <v>2259</v>
      </c>
      <c r="M1877" s="77" t="s">
        <v>82</v>
      </c>
      <c r="N1877" s="77" t="s">
        <v>83</v>
      </c>
      <c r="Q1877" s="77" t="s">
        <v>111</v>
      </c>
      <c r="T1877" s="77" t="s">
        <v>1666</v>
      </c>
      <c r="U1877" s="77" t="s">
        <v>85</v>
      </c>
      <c r="V1877" s="77" t="s">
        <v>325</v>
      </c>
      <c r="W1877" s="79">
        <v>46211.21273457176</v>
      </c>
      <c r="X1877" s="77" t="s">
        <v>326</v>
      </c>
      <c r="Y1877" s="78" t="s">
        <v>101</v>
      </c>
      <c r="AA1877" s="77" t="s">
        <v>1568</v>
      </c>
      <c r="AB1877" s="77" t="s">
        <v>1521</v>
      </c>
      <c r="AC1877" s="77" t="s">
        <v>114</v>
      </c>
      <c r="AD1877" s="77" t="s">
        <v>327</v>
      </c>
      <c r="AE1877" s="77" t="s">
        <v>3499</v>
      </c>
      <c r="AF1877" s="77" t="s">
        <v>2706</v>
      </c>
    </row>
    <row r="1878" spans="1:32" hidden="1" x14ac:dyDescent="0.3">
      <c r="A1878" s="77" t="s">
        <v>3784</v>
      </c>
      <c r="B1878" s="77" t="s">
        <v>2261</v>
      </c>
      <c r="G1878" s="77" t="s">
        <v>3498</v>
      </c>
      <c r="H1878" s="77" t="s">
        <v>77</v>
      </c>
      <c r="I1878" s="77" t="s">
        <v>1521</v>
      </c>
      <c r="J1878" s="77" t="s">
        <v>3039</v>
      </c>
      <c r="K1878" s="77" t="s">
        <v>1522</v>
      </c>
      <c r="L1878" s="77" t="s">
        <v>2262</v>
      </c>
      <c r="M1878" s="77" t="s">
        <v>82</v>
      </c>
      <c r="N1878" s="77" t="s">
        <v>83</v>
      </c>
      <c r="Q1878" s="77" t="s">
        <v>111</v>
      </c>
      <c r="T1878" s="77" t="s">
        <v>1666</v>
      </c>
      <c r="U1878" s="77" t="s">
        <v>85</v>
      </c>
      <c r="V1878" s="77" t="s">
        <v>325</v>
      </c>
      <c r="W1878" s="79">
        <v>46211.213803090279</v>
      </c>
      <c r="X1878" s="77" t="s">
        <v>326</v>
      </c>
      <c r="Y1878" s="78" t="s">
        <v>101</v>
      </c>
      <c r="AA1878" s="77" t="s">
        <v>1568</v>
      </c>
      <c r="AB1878" s="77" t="s">
        <v>1521</v>
      </c>
      <c r="AC1878" s="77" t="s">
        <v>114</v>
      </c>
      <c r="AD1878" s="77" t="s">
        <v>327</v>
      </c>
      <c r="AE1878" s="77" t="s">
        <v>3499</v>
      </c>
      <c r="AF1878" s="77" t="s">
        <v>2706</v>
      </c>
    </row>
    <row r="1879" spans="1:32" hidden="1" x14ac:dyDescent="0.3">
      <c r="A1879" s="77" t="s">
        <v>3785</v>
      </c>
      <c r="B1879" s="77" t="s">
        <v>2264</v>
      </c>
      <c r="G1879" s="77" t="s">
        <v>3498</v>
      </c>
      <c r="H1879" s="77" t="s">
        <v>77</v>
      </c>
      <c r="I1879" s="77" t="s">
        <v>1521</v>
      </c>
      <c r="J1879" s="77" t="s">
        <v>3039</v>
      </c>
      <c r="K1879" s="77" t="s">
        <v>1522</v>
      </c>
      <c r="L1879" s="77" t="s">
        <v>2265</v>
      </c>
      <c r="M1879" s="77" t="s">
        <v>82</v>
      </c>
      <c r="N1879" s="77" t="s">
        <v>83</v>
      </c>
      <c r="Q1879" s="77" t="s">
        <v>111</v>
      </c>
      <c r="T1879" s="77" t="s">
        <v>1666</v>
      </c>
      <c r="U1879" s="77" t="s">
        <v>85</v>
      </c>
      <c r="V1879" s="77" t="s">
        <v>325</v>
      </c>
      <c r="W1879" s="79">
        <v>46211.215152083336</v>
      </c>
      <c r="X1879" s="77" t="s">
        <v>326</v>
      </c>
      <c r="Y1879" s="78" t="s">
        <v>101</v>
      </c>
      <c r="AA1879" s="77" t="s">
        <v>1568</v>
      </c>
      <c r="AB1879" s="77" t="s">
        <v>1521</v>
      </c>
      <c r="AC1879" s="77" t="s">
        <v>114</v>
      </c>
      <c r="AD1879" s="77" t="s">
        <v>327</v>
      </c>
      <c r="AE1879" s="77" t="s">
        <v>3499</v>
      </c>
      <c r="AF1879" s="77" t="s">
        <v>2706</v>
      </c>
    </row>
    <row r="1880" spans="1:32" hidden="1" x14ac:dyDescent="0.3">
      <c r="A1880" s="77" t="s">
        <v>3786</v>
      </c>
      <c r="B1880" s="77" t="s">
        <v>2267</v>
      </c>
      <c r="G1880" s="77" t="s">
        <v>3498</v>
      </c>
      <c r="H1880" s="77" t="s">
        <v>77</v>
      </c>
      <c r="I1880" s="77" t="s">
        <v>1521</v>
      </c>
      <c r="J1880" s="77" t="s">
        <v>3039</v>
      </c>
      <c r="K1880" s="77" t="s">
        <v>1522</v>
      </c>
      <c r="L1880" s="77" t="s">
        <v>2244</v>
      </c>
      <c r="M1880" s="77" t="s">
        <v>82</v>
      </c>
      <c r="N1880" s="77" t="s">
        <v>83</v>
      </c>
      <c r="Q1880" s="77" t="s">
        <v>111</v>
      </c>
      <c r="T1880" s="77" t="s">
        <v>1666</v>
      </c>
      <c r="U1880" s="77" t="s">
        <v>85</v>
      </c>
      <c r="V1880" s="77" t="s">
        <v>325</v>
      </c>
      <c r="W1880" s="79">
        <v>46213.716814699073</v>
      </c>
      <c r="X1880" s="77" t="s">
        <v>326</v>
      </c>
      <c r="Y1880" s="78" t="s">
        <v>101</v>
      </c>
      <c r="AA1880" s="77" t="s">
        <v>1568</v>
      </c>
      <c r="AB1880" s="77" t="s">
        <v>1521</v>
      </c>
      <c r="AC1880" s="77" t="s">
        <v>114</v>
      </c>
      <c r="AD1880" s="77" t="s">
        <v>327</v>
      </c>
      <c r="AE1880" s="77" t="s">
        <v>3499</v>
      </c>
      <c r="AF1880" s="77" t="s">
        <v>2706</v>
      </c>
    </row>
    <row r="1881" spans="1:32" hidden="1" x14ac:dyDescent="0.3">
      <c r="A1881" s="77" t="s">
        <v>3787</v>
      </c>
      <c r="B1881" s="77" t="s">
        <v>2269</v>
      </c>
      <c r="G1881" s="77" t="s">
        <v>3498</v>
      </c>
      <c r="H1881" s="77" t="s">
        <v>77</v>
      </c>
      <c r="I1881" s="77" t="s">
        <v>1521</v>
      </c>
      <c r="J1881" s="77" t="s">
        <v>3039</v>
      </c>
      <c r="K1881" s="77" t="s">
        <v>1522</v>
      </c>
      <c r="L1881" s="77" t="s">
        <v>2247</v>
      </c>
      <c r="M1881" s="77" t="s">
        <v>82</v>
      </c>
      <c r="N1881" s="77" t="s">
        <v>83</v>
      </c>
      <c r="Q1881" s="77" t="s">
        <v>111</v>
      </c>
      <c r="T1881" s="77" t="s">
        <v>1666</v>
      </c>
      <c r="U1881" s="77" t="s">
        <v>85</v>
      </c>
      <c r="V1881" s="77" t="s">
        <v>325</v>
      </c>
      <c r="W1881" s="79">
        <v>46213.717335266207</v>
      </c>
      <c r="X1881" s="77" t="s">
        <v>326</v>
      </c>
      <c r="Y1881" s="78" t="s">
        <v>101</v>
      </c>
      <c r="AA1881" s="77" t="s">
        <v>1568</v>
      </c>
      <c r="AB1881" s="77" t="s">
        <v>1521</v>
      </c>
      <c r="AC1881" s="77" t="s">
        <v>114</v>
      </c>
      <c r="AD1881" s="77" t="s">
        <v>327</v>
      </c>
      <c r="AE1881" s="77" t="s">
        <v>3499</v>
      </c>
      <c r="AF1881" s="77" t="s">
        <v>2706</v>
      </c>
    </row>
    <row r="1882" spans="1:32" x14ac:dyDescent="0.3">
      <c r="A1882" s="77" t="s">
        <v>3788</v>
      </c>
      <c r="B1882" s="77" t="s">
        <v>2271</v>
      </c>
      <c r="G1882" s="77" t="s">
        <v>3498</v>
      </c>
      <c r="H1882" s="77" t="s">
        <v>77</v>
      </c>
      <c r="I1882" s="77" t="s">
        <v>1521</v>
      </c>
      <c r="J1882" s="77" t="s">
        <v>3039</v>
      </c>
      <c r="K1882" s="77" t="s">
        <v>1522</v>
      </c>
      <c r="L1882" s="77" t="s">
        <v>2250</v>
      </c>
      <c r="M1882" s="77" t="s">
        <v>82</v>
      </c>
      <c r="N1882" s="77" t="s">
        <v>83</v>
      </c>
      <c r="Q1882" s="77" t="s">
        <v>111</v>
      </c>
      <c r="T1882" s="77" t="s">
        <v>1666</v>
      </c>
      <c r="U1882" s="77" t="s">
        <v>85</v>
      </c>
      <c r="V1882" s="80" t="s">
        <v>325</v>
      </c>
      <c r="X1882" s="77" t="s">
        <v>326</v>
      </c>
      <c r="Y1882" s="78" t="s">
        <v>101</v>
      </c>
      <c r="AA1882" s="77" t="s">
        <v>1568</v>
      </c>
      <c r="AB1882" s="77" t="s">
        <v>1521</v>
      </c>
      <c r="AC1882" s="77" t="s">
        <v>90</v>
      </c>
      <c r="AD1882" s="77" t="s">
        <v>327</v>
      </c>
      <c r="AE1882" s="77" t="s">
        <v>3499</v>
      </c>
    </row>
    <row r="1883" spans="1:32" hidden="1" x14ac:dyDescent="0.3">
      <c r="A1883" s="77" t="s">
        <v>3789</v>
      </c>
      <c r="B1883" s="77" t="s">
        <v>2273</v>
      </c>
      <c r="G1883" s="77" t="s">
        <v>3498</v>
      </c>
      <c r="H1883" s="77" t="s">
        <v>77</v>
      </c>
      <c r="I1883" s="77" t="s">
        <v>1521</v>
      </c>
      <c r="J1883" s="77" t="s">
        <v>3039</v>
      </c>
      <c r="K1883" s="77" t="s">
        <v>1522</v>
      </c>
      <c r="L1883" s="77" t="s">
        <v>2253</v>
      </c>
      <c r="M1883" s="77" t="s">
        <v>82</v>
      </c>
      <c r="N1883" s="77" t="s">
        <v>83</v>
      </c>
      <c r="Q1883" s="77" t="s">
        <v>111</v>
      </c>
      <c r="T1883" s="77" t="s">
        <v>1666</v>
      </c>
      <c r="U1883" s="77" t="s">
        <v>85</v>
      </c>
      <c r="V1883" s="77" t="s">
        <v>325</v>
      </c>
      <c r="W1883" s="79">
        <v>46211.21783587963</v>
      </c>
      <c r="X1883" s="77" t="s">
        <v>326</v>
      </c>
      <c r="Y1883" s="78" t="s">
        <v>101</v>
      </c>
      <c r="AA1883" s="77" t="s">
        <v>1568</v>
      </c>
      <c r="AB1883" s="77" t="s">
        <v>1521</v>
      </c>
      <c r="AC1883" s="77" t="s">
        <v>114</v>
      </c>
      <c r="AD1883" s="77" t="s">
        <v>327</v>
      </c>
      <c r="AE1883" s="77" t="s">
        <v>3499</v>
      </c>
      <c r="AF1883" s="77" t="s">
        <v>2706</v>
      </c>
    </row>
    <row r="1884" spans="1:32" hidden="1" x14ac:dyDescent="0.3">
      <c r="A1884" s="77" t="s">
        <v>3790</v>
      </c>
      <c r="B1884" s="77" t="s">
        <v>2275</v>
      </c>
      <c r="G1884" s="77" t="s">
        <v>3498</v>
      </c>
      <c r="H1884" s="77" t="s">
        <v>77</v>
      </c>
      <c r="I1884" s="77" t="s">
        <v>1521</v>
      </c>
      <c r="J1884" s="77" t="s">
        <v>3039</v>
      </c>
      <c r="K1884" s="77" t="s">
        <v>1522</v>
      </c>
      <c r="L1884" s="77" t="s">
        <v>2256</v>
      </c>
      <c r="M1884" s="77" t="s">
        <v>82</v>
      </c>
      <c r="N1884" s="77" t="s">
        <v>83</v>
      </c>
      <c r="Q1884" s="77" t="s">
        <v>111</v>
      </c>
      <c r="T1884" s="77" t="s">
        <v>1666</v>
      </c>
      <c r="U1884" s="77" t="s">
        <v>85</v>
      </c>
      <c r="V1884" s="77" t="s">
        <v>325</v>
      </c>
      <c r="W1884" s="79">
        <v>46211.22252260417</v>
      </c>
      <c r="X1884" s="77" t="s">
        <v>326</v>
      </c>
      <c r="Y1884" s="78" t="s">
        <v>101</v>
      </c>
      <c r="AA1884" s="77" t="s">
        <v>1568</v>
      </c>
      <c r="AB1884" s="77" t="s">
        <v>1521</v>
      </c>
      <c r="AC1884" s="77" t="s">
        <v>114</v>
      </c>
      <c r="AD1884" s="77" t="s">
        <v>327</v>
      </c>
      <c r="AE1884" s="77" t="s">
        <v>3499</v>
      </c>
      <c r="AF1884" s="77" t="s">
        <v>2706</v>
      </c>
    </row>
    <row r="1885" spans="1:32" hidden="1" x14ac:dyDescent="0.3">
      <c r="A1885" s="77" t="s">
        <v>3791</v>
      </c>
      <c r="B1885" s="77" t="s">
        <v>2277</v>
      </c>
      <c r="G1885" s="77" t="s">
        <v>3498</v>
      </c>
      <c r="H1885" s="77" t="s">
        <v>77</v>
      </c>
      <c r="I1885" s="77" t="s">
        <v>1521</v>
      </c>
      <c r="J1885" s="77" t="s">
        <v>3039</v>
      </c>
      <c r="K1885" s="77" t="s">
        <v>1522</v>
      </c>
      <c r="L1885" s="77" t="s">
        <v>2259</v>
      </c>
      <c r="M1885" s="77" t="s">
        <v>82</v>
      </c>
      <c r="N1885" s="77" t="s">
        <v>83</v>
      </c>
      <c r="Q1885" s="77" t="s">
        <v>111</v>
      </c>
      <c r="T1885" s="77" t="s">
        <v>1666</v>
      </c>
      <c r="U1885" s="77" t="s">
        <v>85</v>
      </c>
      <c r="V1885" s="77" t="s">
        <v>325</v>
      </c>
      <c r="W1885" s="79">
        <v>46211.224954513891</v>
      </c>
      <c r="X1885" s="77" t="s">
        <v>326</v>
      </c>
      <c r="Y1885" s="78" t="s">
        <v>101</v>
      </c>
      <c r="AA1885" s="77" t="s">
        <v>1568</v>
      </c>
      <c r="AB1885" s="77" t="s">
        <v>1521</v>
      </c>
      <c r="AC1885" s="77" t="s">
        <v>114</v>
      </c>
      <c r="AD1885" s="77" t="s">
        <v>327</v>
      </c>
      <c r="AE1885" s="77" t="s">
        <v>3499</v>
      </c>
      <c r="AF1885" s="77" t="s">
        <v>2706</v>
      </c>
    </row>
    <row r="1886" spans="1:32" hidden="1" x14ac:dyDescent="0.3">
      <c r="A1886" s="77" t="s">
        <v>3792</v>
      </c>
      <c r="B1886" s="77" t="s">
        <v>2279</v>
      </c>
      <c r="G1886" s="77" t="s">
        <v>3498</v>
      </c>
      <c r="H1886" s="77" t="s">
        <v>77</v>
      </c>
      <c r="I1886" s="77" t="s">
        <v>1521</v>
      </c>
      <c r="J1886" s="77" t="s">
        <v>3039</v>
      </c>
      <c r="K1886" s="77" t="s">
        <v>1522</v>
      </c>
      <c r="L1886" s="77" t="s">
        <v>2262</v>
      </c>
      <c r="M1886" s="77" t="s">
        <v>82</v>
      </c>
      <c r="N1886" s="77" t="s">
        <v>83</v>
      </c>
      <c r="Q1886" s="77" t="s">
        <v>111</v>
      </c>
      <c r="T1886" s="77" t="s">
        <v>1666</v>
      </c>
      <c r="U1886" s="77" t="s">
        <v>85</v>
      </c>
      <c r="V1886" s="77" t="s">
        <v>325</v>
      </c>
      <c r="W1886" s="79">
        <v>46211.22624880787</v>
      </c>
      <c r="X1886" s="77" t="s">
        <v>326</v>
      </c>
      <c r="Y1886" s="78" t="s">
        <v>101</v>
      </c>
      <c r="AA1886" s="77" t="s">
        <v>1568</v>
      </c>
      <c r="AB1886" s="77" t="s">
        <v>1521</v>
      </c>
      <c r="AC1886" s="77" t="s">
        <v>114</v>
      </c>
      <c r="AD1886" s="77" t="s">
        <v>327</v>
      </c>
      <c r="AE1886" s="77" t="s">
        <v>3499</v>
      </c>
      <c r="AF1886" s="77" t="s">
        <v>2706</v>
      </c>
    </row>
    <row r="1887" spans="1:32" hidden="1" x14ac:dyDescent="0.3">
      <c r="A1887" s="77" t="s">
        <v>3793</v>
      </c>
      <c r="B1887" s="77" t="s">
        <v>2281</v>
      </c>
      <c r="G1887" s="77" t="s">
        <v>3498</v>
      </c>
      <c r="H1887" s="77" t="s">
        <v>77</v>
      </c>
      <c r="I1887" s="77" t="s">
        <v>1521</v>
      </c>
      <c r="J1887" s="77" t="s">
        <v>3039</v>
      </c>
      <c r="K1887" s="77" t="s">
        <v>1522</v>
      </c>
      <c r="L1887" s="77" t="s">
        <v>2282</v>
      </c>
      <c r="M1887" s="77" t="s">
        <v>82</v>
      </c>
      <c r="N1887" s="77" t="s">
        <v>83</v>
      </c>
      <c r="Q1887" s="77" t="s">
        <v>111</v>
      </c>
      <c r="T1887" s="77" t="s">
        <v>1666</v>
      </c>
      <c r="U1887" s="77" t="s">
        <v>85</v>
      </c>
      <c r="V1887" s="80" t="s">
        <v>859</v>
      </c>
      <c r="W1887" s="79">
        <v>46211.228236076386</v>
      </c>
      <c r="X1887" s="77" t="s">
        <v>860</v>
      </c>
      <c r="Y1887" s="78" t="s">
        <v>88</v>
      </c>
      <c r="AA1887" s="77" t="s">
        <v>1568</v>
      </c>
      <c r="AB1887" s="77" t="s">
        <v>1521</v>
      </c>
      <c r="AC1887" s="77" t="s">
        <v>114</v>
      </c>
      <c r="AD1887" s="77" t="s">
        <v>91</v>
      </c>
      <c r="AE1887" s="77" t="s">
        <v>3499</v>
      </c>
      <c r="AF1887" s="77" t="s">
        <v>2706</v>
      </c>
    </row>
    <row r="1888" spans="1:32" hidden="1" x14ac:dyDescent="0.3">
      <c r="A1888" s="77" t="s">
        <v>3794</v>
      </c>
      <c r="B1888" s="77" t="s">
        <v>2284</v>
      </c>
      <c r="G1888" s="77" t="s">
        <v>3498</v>
      </c>
      <c r="H1888" s="77" t="s">
        <v>77</v>
      </c>
      <c r="I1888" s="77" t="s">
        <v>1521</v>
      </c>
      <c r="J1888" s="77" t="s">
        <v>3039</v>
      </c>
      <c r="K1888" s="77" t="s">
        <v>1522</v>
      </c>
      <c r="L1888" s="77" t="s">
        <v>2285</v>
      </c>
      <c r="M1888" s="77" t="s">
        <v>82</v>
      </c>
      <c r="N1888" s="77" t="s">
        <v>83</v>
      </c>
      <c r="Q1888" s="77" t="s">
        <v>111</v>
      </c>
      <c r="T1888" s="77" t="s">
        <v>1666</v>
      </c>
      <c r="U1888" s="77" t="s">
        <v>85</v>
      </c>
      <c r="V1888" s="77" t="s">
        <v>864</v>
      </c>
      <c r="W1888" s="79">
        <v>46211.230662696762</v>
      </c>
      <c r="X1888" s="77" t="s">
        <v>865</v>
      </c>
      <c r="Y1888" s="78" t="s">
        <v>88</v>
      </c>
      <c r="AA1888" s="77" t="s">
        <v>1568</v>
      </c>
      <c r="AB1888" s="77" t="s">
        <v>1521</v>
      </c>
      <c r="AC1888" s="77" t="s">
        <v>114</v>
      </c>
      <c r="AD1888" s="77" t="s">
        <v>91</v>
      </c>
      <c r="AE1888" s="77" t="s">
        <v>3499</v>
      </c>
      <c r="AF1888" s="77" t="s">
        <v>2706</v>
      </c>
    </row>
    <row r="1889" spans="1:33" hidden="1" x14ac:dyDescent="0.3">
      <c r="A1889" s="77" t="s">
        <v>3795</v>
      </c>
      <c r="B1889" s="77" t="s">
        <v>2287</v>
      </c>
      <c r="G1889" s="77" t="s">
        <v>3498</v>
      </c>
      <c r="H1889" s="77" t="s">
        <v>77</v>
      </c>
      <c r="I1889" s="77" t="s">
        <v>1521</v>
      </c>
      <c r="J1889" s="77" t="s">
        <v>3039</v>
      </c>
      <c r="K1889" s="77" t="s">
        <v>1522</v>
      </c>
      <c r="L1889" s="77" t="s">
        <v>2288</v>
      </c>
      <c r="M1889" s="77" t="s">
        <v>82</v>
      </c>
      <c r="N1889" s="77" t="s">
        <v>83</v>
      </c>
      <c r="Q1889" s="77" t="s">
        <v>111</v>
      </c>
      <c r="T1889" s="77" t="s">
        <v>1666</v>
      </c>
      <c r="U1889" s="77" t="s">
        <v>85</v>
      </c>
      <c r="V1889" s="77" t="s">
        <v>869</v>
      </c>
      <c r="W1889" s="79">
        <v>46211.23205165509</v>
      </c>
      <c r="X1889" s="77" t="s">
        <v>870</v>
      </c>
      <c r="Y1889" s="78" t="s">
        <v>101</v>
      </c>
      <c r="AA1889" s="77" t="s">
        <v>1568</v>
      </c>
      <c r="AB1889" s="77" t="s">
        <v>1521</v>
      </c>
      <c r="AC1889" s="77" t="s">
        <v>114</v>
      </c>
      <c r="AD1889" s="77" t="s">
        <v>102</v>
      </c>
      <c r="AE1889" s="77" t="s">
        <v>3499</v>
      </c>
      <c r="AF1889" s="77" t="s">
        <v>2706</v>
      </c>
    </row>
    <row r="1890" spans="1:33" hidden="1" x14ac:dyDescent="0.3">
      <c r="A1890" s="77" t="s">
        <v>3796</v>
      </c>
      <c r="B1890" s="77" t="s">
        <v>2290</v>
      </c>
      <c r="G1890" s="77" t="s">
        <v>3498</v>
      </c>
      <c r="H1890" s="77" t="s">
        <v>77</v>
      </c>
      <c r="I1890" s="77" t="s">
        <v>1521</v>
      </c>
      <c r="J1890" s="77" t="s">
        <v>3039</v>
      </c>
      <c r="K1890" s="77" t="s">
        <v>1522</v>
      </c>
      <c r="L1890" s="77" t="s">
        <v>2291</v>
      </c>
      <c r="M1890" s="77" t="s">
        <v>82</v>
      </c>
      <c r="N1890" s="77" t="s">
        <v>83</v>
      </c>
      <c r="Q1890" s="77" t="s">
        <v>111</v>
      </c>
      <c r="T1890" s="77" t="s">
        <v>1666</v>
      </c>
      <c r="U1890" s="77" t="s">
        <v>85</v>
      </c>
      <c r="V1890" s="77" t="s">
        <v>874</v>
      </c>
      <c r="W1890" s="79">
        <v>46211.233324189816</v>
      </c>
      <c r="X1890" s="77" t="s">
        <v>875</v>
      </c>
      <c r="Y1890" s="78" t="s">
        <v>101</v>
      </c>
      <c r="AA1890" s="77" t="s">
        <v>1568</v>
      </c>
      <c r="AB1890" s="77" t="s">
        <v>1521</v>
      </c>
      <c r="AC1890" s="77" t="s">
        <v>114</v>
      </c>
      <c r="AD1890" s="77" t="s">
        <v>102</v>
      </c>
      <c r="AE1890" s="77" t="s">
        <v>3499</v>
      </c>
      <c r="AF1890" s="77" t="s">
        <v>2706</v>
      </c>
    </row>
    <row r="1891" spans="1:33" x14ac:dyDescent="0.3">
      <c r="A1891" s="77" t="s">
        <v>3797</v>
      </c>
      <c r="B1891" s="77" t="s">
        <v>2293</v>
      </c>
      <c r="G1891" s="77" t="s">
        <v>3498</v>
      </c>
      <c r="H1891" s="77" t="s">
        <v>77</v>
      </c>
      <c r="I1891" s="77" t="s">
        <v>1521</v>
      </c>
      <c r="J1891" s="77" t="s">
        <v>3039</v>
      </c>
      <c r="K1891" s="77" t="s">
        <v>1522</v>
      </c>
      <c r="L1891" s="77" t="s">
        <v>2294</v>
      </c>
      <c r="M1891" s="77" t="s">
        <v>82</v>
      </c>
      <c r="N1891" s="77" t="s">
        <v>83</v>
      </c>
      <c r="Q1891" s="77" t="s">
        <v>111</v>
      </c>
      <c r="T1891" s="77" t="s">
        <v>1666</v>
      </c>
      <c r="U1891" s="77" t="s">
        <v>85</v>
      </c>
      <c r="V1891" s="80" t="s">
        <v>86</v>
      </c>
      <c r="X1891" s="77" t="s">
        <v>87</v>
      </c>
      <c r="Y1891" s="78" t="s">
        <v>88</v>
      </c>
      <c r="AA1891" s="77" t="s">
        <v>1568</v>
      </c>
      <c r="AB1891" s="77" t="s">
        <v>1521</v>
      </c>
      <c r="AC1891" s="77" t="s">
        <v>90</v>
      </c>
      <c r="AD1891" s="77" t="s">
        <v>91</v>
      </c>
      <c r="AE1891" s="77" t="s">
        <v>3499</v>
      </c>
    </row>
    <row r="1892" spans="1:33" x14ac:dyDescent="0.3">
      <c r="A1892" s="77" t="s">
        <v>3798</v>
      </c>
      <c r="B1892" s="77" t="s">
        <v>2296</v>
      </c>
      <c r="G1892" s="77" t="s">
        <v>3498</v>
      </c>
      <c r="H1892" s="77" t="s">
        <v>77</v>
      </c>
      <c r="I1892" s="77" t="s">
        <v>1521</v>
      </c>
      <c r="J1892" s="77" t="s">
        <v>3039</v>
      </c>
      <c r="K1892" s="77" t="s">
        <v>1522</v>
      </c>
      <c r="L1892" s="77" t="s">
        <v>2294</v>
      </c>
      <c r="M1892" s="77" t="s">
        <v>82</v>
      </c>
      <c r="N1892" s="77" t="s">
        <v>83</v>
      </c>
      <c r="Q1892" s="77" t="s">
        <v>111</v>
      </c>
      <c r="T1892" s="77" t="s">
        <v>1666</v>
      </c>
      <c r="U1892" s="77" t="s">
        <v>85</v>
      </c>
      <c r="V1892" s="80" t="s">
        <v>86</v>
      </c>
      <c r="X1892" s="77" t="s">
        <v>87</v>
      </c>
      <c r="Y1892" s="78" t="s">
        <v>88</v>
      </c>
      <c r="AA1892" s="77" t="s">
        <v>1568</v>
      </c>
      <c r="AB1892" s="77" t="s">
        <v>1521</v>
      </c>
      <c r="AC1892" s="77" t="s">
        <v>90</v>
      </c>
      <c r="AD1892" s="77" t="s">
        <v>91</v>
      </c>
      <c r="AE1892" s="77" t="s">
        <v>3499</v>
      </c>
    </row>
    <row r="1893" spans="1:33" x14ac:dyDescent="0.3">
      <c r="A1893" s="77" t="s">
        <v>3799</v>
      </c>
      <c r="B1893" s="77" t="s">
        <v>2298</v>
      </c>
      <c r="G1893" s="77" t="s">
        <v>3498</v>
      </c>
      <c r="H1893" s="77" t="s">
        <v>77</v>
      </c>
      <c r="I1893" s="77" t="s">
        <v>1521</v>
      </c>
      <c r="J1893" s="77" t="s">
        <v>3039</v>
      </c>
      <c r="K1893" s="77" t="s">
        <v>1522</v>
      </c>
      <c r="L1893" s="77" t="s">
        <v>2299</v>
      </c>
      <c r="M1893" s="77" t="s">
        <v>82</v>
      </c>
      <c r="N1893" s="77" t="s">
        <v>83</v>
      </c>
      <c r="Q1893" s="77" t="s">
        <v>111</v>
      </c>
      <c r="T1893" s="77" t="s">
        <v>1666</v>
      </c>
      <c r="U1893" s="77" t="s">
        <v>85</v>
      </c>
      <c r="V1893" s="80" t="s">
        <v>86</v>
      </c>
      <c r="X1893" s="77" t="s">
        <v>87</v>
      </c>
      <c r="Y1893" s="78" t="s">
        <v>88</v>
      </c>
      <c r="AA1893" s="77" t="s">
        <v>1568</v>
      </c>
      <c r="AB1893" s="77" t="s">
        <v>1521</v>
      </c>
      <c r="AC1893" s="77" t="s">
        <v>90</v>
      </c>
      <c r="AD1893" s="77" t="s">
        <v>91</v>
      </c>
      <c r="AE1893" s="77" t="s">
        <v>3499</v>
      </c>
    </row>
    <row r="1894" spans="1:33" x14ac:dyDescent="0.3">
      <c r="A1894" s="77" t="s">
        <v>3800</v>
      </c>
      <c r="B1894" s="77" t="s">
        <v>2301</v>
      </c>
      <c r="G1894" s="77" t="s">
        <v>3498</v>
      </c>
      <c r="H1894" s="77" t="s">
        <v>77</v>
      </c>
      <c r="I1894" s="77" t="s">
        <v>1521</v>
      </c>
      <c r="J1894" s="77" t="s">
        <v>3039</v>
      </c>
      <c r="K1894" s="77" t="s">
        <v>1522</v>
      </c>
      <c r="L1894" s="77" t="s">
        <v>2302</v>
      </c>
      <c r="M1894" s="77" t="s">
        <v>82</v>
      </c>
      <c r="N1894" s="77" t="s">
        <v>83</v>
      </c>
      <c r="Q1894" s="77" t="s">
        <v>111</v>
      </c>
      <c r="T1894" s="77" t="s">
        <v>1666</v>
      </c>
      <c r="U1894" s="77" t="s">
        <v>85</v>
      </c>
      <c r="V1894" s="80" t="s">
        <v>95</v>
      </c>
      <c r="X1894" s="77" t="s">
        <v>96</v>
      </c>
      <c r="Y1894" s="78" t="s">
        <v>88</v>
      </c>
      <c r="AA1894" s="77" t="s">
        <v>1568</v>
      </c>
      <c r="AB1894" s="77" t="s">
        <v>1521</v>
      </c>
      <c r="AC1894" s="77" t="s">
        <v>90</v>
      </c>
      <c r="AD1894" s="77" t="s">
        <v>91</v>
      </c>
      <c r="AE1894" s="77" t="s">
        <v>3499</v>
      </c>
    </row>
    <row r="1895" spans="1:33" x14ac:dyDescent="0.3">
      <c r="A1895" s="77" t="s">
        <v>3801</v>
      </c>
      <c r="B1895" s="77" t="s">
        <v>2304</v>
      </c>
      <c r="G1895" s="77" t="s">
        <v>3498</v>
      </c>
      <c r="H1895" s="77" t="s">
        <v>77</v>
      </c>
      <c r="I1895" s="77" t="s">
        <v>1521</v>
      </c>
      <c r="J1895" s="77" t="s">
        <v>3039</v>
      </c>
      <c r="K1895" s="77" t="s">
        <v>1522</v>
      </c>
      <c r="L1895" s="77" t="s">
        <v>2302</v>
      </c>
      <c r="M1895" s="77" t="s">
        <v>82</v>
      </c>
      <c r="N1895" s="77" t="s">
        <v>83</v>
      </c>
      <c r="Q1895" s="77" t="s">
        <v>111</v>
      </c>
      <c r="T1895" s="77" t="s">
        <v>1666</v>
      </c>
      <c r="U1895" s="77" t="s">
        <v>85</v>
      </c>
      <c r="V1895" s="80" t="s">
        <v>95</v>
      </c>
      <c r="X1895" s="77" t="s">
        <v>96</v>
      </c>
      <c r="Y1895" s="78" t="s">
        <v>88</v>
      </c>
      <c r="AA1895" s="77" t="s">
        <v>1568</v>
      </c>
      <c r="AB1895" s="77" t="s">
        <v>1521</v>
      </c>
      <c r="AC1895" s="77" t="s">
        <v>90</v>
      </c>
      <c r="AD1895" s="77" t="s">
        <v>91</v>
      </c>
      <c r="AE1895" s="77" t="s">
        <v>3499</v>
      </c>
    </row>
    <row r="1896" spans="1:33" x14ac:dyDescent="0.3">
      <c r="A1896" s="77" t="s">
        <v>3802</v>
      </c>
      <c r="B1896" s="77" t="s">
        <v>2306</v>
      </c>
      <c r="G1896" s="77" t="s">
        <v>3498</v>
      </c>
      <c r="H1896" s="77" t="s">
        <v>77</v>
      </c>
      <c r="I1896" s="77" t="s">
        <v>1521</v>
      </c>
      <c r="J1896" s="77" t="s">
        <v>3039</v>
      </c>
      <c r="K1896" s="77" t="s">
        <v>1522</v>
      </c>
      <c r="L1896" s="77" t="s">
        <v>2307</v>
      </c>
      <c r="M1896" s="77" t="s">
        <v>82</v>
      </c>
      <c r="N1896" s="77" t="s">
        <v>83</v>
      </c>
      <c r="Q1896" s="77" t="s">
        <v>111</v>
      </c>
      <c r="T1896" s="77" t="s">
        <v>1666</v>
      </c>
      <c r="U1896" s="77" t="s">
        <v>85</v>
      </c>
      <c r="V1896" s="80" t="s">
        <v>95</v>
      </c>
      <c r="X1896" s="77" t="s">
        <v>96</v>
      </c>
      <c r="Y1896" s="78" t="s">
        <v>88</v>
      </c>
      <c r="AA1896" s="77" t="s">
        <v>1568</v>
      </c>
      <c r="AB1896" s="77" t="s">
        <v>1521</v>
      </c>
      <c r="AC1896" s="77" t="s">
        <v>90</v>
      </c>
      <c r="AD1896" s="77" t="s">
        <v>91</v>
      </c>
      <c r="AE1896" s="77" t="s">
        <v>3499</v>
      </c>
    </row>
    <row r="1897" spans="1:33" x14ac:dyDescent="0.3">
      <c r="A1897" s="77" t="s">
        <v>3803</v>
      </c>
      <c r="B1897" s="77" t="s">
        <v>2309</v>
      </c>
      <c r="G1897" s="77" t="s">
        <v>3498</v>
      </c>
      <c r="H1897" s="77" t="s">
        <v>77</v>
      </c>
      <c r="I1897" s="77" t="s">
        <v>1521</v>
      </c>
      <c r="J1897" s="77" t="s">
        <v>3039</v>
      </c>
      <c r="K1897" s="77" t="s">
        <v>1522</v>
      </c>
      <c r="L1897" s="77" t="s">
        <v>2310</v>
      </c>
      <c r="M1897" s="77" t="s">
        <v>82</v>
      </c>
      <c r="N1897" s="77" t="s">
        <v>83</v>
      </c>
      <c r="Q1897" s="77" t="s">
        <v>111</v>
      </c>
      <c r="T1897" s="77" t="s">
        <v>1666</v>
      </c>
      <c r="U1897" s="77" t="s">
        <v>85</v>
      </c>
      <c r="V1897" s="80" t="s">
        <v>99</v>
      </c>
      <c r="X1897" s="77" t="s">
        <v>100</v>
      </c>
      <c r="Y1897" s="78" t="s">
        <v>101</v>
      </c>
      <c r="AA1897" s="77" t="s">
        <v>1568</v>
      </c>
      <c r="AB1897" s="77" t="s">
        <v>1521</v>
      </c>
      <c r="AC1897" s="77" t="s">
        <v>90</v>
      </c>
      <c r="AD1897" s="77" t="s">
        <v>102</v>
      </c>
      <c r="AE1897" s="77" t="s">
        <v>3499</v>
      </c>
    </row>
    <row r="1898" spans="1:33" x14ac:dyDescent="0.3">
      <c r="A1898" s="77" t="s">
        <v>3804</v>
      </c>
      <c r="B1898" s="77" t="s">
        <v>2312</v>
      </c>
      <c r="G1898" s="77" t="s">
        <v>3498</v>
      </c>
      <c r="H1898" s="77" t="s">
        <v>77</v>
      </c>
      <c r="I1898" s="77" t="s">
        <v>1521</v>
      </c>
      <c r="J1898" s="77" t="s">
        <v>3039</v>
      </c>
      <c r="K1898" s="77" t="s">
        <v>1522</v>
      </c>
      <c r="L1898" s="77" t="s">
        <v>2310</v>
      </c>
      <c r="M1898" s="77" t="s">
        <v>82</v>
      </c>
      <c r="N1898" s="77" t="s">
        <v>83</v>
      </c>
      <c r="Q1898" s="77" t="s">
        <v>111</v>
      </c>
      <c r="T1898" s="77" t="s">
        <v>1666</v>
      </c>
      <c r="U1898" s="77" t="s">
        <v>85</v>
      </c>
      <c r="V1898" s="80" t="s">
        <v>99</v>
      </c>
      <c r="X1898" s="77" t="s">
        <v>100</v>
      </c>
      <c r="Y1898" s="78" t="s">
        <v>101</v>
      </c>
      <c r="AA1898" s="77" t="s">
        <v>1568</v>
      </c>
      <c r="AB1898" s="77" t="s">
        <v>1521</v>
      </c>
      <c r="AC1898" s="77" t="s">
        <v>90</v>
      </c>
      <c r="AD1898" s="77" t="s">
        <v>102</v>
      </c>
      <c r="AE1898" s="77" t="s">
        <v>3499</v>
      </c>
    </row>
    <row r="1899" spans="1:33" x14ac:dyDescent="0.3">
      <c r="A1899" s="77" t="s">
        <v>3805</v>
      </c>
      <c r="B1899" s="77" t="s">
        <v>2314</v>
      </c>
      <c r="G1899" s="77" t="s">
        <v>3498</v>
      </c>
      <c r="H1899" s="77" t="s">
        <v>77</v>
      </c>
      <c r="I1899" s="77" t="s">
        <v>1521</v>
      </c>
      <c r="J1899" s="77" t="s">
        <v>3039</v>
      </c>
      <c r="K1899" s="77" t="s">
        <v>1522</v>
      </c>
      <c r="L1899" s="77" t="s">
        <v>2315</v>
      </c>
      <c r="M1899" s="77" t="s">
        <v>82</v>
      </c>
      <c r="N1899" s="77" t="s">
        <v>83</v>
      </c>
      <c r="Q1899" s="77" t="s">
        <v>111</v>
      </c>
      <c r="T1899" s="77" t="s">
        <v>1666</v>
      </c>
      <c r="U1899" s="77" t="s">
        <v>85</v>
      </c>
      <c r="V1899" s="80" t="s">
        <v>99</v>
      </c>
      <c r="X1899" s="77" t="s">
        <v>100</v>
      </c>
      <c r="Y1899" s="78" t="s">
        <v>101</v>
      </c>
      <c r="AA1899" s="77" t="s">
        <v>1568</v>
      </c>
      <c r="AB1899" s="77" t="s">
        <v>1521</v>
      </c>
      <c r="AC1899" s="77" t="s">
        <v>90</v>
      </c>
      <c r="AD1899" s="77" t="s">
        <v>102</v>
      </c>
      <c r="AE1899" s="77" t="s">
        <v>3499</v>
      </c>
    </row>
    <row r="1900" spans="1:33" x14ac:dyDescent="0.3">
      <c r="A1900" s="77" t="s">
        <v>3806</v>
      </c>
      <c r="B1900" s="77" t="s">
        <v>2317</v>
      </c>
      <c r="G1900" s="77" t="s">
        <v>3498</v>
      </c>
      <c r="H1900" s="77" t="s">
        <v>77</v>
      </c>
      <c r="I1900" s="77" t="s">
        <v>1521</v>
      </c>
      <c r="J1900" s="77" t="s">
        <v>3039</v>
      </c>
      <c r="K1900" s="77" t="s">
        <v>1522</v>
      </c>
      <c r="L1900" s="77" t="s">
        <v>2318</v>
      </c>
      <c r="M1900" s="77" t="s">
        <v>82</v>
      </c>
      <c r="N1900" s="77" t="s">
        <v>83</v>
      </c>
      <c r="Q1900" s="77" t="s">
        <v>111</v>
      </c>
      <c r="T1900" s="77" t="s">
        <v>1666</v>
      </c>
      <c r="U1900" s="77" t="s">
        <v>85</v>
      </c>
      <c r="V1900" s="80" t="s">
        <v>105</v>
      </c>
      <c r="X1900" s="77" t="s">
        <v>106</v>
      </c>
      <c r="Y1900" s="78" t="s">
        <v>101</v>
      </c>
      <c r="AA1900" s="77" t="s">
        <v>1568</v>
      </c>
      <c r="AB1900" s="77" t="s">
        <v>1521</v>
      </c>
      <c r="AC1900" s="77" t="s">
        <v>90</v>
      </c>
      <c r="AD1900" s="77" t="s">
        <v>102</v>
      </c>
      <c r="AE1900" s="77" t="s">
        <v>3499</v>
      </c>
    </row>
    <row r="1901" spans="1:33" x14ac:dyDescent="0.3">
      <c r="A1901" s="77" t="s">
        <v>3807</v>
      </c>
      <c r="B1901" s="77" t="s">
        <v>2320</v>
      </c>
      <c r="G1901" s="77" t="s">
        <v>3498</v>
      </c>
      <c r="H1901" s="77" t="s">
        <v>77</v>
      </c>
      <c r="I1901" s="77" t="s">
        <v>1521</v>
      </c>
      <c r="J1901" s="77" t="s">
        <v>3039</v>
      </c>
      <c r="K1901" s="77" t="s">
        <v>1522</v>
      </c>
      <c r="L1901" s="77" t="s">
        <v>2318</v>
      </c>
      <c r="M1901" s="77" t="s">
        <v>82</v>
      </c>
      <c r="N1901" s="77" t="s">
        <v>83</v>
      </c>
      <c r="Q1901" s="77" t="s">
        <v>111</v>
      </c>
      <c r="T1901" s="77" t="s">
        <v>1666</v>
      </c>
      <c r="U1901" s="77" t="s">
        <v>85</v>
      </c>
      <c r="V1901" s="80" t="s">
        <v>105</v>
      </c>
      <c r="X1901" s="77" t="s">
        <v>106</v>
      </c>
      <c r="Y1901" s="78" t="s">
        <v>101</v>
      </c>
      <c r="AA1901" s="77" t="s">
        <v>1568</v>
      </c>
      <c r="AB1901" s="77" t="s">
        <v>1521</v>
      </c>
      <c r="AC1901" s="77" t="s">
        <v>90</v>
      </c>
      <c r="AD1901" s="77" t="s">
        <v>102</v>
      </c>
      <c r="AE1901" s="77" t="s">
        <v>3499</v>
      </c>
    </row>
    <row r="1902" spans="1:33" x14ac:dyDescent="0.3">
      <c r="A1902" s="77" t="s">
        <v>3808</v>
      </c>
      <c r="B1902" s="77" t="s">
        <v>2322</v>
      </c>
      <c r="G1902" s="77" t="s">
        <v>3498</v>
      </c>
      <c r="H1902" s="77" t="s">
        <v>77</v>
      </c>
      <c r="I1902" s="77" t="s">
        <v>1521</v>
      </c>
      <c r="J1902" s="77" t="s">
        <v>3039</v>
      </c>
      <c r="K1902" s="77" t="s">
        <v>1522</v>
      </c>
      <c r="L1902" s="77" t="s">
        <v>2323</v>
      </c>
      <c r="M1902" s="77" t="s">
        <v>82</v>
      </c>
      <c r="N1902" s="77" t="s">
        <v>83</v>
      </c>
      <c r="Q1902" s="77" t="s">
        <v>111</v>
      </c>
      <c r="T1902" s="77" t="s">
        <v>1666</v>
      </c>
      <c r="U1902" s="77" t="s">
        <v>85</v>
      </c>
      <c r="V1902" s="80" t="s">
        <v>105</v>
      </c>
      <c r="X1902" s="77" t="s">
        <v>106</v>
      </c>
      <c r="Y1902" s="78" t="s">
        <v>101</v>
      </c>
      <c r="AA1902" s="77" t="s">
        <v>1568</v>
      </c>
      <c r="AB1902" s="77" t="s">
        <v>1521</v>
      </c>
      <c r="AC1902" s="77" t="s">
        <v>90</v>
      </c>
      <c r="AD1902" s="77" t="s">
        <v>102</v>
      </c>
      <c r="AE1902" s="77" t="s">
        <v>3499</v>
      </c>
    </row>
    <row r="1903" spans="1:33" hidden="1" x14ac:dyDescent="0.3">
      <c r="A1903" s="77" t="s">
        <v>3809</v>
      </c>
      <c r="B1903" s="77" t="s">
        <v>2325</v>
      </c>
      <c r="G1903" s="77" t="s">
        <v>3498</v>
      </c>
      <c r="H1903" s="77" t="s">
        <v>77</v>
      </c>
      <c r="I1903" s="77" t="s">
        <v>1521</v>
      </c>
      <c r="J1903" s="77" t="s">
        <v>3039</v>
      </c>
      <c r="K1903" s="77" t="s">
        <v>1522</v>
      </c>
      <c r="L1903" s="77" t="s">
        <v>2326</v>
      </c>
      <c r="M1903" s="77" t="s">
        <v>82</v>
      </c>
      <c r="N1903" s="77" t="s">
        <v>83</v>
      </c>
      <c r="Q1903" s="77" t="s">
        <v>111</v>
      </c>
      <c r="T1903" s="77" t="s">
        <v>2327</v>
      </c>
      <c r="U1903" s="77" t="s">
        <v>85</v>
      </c>
      <c r="V1903" s="77" t="s">
        <v>891</v>
      </c>
      <c r="W1903" s="79">
        <v>46205.260049884258</v>
      </c>
      <c r="X1903" s="77" t="s">
        <v>892</v>
      </c>
      <c r="Y1903" s="78" t="s">
        <v>88</v>
      </c>
      <c r="AA1903" s="77" t="s">
        <v>1568</v>
      </c>
      <c r="AB1903" s="77" t="s">
        <v>1521</v>
      </c>
      <c r="AC1903" s="77" t="s">
        <v>114</v>
      </c>
      <c r="AD1903" s="77" t="s">
        <v>91</v>
      </c>
      <c r="AE1903" s="77" t="s">
        <v>3499</v>
      </c>
      <c r="AF1903" s="77" t="s">
        <v>2706</v>
      </c>
      <c r="AG1903" s="77" t="s">
        <v>2327</v>
      </c>
    </row>
    <row r="1904" spans="1:33" hidden="1" x14ac:dyDescent="0.3">
      <c r="A1904" s="77" t="s">
        <v>3810</v>
      </c>
      <c r="B1904" s="77" t="s">
        <v>2329</v>
      </c>
      <c r="G1904" s="77" t="s">
        <v>3498</v>
      </c>
      <c r="H1904" s="77" t="s">
        <v>77</v>
      </c>
      <c r="I1904" s="77" t="s">
        <v>1521</v>
      </c>
      <c r="J1904" s="77" t="s">
        <v>3039</v>
      </c>
      <c r="K1904" s="77" t="s">
        <v>1522</v>
      </c>
      <c r="L1904" s="77" t="s">
        <v>2330</v>
      </c>
      <c r="M1904" s="77" t="s">
        <v>82</v>
      </c>
      <c r="N1904" s="77" t="s">
        <v>83</v>
      </c>
      <c r="Q1904" s="77" t="s">
        <v>111</v>
      </c>
      <c r="T1904" s="77" t="s">
        <v>2327</v>
      </c>
      <c r="U1904" s="77" t="s">
        <v>85</v>
      </c>
      <c r="V1904" s="77" t="s">
        <v>952</v>
      </c>
      <c r="W1904" s="79">
        <v>46205.265789039353</v>
      </c>
      <c r="X1904" s="77" t="s">
        <v>953</v>
      </c>
      <c r="Y1904" s="78" t="s">
        <v>101</v>
      </c>
      <c r="AA1904" s="77" t="s">
        <v>1568</v>
      </c>
      <c r="AB1904" s="77" t="s">
        <v>1521</v>
      </c>
      <c r="AC1904" s="77" t="s">
        <v>114</v>
      </c>
      <c r="AD1904" s="77" t="s">
        <v>954</v>
      </c>
      <c r="AE1904" s="77" t="s">
        <v>3499</v>
      </c>
      <c r="AF1904" s="77" t="s">
        <v>2706</v>
      </c>
      <c r="AG1904" s="77" t="s">
        <v>2327</v>
      </c>
    </row>
    <row r="1905" spans="1:31" x14ac:dyDescent="0.3">
      <c r="A1905" s="77" t="s">
        <v>3811</v>
      </c>
      <c r="B1905" s="77" t="s">
        <v>2332</v>
      </c>
      <c r="G1905" s="77" t="s">
        <v>3498</v>
      </c>
      <c r="H1905" s="77" t="s">
        <v>77</v>
      </c>
      <c r="I1905" s="77" t="s">
        <v>1521</v>
      </c>
      <c r="J1905" s="77" t="s">
        <v>3039</v>
      </c>
      <c r="K1905" s="77" t="s">
        <v>1522</v>
      </c>
      <c r="L1905" s="77" t="s">
        <v>2333</v>
      </c>
      <c r="M1905" s="77" t="s">
        <v>82</v>
      </c>
      <c r="N1905" s="77" t="s">
        <v>83</v>
      </c>
      <c r="Q1905" s="77" t="s">
        <v>111</v>
      </c>
      <c r="T1905" s="77" t="s">
        <v>1666</v>
      </c>
      <c r="U1905" s="77" t="s">
        <v>85</v>
      </c>
      <c r="V1905" s="80" t="s">
        <v>1402</v>
      </c>
      <c r="X1905" s="77" t="s">
        <v>1403</v>
      </c>
      <c r="Y1905" s="78" t="s">
        <v>101</v>
      </c>
      <c r="AA1905" s="77" t="s">
        <v>1568</v>
      </c>
      <c r="AB1905" s="77" t="s">
        <v>1521</v>
      </c>
      <c r="AC1905" s="77" t="s">
        <v>90</v>
      </c>
      <c r="AD1905" s="77" t="s">
        <v>274</v>
      </c>
      <c r="AE1905" s="77" t="s">
        <v>3499</v>
      </c>
    </row>
    <row r="1906" spans="1:31" x14ac:dyDescent="0.3">
      <c r="A1906" s="77" t="s">
        <v>3812</v>
      </c>
      <c r="B1906" s="77" t="s">
        <v>2335</v>
      </c>
      <c r="G1906" s="77" t="s">
        <v>3498</v>
      </c>
      <c r="H1906" s="77" t="s">
        <v>77</v>
      </c>
      <c r="I1906" s="77" t="s">
        <v>1521</v>
      </c>
      <c r="J1906" s="77" t="s">
        <v>3039</v>
      </c>
      <c r="K1906" s="77" t="s">
        <v>1522</v>
      </c>
      <c r="L1906" s="77" t="s">
        <v>2336</v>
      </c>
      <c r="M1906" s="77" t="s">
        <v>82</v>
      </c>
      <c r="N1906" s="77" t="s">
        <v>83</v>
      </c>
      <c r="Q1906" s="77" t="s">
        <v>111</v>
      </c>
      <c r="T1906" s="77" t="s">
        <v>1666</v>
      </c>
      <c r="U1906" s="77" t="s">
        <v>85</v>
      </c>
      <c r="V1906" s="80" t="s">
        <v>1402</v>
      </c>
      <c r="X1906" s="77" t="s">
        <v>1403</v>
      </c>
      <c r="Y1906" s="78" t="s">
        <v>101</v>
      </c>
      <c r="AA1906" s="77" t="s">
        <v>1568</v>
      </c>
      <c r="AB1906" s="77" t="s">
        <v>1521</v>
      </c>
      <c r="AC1906" s="77" t="s">
        <v>90</v>
      </c>
      <c r="AD1906" s="77" t="s">
        <v>274</v>
      </c>
      <c r="AE1906" s="77" t="s">
        <v>3499</v>
      </c>
    </row>
    <row r="1907" spans="1:31" x14ac:dyDescent="0.3">
      <c r="A1907" s="77" t="s">
        <v>3813</v>
      </c>
      <c r="B1907" s="77" t="s">
        <v>2338</v>
      </c>
      <c r="G1907" s="77" t="s">
        <v>3498</v>
      </c>
      <c r="H1907" s="77" t="s">
        <v>77</v>
      </c>
      <c r="I1907" s="77" t="s">
        <v>1521</v>
      </c>
      <c r="J1907" s="77" t="s">
        <v>3039</v>
      </c>
      <c r="K1907" s="77" t="s">
        <v>1522</v>
      </c>
      <c r="L1907" s="77" t="s">
        <v>2339</v>
      </c>
      <c r="M1907" s="77" t="s">
        <v>82</v>
      </c>
      <c r="N1907" s="77" t="s">
        <v>83</v>
      </c>
      <c r="Q1907" s="77" t="s">
        <v>111</v>
      </c>
      <c r="T1907" s="77" t="s">
        <v>1666</v>
      </c>
      <c r="U1907" s="77" t="s">
        <v>85</v>
      </c>
      <c r="V1907" s="80" t="s">
        <v>952</v>
      </c>
      <c r="X1907" s="77" t="s">
        <v>953</v>
      </c>
      <c r="Y1907" s="78" t="s">
        <v>101</v>
      </c>
      <c r="AA1907" s="77" t="s">
        <v>1568</v>
      </c>
      <c r="AB1907" s="77" t="s">
        <v>1521</v>
      </c>
      <c r="AC1907" s="77" t="s">
        <v>90</v>
      </c>
      <c r="AD1907" s="77" t="s">
        <v>954</v>
      </c>
      <c r="AE1907" s="77" t="s">
        <v>3499</v>
      </c>
    </row>
    <row r="1908" spans="1:31" x14ac:dyDescent="0.3">
      <c r="A1908" s="77" t="s">
        <v>3814</v>
      </c>
      <c r="B1908" s="77" t="s">
        <v>2341</v>
      </c>
      <c r="G1908" s="77" t="s">
        <v>3498</v>
      </c>
      <c r="H1908" s="77" t="s">
        <v>77</v>
      </c>
      <c r="I1908" s="77" t="s">
        <v>1521</v>
      </c>
      <c r="J1908" s="77" t="s">
        <v>3039</v>
      </c>
      <c r="K1908" s="77" t="s">
        <v>1522</v>
      </c>
      <c r="L1908" s="77" t="s">
        <v>2342</v>
      </c>
      <c r="M1908" s="77" t="s">
        <v>82</v>
      </c>
      <c r="N1908" s="77" t="s">
        <v>83</v>
      </c>
      <c r="Q1908" s="77" t="s">
        <v>111</v>
      </c>
      <c r="T1908" s="77" t="s">
        <v>1666</v>
      </c>
      <c r="U1908" s="77" t="s">
        <v>85</v>
      </c>
      <c r="V1908" s="80" t="s">
        <v>925</v>
      </c>
      <c r="X1908" s="77" t="s">
        <v>926</v>
      </c>
      <c r="Y1908" s="78" t="s">
        <v>101</v>
      </c>
      <c r="AA1908" s="77" t="s">
        <v>1568</v>
      </c>
      <c r="AB1908" s="77" t="s">
        <v>1521</v>
      </c>
      <c r="AC1908" s="77" t="s">
        <v>90</v>
      </c>
      <c r="AD1908" s="77" t="s">
        <v>274</v>
      </c>
      <c r="AE1908" s="77" t="s">
        <v>3499</v>
      </c>
    </row>
    <row r="1909" spans="1:31" x14ac:dyDescent="0.3">
      <c r="A1909" s="77" t="s">
        <v>3815</v>
      </c>
      <c r="B1909" s="77" t="s">
        <v>2344</v>
      </c>
      <c r="G1909" s="77" t="s">
        <v>3498</v>
      </c>
      <c r="H1909" s="77" t="s">
        <v>77</v>
      </c>
      <c r="I1909" s="77" t="s">
        <v>1521</v>
      </c>
      <c r="J1909" s="77" t="s">
        <v>3039</v>
      </c>
      <c r="K1909" s="77" t="s">
        <v>1522</v>
      </c>
      <c r="L1909" s="77" t="s">
        <v>1115</v>
      </c>
      <c r="M1909" s="77" t="s">
        <v>82</v>
      </c>
      <c r="N1909" s="77" t="s">
        <v>83</v>
      </c>
      <c r="Q1909" s="77" t="s">
        <v>111</v>
      </c>
      <c r="T1909" s="77" t="s">
        <v>1666</v>
      </c>
      <c r="U1909" s="77" t="s">
        <v>85</v>
      </c>
      <c r="V1909" s="80" t="s">
        <v>925</v>
      </c>
      <c r="X1909" s="77" t="s">
        <v>926</v>
      </c>
      <c r="Y1909" s="78" t="s">
        <v>101</v>
      </c>
      <c r="AA1909" s="77" t="s">
        <v>1568</v>
      </c>
      <c r="AB1909" s="77" t="s">
        <v>1521</v>
      </c>
      <c r="AC1909" s="77" t="s">
        <v>90</v>
      </c>
      <c r="AD1909" s="77" t="s">
        <v>274</v>
      </c>
      <c r="AE1909" s="77" t="s">
        <v>3499</v>
      </c>
    </row>
    <row r="1910" spans="1:31" x14ac:dyDescent="0.3">
      <c r="A1910" s="77" t="s">
        <v>3816</v>
      </c>
      <c r="B1910" s="77" t="s">
        <v>2346</v>
      </c>
      <c r="G1910" s="77" t="s">
        <v>3498</v>
      </c>
      <c r="H1910" s="77" t="s">
        <v>77</v>
      </c>
      <c r="I1910" s="77" t="s">
        <v>1521</v>
      </c>
      <c r="J1910" s="77" t="s">
        <v>3039</v>
      </c>
      <c r="K1910" s="77" t="s">
        <v>1522</v>
      </c>
      <c r="L1910" s="77" t="s">
        <v>1115</v>
      </c>
      <c r="M1910" s="77" t="s">
        <v>82</v>
      </c>
      <c r="N1910" s="77" t="s">
        <v>83</v>
      </c>
      <c r="Q1910" s="77" t="s">
        <v>111</v>
      </c>
      <c r="T1910" s="77" t="s">
        <v>1666</v>
      </c>
      <c r="U1910" s="77" t="s">
        <v>85</v>
      </c>
      <c r="V1910" s="80" t="s">
        <v>925</v>
      </c>
      <c r="X1910" s="77" t="s">
        <v>926</v>
      </c>
      <c r="Y1910" s="78" t="s">
        <v>101</v>
      </c>
      <c r="AA1910" s="77" t="s">
        <v>1568</v>
      </c>
      <c r="AB1910" s="77" t="s">
        <v>1521</v>
      </c>
      <c r="AC1910" s="77" t="s">
        <v>90</v>
      </c>
      <c r="AD1910" s="77" t="s">
        <v>274</v>
      </c>
      <c r="AE1910" s="77" t="s">
        <v>3499</v>
      </c>
    </row>
    <row r="1911" spans="1:31" x14ac:dyDescent="0.3">
      <c r="A1911" s="77" t="s">
        <v>3817</v>
      </c>
      <c r="B1911" s="77" t="s">
        <v>2348</v>
      </c>
      <c r="G1911" s="77" t="s">
        <v>3498</v>
      </c>
      <c r="H1911" s="77" t="s">
        <v>77</v>
      </c>
      <c r="I1911" s="77" t="s">
        <v>1521</v>
      </c>
      <c r="J1911" s="77" t="s">
        <v>3039</v>
      </c>
      <c r="K1911" s="77" t="s">
        <v>1522</v>
      </c>
      <c r="L1911" s="77" t="s">
        <v>1115</v>
      </c>
      <c r="M1911" s="77" t="s">
        <v>82</v>
      </c>
      <c r="N1911" s="77" t="s">
        <v>83</v>
      </c>
      <c r="Q1911" s="77" t="s">
        <v>111</v>
      </c>
      <c r="T1911" s="77" t="s">
        <v>1666</v>
      </c>
      <c r="U1911" s="77" t="s">
        <v>85</v>
      </c>
      <c r="V1911" s="80" t="s">
        <v>925</v>
      </c>
      <c r="X1911" s="77" t="s">
        <v>926</v>
      </c>
      <c r="Y1911" s="78" t="s">
        <v>101</v>
      </c>
      <c r="AA1911" s="77" t="s">
        <v>1568</v>
      </c>
      <c r="AB1911" s="77" t="s">
        <v>1521</v>
      </c>
      <c r="AC1911" s="77" t="s">
        <v>90</v>
      </c>
      <c r="AD1911" s="77" t="s">
        <v>274</v>
      </c>
      <c r="AE1911" s="77" t="s">
        <v>3499</v>
      </c>
    </row>
    <row r="1912" spans="1:31" x14ac:dyDescent="0.3">
      <c r="A1912" s="77" t="s">
        <v>3818</v>
      </c>
      <c r="B1912" s="77" t="s">
        <v>2350</v>
      </c>
      <c r="G1912" s="77" t="s">
        <v>3498</v>
      </c>
      <c r="H1912" s="77" t="s">
        <v>77</v>
      </c>
      <c r="I1912" s="77" t="s">
        <v>1521</v>
      </c>
      <c r="J1912" s="77" t="s">
        <v>3039</v>
      </c>
      <c r="K1912" s="77" t="s">
        <v>1522</v>
      </c>
      <c r="L1912" s="77" t="s">
        <v>1124</v>
      </c>
      <c r="M1912" s="77" t="s">
        <v>82</v>
      </c>
      <c r="N1912" s="77" t="s">
        <v>83</v>
      </c>
      <c r="Q1912" s="77" t="s">
        <v>111</v>
      </c>
      <c r="T1912" s="77" t="s">
        <v>1666</v>
      </c>
      <c r="U1912" s="77" t="s">
        <v>85</v>
      </c>
      <c r="V1912" s="80" t="s">
        <v>925</v>
      </c>
      <c r="X1912" s="77" t="s">
        <v>926</v>
      </c>
      <c r="Y1912" s="78" t="s">
        <v>101</v>
      </c>
      <c r="AA1912" s="77" t="s">
        <v>1568</v>
      </c>
      <c r="AB1912" s="77" t="s">
        <v>1521</v>
      </c>
      <c r="AC1912" s="77" t="s">
        <v>90</v>
      </c>
      <c r="AD1912" s="77" t="s">
        <v>274</v>
      </c>
      <c r="AE1912" s="77" t="s">
        <v>3499</v>
      </c>
    </row>
    <row r="1913" spans="1:31" x14ac:dyDescent="0.3">
      <c r="A1913" s="77" t="s">
        <v>3819</v>
      </c>
      <c r="B1913" s="77" t="s">
        <v>2352</v>
      </c>
      <c r="G1913" s="77" t="s">
        <v>3498</v>
      </c>
      <c r="H1913" s="77" t="s">
        <v>77</v>
      </c>
      <c r="I1913" s="77" t="s">
        <v>1521</v>
      </c>
      <c r="J1913" s="77" t="s">
        <v>3039</v>
      </c>
      <c r="K1913" s="77" t="s">
        <v>1522</v>
      </c>
      <c r="L1913" s="77" t="s">
        <v>1127</v>
      </c>
      <c r="M1913" s="77" t="s">
        <v>82</v>
      </c>
      <c r="N1913" s="77" t="s">
        <v>83</v>
      </c>
      <c r="Q1913" s="77" t="s">
        <v>111</v>
      </c>
      <c r="T1913" s="77" t="s">
        <v>1666</v>
      </c>
      <c r="U1913" s="77" t="s">
        <v>85</v>
      </c>
      <c r="V1913" s="80" t="s">
        <v>896</v>
      </c>
      <c r="X1913" s="77" t="s">
        <v>897</v>
      </c>
      <c r="Y1913" s="78" t="s">
        <v>88</v>
      </c>
      <c r="AA1913" s="77" t="s">
        <v>1568</v>
      </c>
      <c r="AB1913" s="77" t="s">
        <v>1521</v>
      </c>
      <c r="AC1913" s="77" t="s">
        <v>90</v>
      </c>
      <c r="AD1913" s="77" t="s">
        <v>91</v>
      </c>
      <c r="AE1913" s="77" t="s">
        <v>3499</v>
      </c>
    </row>
    <row r="1914" spans="1:31" x14ac:dyDescent="0.3">
      <c r="A1914" s="77" t="s">
        <v>3820</v>
      </c>
      <c r="B1914" s="77" t="s">
        <v>2354</v>
      </c>
      <c r="G1914" s="77" t="s">
        <v>3498</v>
      </c>
      <c r="H1914" s="77" t="s">
        <v>77</v>
      </c>
      <c r="I1914" s="77" t="s">
        <v>1521</v>
      </c>
      <c r="J1914" s="77" t="s">
        <v>3039</v>
      </c>
      <c r="K1914" s="77" t="s">
        <v>1522</v>
      </c>
      <c r="L1914" s="77" t="s">
        <v>2355</v>
      </c>
      <c r="M1914" s="77" t="s">
        <v>82</v>
      </c>
      <c r="N1914" s="77" t="s">
        <v>83</v>
      </c>
      <c r="Q1914" s="77" t="s">
        <v>111</v>
      </c>
      <c r="T1914" s="77" t="s">
        <v>1666</v>
      </c>
      <c r="U1914" s="77" t="s">
        <v>85</v>
      </c>
      <c r="V1914" s="80" t="s">
        <v>896</v>
      </c>
      <c r="X1914" s="77" t="s">
        <v>897</v>
      </c>
      <c r="Y1914" s="78" t="s">
        <v>88</v>
      </c>
      <c r="AA1914" s="77" t="s">
        <v>1568</v>
      </c>
      <c r="AB1914" s="77" t="s">
        <v>1521</v>
      </c>
      <c r="AC1914" s="77" t="s">
        <v>90</v>
      </c>
      <c r="AD1914" s="77" t="s">
        <v>91</v>
      </c>
      <c r="AE1914" s="77" t="s">
        <v>3499</v>
      </c>
    </row>
    <row r="1915" spans="1:31" x14ac:dyDescent="0.3">
      <c r="A1915" s="77" t="s">
        <v>3821</v>
      </c>
      <c r="B1915" s="77" t="s">
        <v>2357</v>
      </c>
      <c r="G1915" s="77" t="s">
        <v>3498</v>
      </c>
      <c r="H1915" s="77" t="s">
        <v>77</v>
      </c>
      <c r="I1915" s="77" t="s">
        <v>1521</v>
      </c>
      <c r="J1915" s="77" t="s">
        <v>3039</v>
      </c>
      <c r="K1915" s="77" t="s">
        <v>1522</v>
      </c>
      <c r="L1915" s="77" t="s">
        <v>1134</v>
      </c>
      <c r="M1915" s="77" t="s">
        <v>82</v>
      </c>
      <c r="N1915" s="77" t="s">
        <v>83</v>
      </c>
      <c r="Q1915" s="77" t="s">
        <v>111</v>
      </c>
      <c r="T1915" s="77" t="s">
        <v>1666</v>
      </c>
      <c r="U1915" s="77" t="s">
        <v>85</v>
      </c>
      <c r="V1915" s="80" t="s">
        <v>930</v>
      </c>
      <c r="X1915" s="77" t="s">
        <v>931</v>
      </c>
      <c r="Y1915" s="78" t="s">
        <v>88</v>
      </c>
      <c r="AA1915" s="77" t="s">
        <v>1568</v>
      </c>
      <c r="AB1915" s="77" t="s">
        <v>1521</v>
      </c>
      <c r="AC1915" s="77" t="s">
        <v>90</v>
      </c>
      <c r="AD1915" s="77" t="s">
        <v>91</v>
      </c>
      <c r="AE1915" s="77" t="s">
        <v>3499</v>
      </c>
    </row>
    <row r="1916" spans="1:31" x14ac:dyDescent="0.3">
      <c r="A1916" s="77" t="s">
        <v>3822</v>
      </c>
      <c r="B1916" s="77" t="s">
        <v>2359</v>
      </c>
      <c r="G1916" s="77" t="s">
        <v>3498</v>
      </c>
      <c r="H1916" s="77" t="s">
        <v>77</v>
      </c>
      <c r="I1916" s="77" t="s">
        <v>1521</v>
      </c>
      <c r="J1916" s="77" t="s">
        <v>3039</v>
      </c>
      <c r="K1916" s="77" t="s">
        <v>1522</v>
      </c>
      <c r="L1916" s="77" t="s">
        <v>2360</v>
      </c>
      <c r="M1916" s="77" t="s">
        <v>82</v>
      </c>
      <c r="N1916" s="77" t="s">
        <v>83</v>
      </c>
      <c r="Q1916" s="77" t="s">
        <v>111</v>
      </c>
      <c r="T1916" s="77" t="s">
        <v>1666</v>
      </c>
      <c r="U1916" s="77" t="s">
        <v>85</v>
      </c>
      <c r="V1916" s="80" t="s">
        <v>1402</v>
      </c>
      <c r="X1916" s="77" t="s">
        <v>1403</v>
      </c>
      <c r="Y1916" s="78" t="s">
        <v>101</v>
      </c>
      <c r="AA1916" s="77" t="s">
        <v>1568</v>
      </c>
      <c r="AB1916" s="77" t="s">
        <v>1521</v>
      </c>
      <c r="AC1916" s="77" t="s">
        <v>90</v>
      </c>
      <c r="AD1916" s="77" t="s">
        <v>274</v>
      </c>
      <c r="AE1916" s="77" t="s">
        <v>3499</v>
      </c>
    </row>
    <row r="1917" spans="1:31" x14ac:dyDescent="0.3">
      <c r="A1917" s="77" t="s">
        <v>3823</v>
      </c>
      <c r="B1917" s="77" t="s">
        <v>2362</v>
      </c>
      <c r="G1917" s="77" t="s">
        <v>3498</v>
      </c>
      <c r="H1917" s="77" t="s">
        <v>77</v>
      </c>
      <c r="I1917" s="77" t="s">
        <v>1521</v>
      </c>
      <c r="J1917" s="77" t="s">
        <v>3039</v>
      </c>
      <c r="K1917" s="77" t="s">
        <v>1522</v>
      </c>
      <c r="L1917" s="77" t="s">
        <v>2360</v>
      </c>
      <c r="M1917" s="77" t="s">
        <v>82</v>
      </c>
      <c r="N1917" s="77" t="s">
        <v>83</v>
      </c>
      <c r="Q1917" s="77" t="s">
        <v>111</v>
      </c>
      <c r="T1917" s="77" t="s">
        <v>1666</v>
      </c>
      <c r="U1917" s="77" t="s">
        <v>85</v>
      </c>
      <c r="V1917" s="80" t="s">
        <v>1402</v>
      </c>
      <c r="X1917" s="77" t="s">
        <v>1403</v>
      </c>
      <c r="Y1917" s="78" t="s">
        <v>101</v>
      </c>
      <c r="AA1917" s="77" t="s">
        <v>1568</v>
      </c>
      <c r="AB1917" s="77" t="s">
        <v>1521</v>
      </c>
      <c r="AC1917" s="77" t="s">
        <v>90</v>
      </c>
      <c r="AD1917" s="77" t="s">
        <v>274</v>
      </c>
      <c r="AE1917" s="77" t="s">
        <v>3499</v>
      </c>
    </row>
    <row r="1918" spans="1:31" x14ac:dyDescent="0.3">
      <c r="A1918" s="77" t="s">
        <v>3824</v>
      </c>
      <c r="B1918" s="77" t="s">
        <v>2364</v>
      </c>
      <c r="G1918" s="77" t="s">
        <v>3498</v>
      </c>
      <c r="H1918" s="77" t="s">
        <v>77</v>
      </c>
      <c r="I1918" s="77" t="s">
        <v>1521</v>
      </c>
      <c r="J1918" s="77" t="s">
        <v>3039</v>
      </c>
      <c r="K1918" s="77" t="s">
        <v>1522</v>
      </c>
      <c r="L1918" s="77" t="s">
        <v>2365</v>
      </c>
      <c r="M1918" s="77" t="s">
        <v>82</v>
      </c>
      <c r="N1918" s="77" t="s">
        <v>83</v>
      </c>
      <c r="Q1918" s="77" t="s">
        <v>111</v>
      </c>
      <c r="T1918" s="77" t="s">
        <v>1666</v>
      </c>
      <c r="U1918" s="77" t="s">
        <v>85</v>
      </c>
      <c r="V1918" s="80" t="s">
        <v>1402</v>
      </c>
      <c r="X1918" s="77" t="s">
        <v>1403</v>
      </c>
      <c r="Y1918" s="78" t="s">
        <v>101</v>
      </c>
      <c r="AA1918" s="77" t="s">
        <v>1568</v>
      </c>
      <c r="AB1918" s="77" t="s">
        <v>1521</v>
      </c>
      <c r="AC1918" s="77" t="s">
        <v>90</v>
      </c>
      <c r="AD1918" s="77" t="s">
        <v>274</v>
      </c>
      <c r="AE1918" s="77" t="s">
        <v>3499</v>
      </c>
    </row>
    <row r="1919" spans="1:31" x14ac:dyDescent="0.3">
      <c r="A1919" s="77" t="s">
        <v>3825</v>
      </c>
      <c r="B1919" s="77" t="s">
        <v>2367</v>
      </c>
      <c r="G1919" s="77" t="s">
        <v>3498</v>
      </c>
      <c r="H1919" s="77" t="s">
        <v>77</v>
      </c>
      <c r="I1919" s="77" t="s">
        <v>1521</v>
      </c>
      <c r="J1919" s="77" t="s">
        <v>3039</v>
      </c>
      <c r="K1919" s="77" t="s">
        <v>1522</v>
      </c>
      <c r="L1919" s="77" t="s">
        <v>2365</v>
      </c>
      <c r="M1919" s="77" t="s">
        <v>82</v>
      </c>
      <c r="N1919" s="77" t="s">
        <v>83</v>
      </c>
      <c r="Q1919" s="77" t="s">
        <v>111</v>
      </c>
      <c r="T1919" s="77" t="s">
        <v>1666</v>
      </c>
      <c r="U1919" s="77" t="s">
        <v>85</v>
      </c>
      <c r="V1919" s="80" t="s">
        <v>1402</v>
      </c>
      <c r="X1919" s="77" t="s">
        <v>1403</v>
      </c>
      <c r="Y1919" s="78" t="s">
        <v>101</v>
      </c>
      <c r="AA1919" s="77" t="s">
        <v>1568</v>
      </c>
      <c r="AB1919" s="77" t="s">
        <v>1521</v>
      </c>
      <c r="AC1919" s="77" t="s">
        <v>90</v>
      </c>
      <c r="AD1919" s="77" t="s">
        <v>274</v>
      </c>
      <c r="AE1919" s="77" t="s">
        <v>3499</v>
      </c>
    </row>
    <row r="1920" spans="1:31" x14ac:dyDescent="0.3">
      <c r="A1920" s="77" t="s">
        <v>3826</v>
      </c>
      <c r="B1920" s="77" t="s">
        <v>2369</v>
      </c>
      <c r="G1920" s="77" t="s">
        <v>3498</v>
      </c>
      <c r="H1920" s="77" t="s">
        <v>77</v>
      </c>
      <c r="I1920" s="77" t="s">
        <v>1521</v>
      </c>
      <c r="J1920" s="77" t="s">
        <v>3039</v>
      </c>
      <c r="K1920" s="77" t="s">
        <v>1522</v>
      </c>
      <c r="L1920" s="77" t="s">
        <v>2370</v>
      </c>
      <c r="M1920" s="77" t="s">
        <v>82</v>
      </c>
      <c r="N1920" s="77" t="s">
        <v>83</v>
      </c>
      <c r="Q1920" s="77" t="s">
        <v>111</v>
      </c>
      <c r="T1920" s="77" t="s">
        <v>1666</v>
      </c>
      <c r="U1920" s="77" t="s">
        <v>85</v>
      </c>
      <c r="V1920" s="80" t="s">
        <v>952</v>
      </c>
      <c r="X1920" s="77" t="s">
        <v>953</v>
      </c>
      <c r="Y1920" s="78" t="s">
        <v>101</v>
      </c>
      <c r="AA1920" s="77" t="s">
        <v>1568</v>
      </c>
      <c r="AB1920" s="77" t="s">
        <v>1521</v>
      </c>
      <c r="AC1920" s="77" t="s">
        <v>90</v>
      </c>
      <c r="AD1920" s="77" t="s">
        <v>954</v>
      </c>
      <c r="AE1920" s="77" t="s">
        <v>3499</v>
      </c>
    </row>
    <row r="1921" spans="1:33" x14ac:dyDescent="0.3">
      <c r="A1921" s="77" t="s">
        <v>3827</v>
      </c>
      <c r="B1921" s="77" t="s">
        <v>2372</v>
      </c>
      <c r="G1921" s="77" t="s">
        <v>3498</v>
      </c>
      <c r="H1921" s="77" t="s">
        <v>77</v>
      </c>
      <c r="I1921" s="77" t="s">
        <v>1521</v>
      </c>
      <c r="J1921" s="77" t="s">
        <v>3039</v>
      </c>
      <c r="K1921" s="77" t="s">
        <v>1522</v>
      </c>
      <c r="L1921" s="77" t="s">
        <v>2370</v>
      </c>
      <c r="M1921" s="77" t="s">
        <v>82</v>
      </c>
      <c r="N1921" s="77" t="s">
        <v>83</v>
      </c>
      <c r="Q1921" s="77" t="s">
        <v>111</v>
      </c>
      <c r="T1921" s="77" t="s">
        <v>1666</v>
      </c>
      <c r="U1921" s="77" t="s">
        <v>85</v>
      </c>
      <c r="V1921" s="80" t="s">
        <v>952</v>
      </c>
      <c r="X1921" s="77" t="s">
        <v>953</v>
      </c>
      <c r="Y1921" s="78" t="s">
        <v>101</v>
      </c>
      <c r="AA1921" s="77" t="s">
        <v>1568</v>
      </c>
      <c r="AB1921" s="77" t="s">
        <v>1521</v>
      </c>
      <c r="AC1921" s="77" t="s">
        <v>90</v>
      </c>
      <c r="AD1921" s="77" t="s">
        <v>954</v>
      </c>
      <c r="AE1921" s="77" t="s">
        <v>3499</v>
      </c>
    </row>
    <row r="1922" spans="1:33" x14ac:dyDescent="0.3">
      <c r="A1922" s="77" t="s">
        <v>3828</v>
      </c>
      <c r="B1922" s="77" t="s">
        <v>2374</v>
      </c>
      <c r="G1922" s="77" t="s">
        <v>3498</v>
      </c>
      <c r="H1922" s="77" t="s">
        <v>77</v>
      </c>
      <c r="I1922" s="77" t="s">
        <v>1521</v>
      </c>
      <c r="J1922" s="77" t="s">
        <v>3039</v>
      </c>
      <c r="K1922" s="77" t="s">
        <v>1522</v>
      </c>
      <c r="L1922" s="77" t="s">
        <v>2370</v>
      </c>
      <c r="M1922" s="77" t="s">
        <v>82</v>
      </c>
      <c r="N1922" s="77" t="s">
        <v>83</v>
      </c>
      <c r="Q1922" s="77" t="s">
        <v>111</v>
      </c>
      <c r="T1922" s="77" t="s">
        <v>1666</v>
      </c>
      <c r="U1922" s="77" t="s">
        <v>85</v>
      </c>
      <c r="V1922" s="80" t="s">
        <v>952</v>
      </c>
      <c r="X1922" s="77" t="s">
        <v>953</v>
      </c>
      <c r="Y1922" s="78" t="s">
        <v>101</v>
      </c>
      <c r="AA1922" s="77" t="s">
        <v>1568</v>
      </c>
      <c r="AB1922" s="77" t="s">
        <v>1521</v>
      </c>
      <c r="AC1922" s="77" t="s">
        <v>90</v>
      </c>
      <c r="AD1922" s="77" t="s">
        <v>954</v>
      </c>
      <c r="AE1922" s="77" t="s">
        <v>3499</v>
      </c>
    </row>
    <row r="1923" spans="1:33" x14ac:dyDescent="0.3">
      <c r="A1923" s="77" t="s">
        <v>3829</v>
      </c>
      <c r="B1923" s="77" t="s">
        <v>2376</v>
      </c>
      <c r="G1923" s="77" t="s">
        <v>3498</v>
      </c>
      <c r="H1923" s="77" t="s">
        <v>77</v>
      </c>
      <c r="I1923" s="77" t="s">
        <v>1521</v>
      </c>
      <c r="J1923" s="77" t="s">
        <v>3039</v>
      </c>
      <c r="K1923" s="77" t="s">
        <v>1522</v>
      </c>
      <c r="L1923" s="77" t="s">
        <v>2370</v>
      </c>
      <c r="M1923" s="77" t="s">
        <v>82</v>
      </c>
      <c r="N1923" s="77" t="s">
        <v>83</v>
      </c>
      <c r="Q1923" s="77" t="s">
        <v>111</v>
      </c>
      <c r="T1923" s="77" t="s">
        <v>1666</v>
      </c>
      <c r="U1923" s="77" t="s">
        <v>85</v>
      </c>
      <c r="V1923" s="80" t="s">
        <v>952</v>
      </c>
      <c r="X1923" s="77" t="s">
        <v>953</v>
      </c>
      <c r="Y1923" s="78" t="s">
        <v>101</v>
      </c>
      <c r="AA1923" s="77" t="s">
        <v>1568</v>
      </c>
      <c r="AB1923" s="77" t="s">
        <v>1521</v>
      </c>
      <c r="AC1923" s="77" t="s">
        <v>90</v>
      </c>
      <c r="AD1923" s="77" t="s">
        <v>954</v>
      </c>
      <c r="AE1923" s="77" t="s">
        <v>3499</v>
      </c>
    </row>
    <row r="1924" spans="1:33" x14ac:dyDescent="0.3">
      <c r="A1924" s="77" t="s">
        <v>3830</v>
      </c>
      <c r="B1924" s="77" t="s">
        <v>2378</v>
      </c>
      <c r="G1924" s="77" t="s">
        <v>3498</v>
      </c>
      <c r="H1924" s="77" t="s">
        <v>77</v>
      </c>
      <c r="I1924" s="77" t="s">
        <v>1521</v>
      </c>
      <c r="J1924" s="77" t="s">
        <v>3039</v>
      </c>
      <c r="K1924" s="77" t="s">
        <v>1522</v>
      </c>
      <c r="L1924" s="77" t="s">
        <v>2379</v>
      </c>
      <c r="M1924" s="77" t="s">
        <v>82</v>
      </c>
      <c r="N1924" s="77" t="s">
        <v>83</v>
      </c>
      <c r="Q1924" s="77" t="s">
        <v>111</v>
      </c>
      <c r="T1924" s="77" t="s">
        <v>1666</v>
      </c>
      <c r="U1924" s="77" t="s">
        <v>85</v>
      </c>
      <c r="V1924" s="80" t="s">
        <v>952</v>
      </c>
      <c r="X1924" s="77" t="s">
        <v>953</v>
      </c>
      <c r="Y1924" s="78" t="s">
        <v>101</v>
      </c>
      <c r="AA1924" s="77" t="s">
        <v>1568</v>
      </c>
      <c r="AB1924" s="77" t="s">
        <v>1521</v>
      </c>
      <c r="AC1924" s="77" t="s">
        <v>90</v>
      </c>
      <c r="AD1924" s="77" t="s">
        <v>954</v>
      </c>
      <c r="AE1924" s="77" t="s">
        <v>3499</v>
      </c>
    </row>
    <row r="1925" spans="1:33" x14ac:dyDescent="0.3">
      <c r="A1925" s="77" t="s">
        <v>3831</v>
      </c>
      <c r="B1925" s="77" t="s">
        <v>2381</v>
      </c>
      <c r="G1925" s="77" t="s">
        <v>3498</v>
      </c>
      <c r="H1925" s="77" t="s">
        <v>77</v>
      </c>
      <c r="I1925" s="77" t="s">
        <v>1521</v>
      </c>
      <c r="J1925" s="77" t="s">
        <v>3039</v>
      </c>
      <c r="K1925" s="77" t="s">
        <v>1522</v>
      </c>
      <c r="L1925" s="77" t="s">
        <v>2382</v>
      </c>
      <c r="M1925" s="77" t="s">
        <v>82</v>
      </c>
      <c r="N1925" s="77" t="s">
        <v>83</v>
      </c>
      <c r="Q1925" s="77" t="s">
        <v>111</v>
      </c>
      <c r="T1925" s="77" t="s">
        <v>1666</v>
      </c>
      <c r="U1925" s="77" t="s">
        <v>85</v>
      </c>
      <c r="V1925" s="80" t="s">
        <v>1402</v>
      </c>
      <c r="X1925" s="77" t="s">
        <v>1403</v>
      </c>
      <c r="Y1925" s="78" t="s">
        <v>101</v>
      </c>
      <c r="AA1925" s="77" t="s">
        <v>1568</v>
      </c>
      <c r="AB1925" s="77" t="s">
        <v>1521</v>
      </c>
      <c r="AC1925" s="77" t="s">
        <v>90</v>
      </c>
      <c r="AD1925" s="77" t="s">
        <v>274</v>
      </c>
      <c r="AE1925" s="77" t="s">
        <v>3499</v>
      </c>
    </row>
    <row r="1926" spans="1:33" x14ac:dyDescent="0.3">
      <c r="A1926" s="77" t="s">
        <v>3832</v>
      </c>
      <c r="B1926" s="77" t="s">
        <v>2384</v>
      </c>
      <c r="G1926" s="77" t="s">
        <v>3498</v>
      </c>
      <c r="H1926" s="77" t="s">
        <v>77</v>
      </c>
      <c r="I1926" s="77" t="s">
        <v>1521</v>
      </c>
      <c r="J1926" s="77" t="s">
        <v>3039</v>
      </c>
      <c r="K1926" s="77" t="s">
        <v>1522</v>
      </c>
      <c r="L1926" s="77" t="s">
        <v>2382</v>
      </c>
      <c r="M1926" s="77" t="s">
        <v>82</v>
      </c>
      <c r="N1926" s="77" t="s">
        <v>83</v>
      </c>
      <c r="Q1926" s="77" t="s">
        <v>111</v>
      </c>
      <c r="T1926" s="77" t="s">
        <v>1666</v>
      </c>
      <c r="U1926" s="77" t="s">
        <v>85</v>
      </c>
      <c r="V1926" s="80" t="s">
        <v>1402</v>
      </c>
      <c r="X1926" s="77" t="s">
        <v>1403</v>
      </c>
      <c r="Y1926" s="78" t="s">
        <v>101</v>
      </c>
      <c r="AA1926" s="77" t="s">
        <v>1568</v>
      </c>
      <c r="AB1926" s="77" t="s">
        <v>1521</v>
      </c>
      <c r="AC1926" s="77" t="s">
        <v>90</v>
      </c>
      <c r="AD1926" s="77" t="s">
        <v>274</v>
      </c>
      <c r="AE1926" s="77" t="s">
        <v>3499</v>
      </c>
    </row>
    <row r="1927" spans="1:33" x14ac:dyDescent="0.3">
      <c r="A1927" s="77" t="s">
        <v>3833</v>
      </c>
      <c r="B1927" s="77" t="s">
        <v>2386</v>
      </c>
      <c r="G1927" s="77" t="s">
        <v>3498</v>
      </c>
      <c r="H1927" s="77" t="s">
        <v>77</v>
      </c>
      <c r="I1927" s="77" t="s">
        <v>1521</v>
      </c>
      <c r="J1927" s="77" t="s">
        <v>3039</v>
      </c>
      <c r="K1927" s="77" t="s">
        <v>1522</v>
      </c>
      <c r="L1927" s="77" t="s">
        <v>2382</v>
      </c>
      <c r="M1927" s="77" t="s">
        <v>82</v>
      </c>
      <c r="N1927" s="77" t="s">
        <v>83</v>
      </c>
      <c r="Q1927" s="77" t="s">
        <v>111</v>
      </c>
      <c r="T1927" s="77" t="s">
        <v>1666</v>
      </c>
      <c r="U1927" s="77" t="s">
        <v>85</v>
      </c>
      <c r="V1927" s="80" t="s">
        <v>1402</v>
      </c>
      <c r="X1927" s="77" t="s">
        <v>1403</v>
      </c>
      <c r="Y1927" s="78" t="s">
        <v>101</v>
      </c>
      <c r="AA1927" s="77" t="s">
        <v>1568</v>
      </c>
      <c r="AB1927" s="77" t="s">
        <v>1521</v>
      </c>
      <c r="AC1927" s="77" t="s">
        <v>90</v>
      </c>
      <c r="AD1927" s="77" t="s">
        <v>274</v>
      </c>
      <c r="AE1927" s="77" t="s">
        <v>3499</v>
      </c>
    </row>
    <row r="1928" spans="1:33" x14ac:dyDescent="0.3">
      <c r="A1928" s="77" t="s">
        <v>3834</v>
      </c>
      <c r="B1928" s="77" t="s">
        <v>2388</v>
      </c>
      <c r="G1928" s="77" t="s">
        <v>3498</v>
      </c>
      <c r="H1928" s="77" t="s">
        <v>77</v>
      </c>
      <c r="I1928" s="77" t="s">
        <v>1521</v>
      </c>
      <c r="J1928" s="77" t="s">
        <v>3039</v>
      </c>
      <c r="K1928" s="77" t="s">
        <v>1522</v>
      </c>
      <c r="L1928" s="77" t="s">
        <v>2382</v>
      </c>
      <c r="M1928" s="77" t="s">
        <v>82</v>
      </c>
      <c r="N1928" s="77" t="s">
        <v>83</v>
      </c>
      <c r="Q1928" s="77" t="s">
        <v>111</v>
      </c>
      <c r="T1928" s="77" t="s">
        <v>1666</v>
      </c>
      <c r="U1928" s="77" t="s">
        <v>85</v>
      </c>
      <c r="V1928" s="80" t="s">
        <v>1402</v>
      </c>
      <c r="X1928" s="77" t="s">
        <v>1403</v>
      </c>
      <c r="Y1928" s="78" t="s">
        <v>101</v>
      </c>
      <c r="AA1928" s="77" t="s">
        <v>1568</v>
      </c>
      <c r="AB1928" s="77" t="s">
        <v>1521</v>
      </c>
      <c r="AC1928" s="77" t="s">
        <v>90</v>
      </c>
      <c r="AD1928" s="77" t="s">
        <v>274</v>
      </c>
      <c r="AE1928" s="77" t="s">
        <v>3499</v>
      </c>
    </row>
    <row r="1929" spans="1:33" x14ac:dyDescent="0.3">
      <c r="A1929" s="77" t="s">
        <v>3835</v>
      </c>
      <c r="B1929" s="77" t="s">
        <v>2390</v>
      </c>
      <c r="G1929" s="77" t="s">
        <v>3498</v>
      </c>
      <c r="H1929" s="77" t="s">
        <v>77</v>
      </c>
      <c r="I1929" s="77" t="s">
        <v>1521</v>
      </c>
      <c r="J1929" s="77" t="s">
        <v>3039</v>
      </c>
      <c r="K1929" s="77" t="s">
        <v>1522</v>
      </c>
      <c r="L1929" s="77" t="s">
        <v>2382</v>
      </c>
      <c r="M1929" s="77" t="s">
        <v>82</v>
      </c>
      <c r="N1929" s="77" t="s">
        <v>83</v>
      </c>
      <c r="Q1929" s="77" t="s">
        <v>111</v>
      </c>
      <c r="T1929" s="77" t="s">
        <v>1666</v>
      </c>
      <c r="U1929" s="77" t="s">
        <v>85</v>
      </c>
      <c r="V1929" s="80" t="s">
        <v>1402</v>
      </c>
      <c r="X1929" s="77" t="s">
        <v>1403</v>
      </c>
      <c r="Y1929" s="78" t="s">
        <v>101</v>
      </c>
      <c r="AA1929" s="77" t="s">
        <v>1568</v>
      </c>
      <c r="AB1929" s="77" t="s">
        <v>1521</v>
      </c>
      <c r="AC1929" s="77" t="s">
        <v>90</v>
      </c>
      <c r="AD1929" s="77" t="s">
        <v>274</v>
      </c>
      <c r="AE1929" s="77" t="s">
        <v>3499</v>
      </c>
    </row>
    <row r="1930" spans="1:33" x14ac:dyDescent="0.3">
      <c r="A1930" s="77" t="s">
        <v>3836</v>
      </c>
      <c r="B1930" s="77" t="s">
        <v>2392</v>
      </c>
      <c r="G1930" s="77" t="s">
        <v>3498</v>
      </c>
      <c r="H1930" s="77" t="s">
        <v>77</v>
      </c>
      <c r="I1930" s="77" t="s">
        <v>1521</v>
      </c>
      <c r="J1930" s="77" t="s">
        <v>3039</v>
      </c>
      <c r="K1930" s="77" t="s">
        <v>1522</v>
      </c>
      <c r="L1930" s="77" t="s">
        <v>2393</v>
      </c>
      <c r="M1930" s="77" t="s">
        <v>82</v>
      </c>
      <c r="N1930" s="77" t="s">
        <v>83</v>
      </c>
      <c r="Q1930" s="77" t="s">
        <v>111</v>
      </c>
      <c r="T1930" s="77" t="s">
        <v>1666</v>
      </c>
      <c r="U1930" s="77" t="s">
        <v>85</v>
      </c>
      <c r="V1930" s="80" t="s">
        <v>1402</v>
      </c>
      <c r="X1930" s="77" t="s">
        <v>1403</v>
      </c>
      <c r="Y1930" s="78" t="s">
        <v>101</v>
      </c>
      <c r="AA1930" s="77" t="s">
        <v>1568</v>
      </c>
      <c r="AB1930" s="77" t="s">
        <v>1521</v>
      </c>
      <c r="AC1930" s="77" t="s">
        <v>90</v>
      </c>
      <c r="AD1930" s="77" t="s">
        <v>274</v>
      </c>
      <c r="AE1930" s="77" t="s">
        <v>3499</v>
      </c>
    </row>
    <row r="1931" spans="1:33" x14ac:dyDescent="0.3">
      <c r="A1931" s="77" t="s">
        <v>3837</v>
      </c>
      <c r="B1931" s="77" t="s">
        <v>2395</v>
      </c>
      <c r="G1931" s="77" t="s">
        <v>3498</v>
      </c>
      <c r="H1931" s="77" t="s">
        <v>77</v>
      </c>
      <c r="I1931" s="77" t="s">
        <v>1521</v>
      </c>
      <c r="J1931" s="77" t="s">
        <v>3039</v>
      </c>
      <c r="K1931" s="77" t="s">
        <v>1522</v>
      </c>
      <c r="L1931" s="77" t="s">
        <v>2393</v>
      </c>
      <c r="M1931" s="77" t="s">
        <v>82</v>
      </c>
      <c r="N1931" s="77" t="s">
        <v>83</v>
      </c>
      <c r="Q1931" s="77" t="s">
        <v>111</v>
      </c>
      <c r="T1931" s="77" t="s">
        <v>1666</v>
      </c>
      <c r="U1931" s="77" t="s">
        <v>85</v>
      </c>
      <c r="V1931" s="80" t="s">
        <v>1402</v>
      </c>
      <c r="X1931" s="77" t="s">
        <v>1403</v>
      </c>
      <c r="Y1931" s="78" t="s">
        <v>101</v>
      </c>
      <c r="AA1931" s="77" t="s">
        <v>1568</v>
      </c>
      <c r="AB1931" s="77" t="s">
        <v>1521</v>
      </c>
      <c r="AC1931" s="77" t="s">
        <v>90</v>
      </c>
      <c r="AD1931" s="77" t="s">
        <v>274</v>
      </c>
      <c r="AE1931" s="77" t="s">
        <v>3499</v>
      </c>
    </row>
    <row r="1932" spans="1:33" x14ac:dyDescent="0.3">
      <c r="A1932" s="77" t="s">
        <v>3838</v>
      </c>
      <c r="B1932" s="77" t="s">
        <v>2397</v>
      </c>
      <c r="G1932" s="77" t="s">
        <v>3498</v>
      </c>
      <c r="H1932" s="77" t="s">
        <v>77</v>
      </c>
      <c r="I1932" s="77" t="s">
        <v>1521</v>
      </c>
      <c r="J1932" s="77" t="s">
        <v>3039</v>
      </c>
      <c r="K1932" s="77" t="s">
        <v>1522</v>
      </c>
      <c r="L1932" s="77" t="s">
        <v>2393</v>
      </c>
      <c r="M1932" s="77" t="s">
        <v>82</v>
      </c>
      <c r="N1932" s="77" t="s">
        <v>83</v>
      </c>
      <c r="Q1932" s="77" t="s">
        <v>111</v>
      </c>
      <c r="T1932" s="77" t="s">
        <v>1666</v>
      </c>
      <c r="U1932" s="77" t="s">
        <v>85</v>
      </c>
      <c r="V1932" s="80" t="s">
        <v>1402</v>
      </c>
      <c r="X1932" s="77" t="s">
        <v>1403</v>
      </c>
      <c r="Y1932" s="78" t="s">
        <v>101</v>
      </c>
      <c r="AA1932" s="77" t="s">
        <v>1568</v>
      </c>
      <c r="AB1932" s="77" t="s">
        <v>1521</v>
      </c>
      <c r="AC1932" s="77" t="s">
        <v>90</v>
      </c>
      <c r="AD1932" s="77" t="s">
        <v>274</v>
      </c>
      <c r="AE1932" s="77" t="s">
        <v>3499</v>
      </c>
    </row>
    <row r="1933" spans="1:33" x14ac:dyDescent="0.3">
      <c r="A1933" s="77" t="s">
        <v>3839</v>
      </c>
      <c r="B1933" s="77" t="s">
        <v>2399</v>
      </c>
      <c r="G1933" s="77" t="s">
        <v>3498</v>
      </c>
      <c r="H1933" s="77" t="s">
        <v>77</v>
      </c>
      <c r="I1933" s="77" t="s">
        <v>1521</v>
      </c>
      <c r="J1933" s="77" t="s">
        <v>3039</v>
      </c>
      <c r="K1933" s="77" t="s">
        <v>1522</v>
      </c>
      <c r="L1933" s="77" t="s">
        <v>2393</v>
      </c>
      <c r="M1933" s="77" t="s">
        <v>82</v>
      </c>
      <c r="N1933" s="77" t="s">
        <v>83</v>
      </c>
      <c r="Q1933" s="77" t="s">
        <v>111</v>
      </c>
      <c r="T1933" s="77" t="s">
        <v>1666</v>
      </c>
      <c r="U1933" s="77" t="s">
        <v>85</v>
      </c>
      <c r="V1933" s="80" t="s">
        <v>1402</v>
      </c>
      <c r="X1933" s="77" t="s">
        <v>1403</v>
      </c>
      <c r="Y1933" s="78" t="s">
        <v>101</v>
      </c>
      <c r="AA1933" s="77" t="s">
        <v>1568</v>
      </c>
      <c r="AB1933" s="77" t="s">
        <v>1521</v>
      </c>
      <c r="AC1933" s="77" t="s">
        <v>90</v>
      </c>
      <c r="AD1933" s="77" t="s">
        <v>274</v>
      </c>
      <c r="AE1933" s="77" t="s">
        <v>3499</v>
      </c>
    </row>
    <row r="1934" spans="1:33" x14ac:dyDescent="0.3">
      <c r="A1934" s="77" t="s">
        <v>3840</v>
      </c>
      <c r="B1934" s="77" t="s">
        <v>2401</v>
      </c>
      <c r="G1934" s="77" t="s">
        <v>3498</v>
      </c>
      <c r="H1934" s="77" t="s">
        <v>77</v>
      </c>
      <c r="I1934" s="77" t="s">
        <v>1521</v>
      </c>
      <c r="J1934" s="77" t="s">
        <v>3039</v>
      </c>
      <c r="K1934" s="77" t="s">
        <v>1522</v>
      </c>
      <c r="L1934" s="77" t="s">
        <v>2393</v>
      </c>
      <c r="M1934" s="77" t="s">
        <v>82</v>
      </c>
      <c r="N1934" s="77" t="s">
        <v>83</v>
      </c>
      <c r="Q1934" s="77" t="s">
        <v>111</v>
      </c>
      <c r="T1934" s="77" t="s">
        <v>1666</v>
      </c>
      <c r="U1934" s="77" t="s">
        <v>85</v>
      </c>
      <c r="V1934" s="80" t="s">
        <v>1402</v>
      </c>
      <c r="X1934" s="77" t="s">
        <v>1403</v>
      </c>
      <c r="Y1934" s="78" t="s">
        <v>101</v>
      </c>
      <c r="AA1934" s="77" t="s">
        <v>1568</v>
      </c>
      <c r="AB1934" s="77" t="s">
        <v>1521</v>
      </c>
      <c r="AC1934" s="77" t="s">
        <v>90</v>
      </c>
      <c r="AD1934" s="77" t="s">
        <v>274</v>
      </c>
      <c r="AE1934" s="77" t="s">
        <v>3499</v>
      </c>
    </row>
    <row r="1935" spans="1:33" x14ac:dyDescent="0.3">
      <c r="A1935" s="77" t="s">
        <v>3841</v>
      </c>
      <c r="B1935" s="77" t="s">
        <v>2403</v>
      </c>
      <c r="G1935" s="77" t="s">
        <v>3498</v>
      </c>
      <c r="H1935" s="77" t="s">
        <v>77</v>
      </c>
      <c r="I1935" s="77" t="s">
        <v>1521</v>
      </c>
      <c r="J1935" s="77" t="s">
        <v>3039</v>
      </c>
      <c r="K1935" s="77" t="s">
        <v>1522</v>
      </c>
      <c r="L1935" s="77" t="s">
        <v>2404</v>
      </c>
      <c r="M1935" s="77" t="s">
        <v>82</v>
      </c>
      <c r="N1935" s="77" t="s">
        <v>83</v>
      </c>
      <c r="Q1935" s="77" t="s">
        <v>111</v>
      </c>
      <c r="T1935" s="77" t="s">
        <v>1666</v>
      </c>
      <c r="U1935" s="77" t="s">
        <v>85</v>
      </c>
      <c r="V1935" s="80" t="s">
        <v>891</v>
      </c>
      <c r="X1935" s="77" t="s">
        <v>892</v>
      </c>
      <c r="Y1935" s="78" t="s">
        <v>88</v>
      </c>
      <c r="AA1935" s="77" t="s">
        <v>1568</v>
      </c>
      <c r="AB1935" s="77" t="s">
        <v>1521</v>
      </c>
      <c r="AC1935" s="77" t="s">
        <v>90</v>
      </c>
      <c r="AD1935" s="77" t="s">
        <v>91</v>
      </c>
      <c r="AE1935" s="77" t="s">
        <v>3499</v>
      </c>
    </row>
    <row r="1936" spans="1:33" hidden="1" x14ac:dyDescent="0.3">
      <c r="A1936" s="77" t="s">
        <v>3842</v>
      </c>
      <c r="B1936" s="77" t="s">
        <v>2406</v>
      </c>
      <c r="G1936" s="77" t="s">
        <v>3498</v>
      </c>
      <c r="H1936" s="77" t="s">
        <v>77</v>
      </c>
      <c r="I1936" s="77" t="s">
        <v>1521</v>
      </c>
      <c r="J1936" s="77" t="s">
        <v>3039</v>
      </c>
      <c r="K1936" s="77" t="s">
        <v>1522</v>
      </c>
      <c r="L1936" s="77" t="s">
        <v>2407</v>
      </c>
      <c r="M1936" s="77" t="s">
        <v>82</v>
      </c>
      <c r="N1936" s="77" t="s">
        <v>83</v>
      </c>
      <c r="Q1936" s="77" t="s">
        <v>111</v>
      </c>
      <c r="T1936" s="77" t="s">
        <v>2327</v>
      </c>
      <c r="U1936" s="77" t="s">
        <v>85</v>
      </c>
      <c r="V1936" s="77" t="s">
        <v>891</v>
      </c>
      <c r="W1936" s="79">
        <v>46187.436203356483</v>
      </c>
      <c r="X1936" s="77" t="s">
        <v>892</v>
      </c>
      <c r="Y1936" s="78" t="s">
        <v>88</v>
      </c>
      <c r="AA1936" s="77" t="s">
        <v>1568</v>
      </c>
      <c r="AB1936" s="77" t="s">
        <v>1521</v>
      </c>
      <c r="AC1936" s="77" t="s">
        <v>114</v>
      </c>
      <c r="AD1936" s="77" t="s">
        <v>91</v>
      </c>
      <c r="AE1936" s="77" t="s">
        <v>3499</v>
      </c>
      <c r="AF1936" s="77" t="s">
        <v>2769</v>
      </c>
      <c r="AG1936" s="77" t="s">
        <v>2327</v>
      </c>
    </row>
    <row r="1937" spans="1:33" hidden="1" x14ac:dyDescent="0.3">
      <c r="A1937" s="77" t="s">
        <v>3843</v>
      </c>
      <c r="B1937" s="77" t="s">
        <v>2409</v>
      </c>
      <c r="G1937" s="77" t="s">
        <v>3498</v>
      </c>
      <c r="H1937" s="77" t="s">
        <v>77</v>
      </c>
      <c r="I1937" s="77" t="s">
        <v>1521</v>
      </c>
      <c r="J1937" s="77" t="s">
        <v>3039</v>
      </c>
      <c r="K1937" s="77" t="s">
        <v>1522</v>
      </c>
      <c r="L1937" s="77" t="s">
        <v>2410</v>
      </c>
      <c r="M1937" s="77" t="s">
        <v>82</v>
      </c>
      <c r="N1937" s="77" t="s">
        <v>83</v>
      </c>
      <c r="Q1937" s="77" t="s">
        <v>111</v>
      </c>
      <c r="T1937" s="77" t="s">
        <v>2327</v>
      </c>
      <c r="U1937" s="77" t="s">
        <v>85</v>
      </c>
      <c r="V1937" s="77" t="s">
        <v>891</v>
      </c>
      <c r="W1937" s="79">
        <v>46205.264157488426</v>
      </c>
      <c r="X1937" s="77" t="s">
        <v>892</v>
      </c>
      <c r="Y1937" s="78" t="s">
        <v>88</v>
      </c>
      <c r="AA1937" s="77" t="s">
        <v>1568</v>
      </c>
      <c r="AB1937" s="77" t="s">
        <v>1521</v>
      </c>
      <c r="AC1937" s="77" t="s">
        <v>114</v>
      </c>
      <c r="AD1937" s="77" t="s">
        <v>91</v>
      </c>
      <c r="AE1937" s="77" t="s">
        <v>3499</v>
      </c>
      <c r="AF1937" s="77" t="s">
        <v>2706</v>
      </c>
      <c r="AG1937" s="77" t="s">
        <v>2327</v>
      </c>
    </row>
    <row r="1938" spans="1:33" hidden="1" x14ac:dyDescent="0.3">
      <c r="A1938" s="77" t="s">
        <v>3844</v>
      </c>
      <c r="B1938" s="77" t="s">
        <v>2412</v>
      </c>
      <c r="G1938" s="77" t="s">
        <v>3498</v>
      </c>
      <c r="H1938" s="77" t="s">
        <v>77</v>
      </c>
      <c r="I1938" s="77" t="s">
        <v>1521</v>
      </c>
      <c r="J1938" s="77" t="s">
        <v>3039</v>
      </c>
      <c r="K1938" s="77" t="s">
        <v>1522</v>
      </c>
      <c r="L1938" s="77" t="s">
        <v>2413</v>
      </c>
      <c r="M1938" s="77" t="s">
        <v>82</v>
      </c>
      <c r="N1938" s="77" t="s">
        <v>83</v>
      </c>
      <c r="Q1938" s="77" t="s">
        <v>111</v>
      </c>
      <c r="T1938" s="77" t="s">
        <v>2327</v>
      </c>
      <c r="U1938" s="77" t="s">
        <v>85</v>
      </c>
      <c r="V1938" s="77" t="s">
        <v>891</v>
      </c>
      <c r="W1938" s="79">
        <v>46205.267938113429</v>
      </c>
      <c r="X1938" s="77" t="s">
        <v>892</v>
      </c>
      <c r="Y1938" s="78" t="s">
        <v>88</v>
      </c>
      <c r="AA1938" s="77" t="s">
        <v>1568</v>
      </c>
      <c r="AB1938" s="77" t="s">
        <v>1521</v>
      </c>
      <c r="AC1938" s="77" t="s">
        <v>114</v>
      </c>
      <c r="AD1938" s="77" t="s">
        <v>91</v>
      </c>
      <c r="AE1938" s="77" t="s">
        <v>3499</v>
      </c>
      <c r="AF1938" s="77" t="s">
        <v>2706</v>
      </c>
      <c r="AG1938" s="77" t="s">
        <v>2327</v>
      </c>
    </row>
    <row r="1939" spans="1:33" hidden="1" x14ac:dyDescent="0.3">
      <c r="A1939" s="77" t="s">
        <v>3845</v>
      </c>
      <c r="B1939" s="77" t="s">
        <v>2415</v>
      </c>
      <c r="G1939" s="77" t="s">
        <v>3498</v>
      </c>
      <c r="H1939" s="77" t="s">
        <v>77</v>
      </c>
      <c r="I1939" s="77" t="s">
        <v>1521</v>
      </c>
      <c r="J1939" s="77" t="s">
        <v>3039</v>
      </c>
      <c r="K1939" s="77" t="s">
        <v>1522</v>
      </c>
      <c r="L1939" s="77" t="s">
        <v>2416</v>
      </c>
      <c r="M1939" s="77" t="s">
        <v>82</v>
      </c>
      <c r="N1939" s="77" t="s">
        <v>83</v>
      </c>
      <c r="Q1939" s="77" t="s">
        <v>111</v>
      </c>
      <c r="T1939" s="77" t="s">
        <v>1666</v>
      </c>
      <c r="U1939" s="77" t="s">
        <v>85</v>
      </c>
      <c r="V1939" s="77" t="s">
        <v>896</v>
      </c>
      <c r="W1939" s="79">
        <v>46211.248133217596</v>
      </c>
      <c r="X1939" s="77" t="s">
        <v>897</v>
      </c>
      <c r="Y1939" s="78" t="s">
        <v>88</v>
      </c>
      <c r="AA1939" s="77" t="s">
        <v>1568</v>
      </c>
      <c r="AB1939" s="77" t="s">
        <v>1521</v>
      </c>
      <c r="AC1939" s="77" t="s">
        <v>114</v>
      </c>
      <c r="AD1939" s="77" t="s">
        <v>91</v>
      </c>
      <c r="AE1939" s="77" t="s">
        <v>3499</v>
      </c>
      <c r="AF1939" s="77" t="s">
        <v>2706</v>
      </c>
    </row>
    <row r="1940" spans="1:33" hidden="1" x14ac:dyDescent="0.3">
      <c r="A1940" s="77" t="s">
        <v>3846</v>
      </c>
      <c r="B1940" s="77" t="s">
        <v>2418</v>
      </c>
      <c r="G1940" s="77" t="s">
        <v>3498</v>
      </c>
      <c r="H1940" s="77" t="s">
        <v>77</v>
      </c>
      <c r="I1940" s="77" t="s">
        <v>1521</v>
      </c>
      <c r="J1940" s="77" t="s">
        <v>3039</v>
      </c>
      <c r="K1940" s="77" t="s">
        <v>1522</v>
      </c>
      <c r="L1940" s="77" t="s">
        <v>2416</v>
      </c>
      <c r="M1940" s="77" t="s">
        <v>82</v>
      </c>
      <c r="N1940" s="77" t="s">
        <v>83</v>
      </c>
      <c r="Q1940" s="77" t="s">
        <v>111</v>
      </c>
      <c r="T1940" s="77" t="s">
        <v>1666</v>
      </c>
      <c r="U1940" s="77" t="s">
        <v>85</v>
      </c>
      <c r="V1940" s="77" t="s">
        <v>896</v>
      </c>
      <c r="W1940" s="79">
        <v>46211.249441979169</v>
      </c>
      <c r="X1940" s="77" t="s">
        <v>897</v>
      </c>
      <c r="Y1940" s="78" t="s">
        <v>88</v>
      </c>
      <c r="AA1940" s="77" t="s">
        <v>1568</v>
      </c>
      <c r="AB1940" s="77" t="s">
        <v>1521</v>
      </c>
      <c r="AC1940" s="77" t="s">
        <v>114</v>
      </c>
      <c r="AD1940" s="77" t="s">
        <v>91</v>
      </c>
      <c r="AE1940" s="77" t="s">
        <v>3499</v>
      </c>
      <c r="AF1940" s="77" t="s">
        <v>2706</v>
      </c>
    </row>
    <row r="1941" spans="1:33" x14ac:dyDescent="0.3">
      <c r="A1941" s="77" t="s">
        <v>3847</v>
      </c>
      <c r="B1941" s="77" t="s">
        <v>2420</v>
      </c>
      <c r="G1941" s="77" t="s">
        <v>3498</v>
      </c>
      <c r="H1941" s="77" t="s">
        <v>77</v>
      </c>
      <c r="I1941" s="77" t="s">
        <v>1521</v>
      </c>
      <c r="J1941" s="77" t="s">
        <v>3039</v>
      </c>
      <c r="K1941" s="77" t="s">
        <v>1522</v>
      </c>
      <c r="L1941" s="77" t="s">
        <v>2416</v>
      </c>
      <c r="M1941" s="77" t="s">
        <v>82</v>
      </c>
      <c r="N1941" s="77" t="s">
        <v>83</v>
      </c>
      <c r="Q1941" s="77" t="s">
        <v>111</v>
      </c>
      <c r="T1941" s="77" t="s">
        <v>1666</v>
      </c>
      <c r="U1941" s="77" t="s">
        <v>85</v>
      </c>
      <c r="V1941" s="80" t="s">
        <v>896</v>
      </c>
      <c r="X1941" s="77" t="s">
        <v>897</v>
      </c>
      <c r="Y1941" s="78" t="s">
        <v>88</v>
      </c>
      <c r="AA1941" s="77" t="s">
        <v>1568</v>
      </c>
      <c r="AB1941" s="77" t="s">
        <v>1521</v>
      </c>
      <c r="AC1941" s="77" t="s">
        <v>90</v>
      </c>
      <c r="AD1941" s="77" t="s">
        <v>91</v>
      </c>
      <c r="AE1941" s="77" t="s">
        <v>3499</v>
      </c>
    </row>
    <row r="1942" spans="1:33" x14ac:dyDescent="0.3">
      <c r="A1942" s="77" t="s">
        <v>3848</v>
      </c>
      <c r="B1942" s="77" t="s">
        <v>2422</v>
      </c>
      <c r="G1942" s="77" t="s">
        <v>3498</v>
      </c>
      <c r="H1942" s="77" t="s">
        <v>77</v>
      </c>
      <c r="I1942" s="77" t="s">
        <v>1521</v>
      </c>
      <c r="J1942" s="77" t="s">
        <v>3039</v>
      </c>
      <c r="K1942" s="77" t="s">
        <v>1522</v>
      </c>
      <c r="L1942" s="77" t="s">
        <v>2416</v>
      </c>
      <c r="M1942" s="77" t="s">
        <v>82</v>
      </c>
      <c r="N1942" s="77" t="s">
        <v>83</v>
      </c>
      <c r="Q1942" s="77" t="s">
        <v>111</v>
      </c>
      <c r="T1942" s="77" t="s">
        <v>1666</v>
      </c>
      <c r="U1942" s="77" t="s">
        <v>85</v>
      </c>
      <c r="V1942" s="80" t="s">
        <v>896</v>
      </c>
      <c r="X1942" s="77" t="s">
        <v>897</v>
      </c>
      <c r="Y1942" s="78" t="s">
        <v>88</v>
      </c>
      <c r="AA1942" s="77" t="s">
        <v>1568</v>
      </c>
      <c r="AB1942" s="77" t="s">
        <v>1521</v>
      </c>
      <c r="AC1942" s="77" t="s">
        <v>90</v>
      </c>
      <c r="AD1942" s="77" t="s">
        <v>91</v>
      </c>
      <c r="AE1942" s="77" t="s">
        <v>3499</v>
      </c>
    </row>
    <row r="1943" spans="1:33" x14ac:dyDescent="0.3">
      <c r="A1943" s="77" t="s">
        <v>3849</v>
      </c>
      <c r="B1943" s="77" t="s">
        <v>2424</v>
      </c>
      <c r="G1943" s="77" t="s">
        <v>3498</v>
      </c>
      <c r="H1943" s="77" t="s">
        <v>77</v>
      </c>
      <c r="I1943" s="77" t="s">
        <v>1521</v>
      </c>
      <c r="J1943" s="77" t="s">
        <v>3039</v>
      </c>
      <c r="K1943" s="77" t="s">
        <v>1522</v>
      </c>
      <c r="L1943" s="77" t="s">
        <v>1662</v>
      </c>
      <c r="M1943" s="77" t="s">
        <v>82</v>
      </c>
      <c r="N1943" s="77" t="s">
        <v>83</v>
      </c>
      <c r="Q1943" s="77" t="s">
        <v>111</v>
      </c>
      <c r="T1943" s="77" t="s">
        <v>1666</v>
      </c>
      <c r="U1943" s="77" t="s">
        <v>85</v>
      </c>
      <c r="V1943" s="80" t="s">
        <v>272</v>
      </c>
      <c r="X1943" s="77" t="s">
        <v>273</v>
      </c>
      <c r="Y1943" s="78" t="s">
        <v>101</v>
      </c>
      <c r="AA1943" s="77" t="s">
        <v>1568</v>
      </c>
      <c r="AB1943" s="77" t="s">
        <v>1521</v>
      </c>
      <c r="AC1943" s="77" t="s">
        <v>90</v>
      </c>
      <c r="AD1943" s="77" t="s">
        <v>274</v>
      </c>
      <c r="AE1943" s="77" t="s">
        <v>3499</v>
      </c>
    </row>
    <row r="1944" spans="1:33" x14ac:dyDescent="0.3">
      <c r="A1944" s="77" t="s">
        <v>3850</v>
      </c>
      <c r="B1944" s="77" t="s">
        <v>2426</v>
      </c>
      <c r="G1944" s="77" t="s">
        <v>3498</v>
      </c>
      <c r="H1944" s="77" t="s">
        <v>77</v>
      </c>
      <c r="I1944" s="77" t="s">
        <v>1521</v>
      </c>
      <c r="J1944" s="77" t="s">
        <v>3039</v>
      </c>
      <c r="K1944" s="77" t="s">
        <v>1522</v>
      </c>
      <c r="L1944" s="77" t="s">
        <v>1662</v>
      </c>
      <c r="M1944" s="77" t="s">
        <v>82</v>
      </c>
      <c r="N1944" s="77" t="s">
        <v>83</v>
      </c>
      <c r="Q1944" s="77" t="s">
        <v>111</v>
      </c>
      <c r="T1944" s="77" t="s">
        <v>1666</v>
      </c>
      <c r="U1944" s="77" t="s">
        <v>85</v>
      </c>
      <c r="V1944" s="80" t="s">
        <v>272</v>
      </c>
      <c r="X1944" s="77" t="s">
        <v>273</v>
      </c>
      <c r="Y1944" s="78" t="s">
        <v>101</v>
      </c>
      <c r="AA1944" s="77" t="s">
        <v>1568</v>
      </c>
      <c r="AB1944" s="77" t="s">
        <v>1521</v>
      </c>
      <c r="AC1944" s="77" t="s">
        <v>90</v>
      </c>
      <c r="AD1944" s="77" t="s">
        <v>274</v>
      </c>
      <c r="AE1944" s="77" t="s">
        <v>3499</v>
      </c>
    </row>
    <row r="1945" spans="1:33" x14ac:dyDescent="0.3">
      <c r="A1945" s="77" t="s">
        <v>3851</v>
      </c>
      <c r="B1945" s="77" t="s">
        <v>2428</v>
      </c>
      <c r="G1945" s="77" t="s">
        <v>3498</v>
      </c>
      <c r="H1945" s="77" t="s">
        <v>77</v>
      </c>
      <c r="I1945" s="77" t="s">
        <v>1521</v>
      </c>
      <c r="J1945" s="77" t="s">
        <v>3039</v>
      </c>
      <c r="K1945" s="77" t="s">
        <v>1522</v>
      </c>
      <c r="L1945" s="77" t="s">
        <v>1662</v>
      </c>
      <c r="M1945" s="77" t="s">
        <v>82</v>
      </c>
      <c r="N1945" s="77" t="s">
        <v>83</v>
      </c>
      <c r="Q1945" s="77" t="s">
        <v>111</v>
      </c>
      <c r="T1945" s="77" t="s">
        <v>1666</v>
      </c>
      <c r="U1945" s="77" t="s">
        <v>85</v>
      </c>
      <c r="V1945" s="80" t="s">
        <v>272</v>
      </c>
      <c r="X1945" s="77" t="s">
        <v>273</v>
      </c>
      <c r="Y1945" s="78" t="s">
        <v>101</v>
      </c>
      <c r="AA1945" s="77" t="s">
        <v>1568</v>
      </c>
      <c r="AB1945" s="77" t="s">
        <v>1521</v>
      </c>
      <c r="AC1945" s="77" t="s">
        <v>90</v>
      </c>
      <c r="AD1945" s="77" t="s">
        <v>274</v>
      </c>
      <c r="AE1945" s="77" t="s">
        <v>3499</v>
      </c>
    </row>
    <row r="1946" spans="1:33" hidden="1" x14ac:dyDescent="0.3">
      <c r="A1946" s="77" t="s">
        <v>3852</v>
      </c>
      <c r="B1946" s="77" t="s">
        <v>2430</v>
      </c>
      <c r="G1946" s="77" t="s">
        <v>3498</v>
      </c>
      <c r="H1946" s="77" t="s">
        <v>77</v>
      </c>
      <c r="I1946" s="77" t="s">
        <v>1521</v>
      </c>
      <c r="J1946" s="77" t="s">
        <v>3039</v>
      </c>
      <c r="K1946" s="77" t="s">
        <v>1522</v>
      </c>
      <c r="L1946" s="77" t="s">
        <v>2431</v>
      </c>
      <c r="M1946" s="77" t="s">
        <v>82</v>
      </c>
      <c r="N1946" s="77" t="s">
        <v>83</v>
      </c>
      <c r="Q1946" s="77" t="s">
        <v>111</v>
      </c>
      <c r="T1946" s="77" t="s">
        <v>1666</v>
      </c>
      <c r="U1946" s="77" t="s">
        <v>85</v>
      </c>
      <c r="V1946" s="77" t="s">
        <v>272</v>
      </c>
      <c r="W1946" s="79">
        <v>46213.698278090276</v>
      </c>
      <c r="X1946" s="77" t="s">
        <v>273</v>
      </c>
      <c r="Y1946" s="78" t="s">
        <v>101</v>
      </c>
      <c r="AA1946" s="77" t="s">
        <v>1568</v>
      </c>
      <c r="AB1946" s="77" t="s">
        <v>1521</v>
      </c>
      <c r="AC1946" s="77" t="s">
        <v>114</v>
      </c>
      <c r="AD1946" s="77" t="s">
        <v>274</v>
      </c>
      <c r="AE1946" s="77" t="s">
        <v>3499</v>
      </c>
      <c r="AF1946" s="77" t="s">
        <v>2706</v>
      </c>
    </row>
    <row r="1947" spans="1:33" hidden="1" x14ac:dyDescent="0.3">
      <c r="A1947" s="77" t="s">
        <v>3853</v>
      </c>
      <c r="B1947" s="77" t="s">
        <v>2433</v>
      </c>
      <c r="G1947" s="77" t="s">
        <v>3498</v>
      </c>
      <c r="H1947" s="77" t="s">
        <v>77</v>
      </c>
      <c r="I1947" s="77" t="s">
        <v>1521</v>
      </c>
      <c r="J1947" s="77" t="s">
        <v>3039</v>
      </c>
      <c r="K1947" s="77" t="s">
        <v>1522</v>
      </c>
      <c r="L1947" s="77" t="s">
        <v>2431</v>
      </c>
      <c r="M1947" s="77" t="s">
        <v>82</v>
      </c>
      <c r="N1947" s="77" t="s">
        <v>83</v>
      </c>
      <c r="Q1947" s="77" t="s">
        <v>111</v>
      </c>
      <c r="T1947" s="77" t="s">
        <v>1666</v>
      </c>
      <c r="U1947" s="77" t="s">
        <v>85</v>
      </c>
      <c r="V1947" s="77" t="s">
        <v>272</v>
      </c>
      <c r="W1947" s="79">
        <v>46213.698019988427</v>
      </c>
      <c r="X1947" s="77" t="s">
        <v>273</v>
      </c>
      <c r="Y1947" s="78" t="s">
        <v>101</v>
      </c>
      <c r="AA1947" s="77" t="s">
        <v>1568</v>
      </c>
      <c r="AB1947" s="77" t="s">
        <v>1521</v>
      </c>
      <c r="AC1947" s="77" t="s">
        <v>114</v>
      </c>
      <c r="AD1947" s="77" t="s">
        <v>274</v>
      </c>
      <c r="AE1947" s="77" t="s">
        <v>3499</v>
      </c>
      <c r="AF1947" s="77" t="s">
        <v>2706</v>
      </c>
    </row>
    <row r="1948" spans="1:33" x14ac:dyDescent="0.3">
      <c r="A1948" s="77" t="s">
        <v>3854</v>
      </c>
      <c r="B1948" s="77" t="s">
        <v>2435</v>
      </c>
      <c r="G1948" s="77" t="s">
        <v>3498</v>
      </c>
      <c r="H1948" s="77" t="s">
        <v>77</v>
      </c>
      <c r="I1948" s="77" t="s">
        <v>1521</v>
      </c>
      <c r="J1948" s="77" t="s">
        <v>3039</v>
      </c>
      <c r="K1948" s="77" t="s">
        <v>1522</v>
      </c>
      <c r="L1948" s="77" t="s">
        <v>1662</v>
      </c>
      <c r="M1948" s="77" t="s">
        <v>82</v>
      </c>
      <c r="N1948" s="77" t="s">
        <v>83</v>
      </c>
      <c r="Q1948" s="77" t="s">
        <v>111</v>
      </c>
      <c r="T1948" s="77" t="s">
        <v>1666</v>
      </c>
      <c r="U1948" s="77" t="s">
        <v>85</v>
      </c>
      <c r="V1948" s="80" t="s">
        <v>272</v>
      </c>
      <c r="X1948" s="77" t="s">
        <v>273</v>
      </c>
      <c r="Y1948" s="78" t="s">
        <v>101</v>
      </c>
      <c r="AA1948" s="77" t="s">
        <v>1568</v>
      </c>
      <c r="AB1948" s="77" t="s">
        <v>1521</v>
      </c>
      <c r="AC1948" s="77" t="s">
        <v>90</v>
      </c>
      <c r="AD1948" s="77" t="s">
        <v>274</v>
      </c>
      <c r="AE1948" s="77" t="s">
        <v>3499</v>
      </c>
    </row>
    <row r="1949" spans="1:33" x14ac:dyDescent="0.3">
      <c r="A1949" s="77" t="s">
        <v>3855</v>
      </c>
      <c r="B1949" s="77" t="s">
        <v>2437</v>
      </c>
      <c r="G1949" s="77" t="s">
        <v>3498</v>
      </c>
      <c r="H1949" s="77" t="s">
        <v>77</v>
      </c>
      <c r="I1949" s="77" t="s">
        <v>1521</v>
      </c>
      <c r="J1949" s="77" t="s">
        <v>3039</v>
      </c>
      <c r="K1949" s="77" t="s">
        <v>1522</v>
      </c>
      <c r="L1949" s="77" t="s">
        <v>1662</v>
      </c>
      <c r="M1949" s="77" t="s">
        <v>82</v>
      </c>
      <c r="N1949" s="77" t="s">
        <v>83</v>
      </c>
      <c r="Q1949" s="77" t="s">
        <v>111</v>
      </c>
      <c r="T1949" s="77" t="s">
        <v>1666</v>
      </c>
      <c r="U1949" s="77" t="s">
        <v>85</v>
      </c>
      <c r="V1949" s="80" t="s">
        <v>272</v>
      </c>
      <c r="X1949" s="77" t="s">
        <v>273</v>
      </c>
      <c r="Y1949" s="78" t="s">
        <v>101</v>
      </c>
      <c r="AA1949" s="77" t="s">
        <v>1568</v>
      </c>
      <c r="AB1949" s="77" t="s">
        <v>1521</v>
      </c>
      <c r="AC1949" s="77" t="s">
        <v>90</v>
      </c>
      <c r="AD1949" s="77" t="s">
        <v>274</v>
      </c>
      <c r="AE1949" s="77" t="s">
        <v>3499</v>
      </c>
    </row>
    <row r="1950" spans="1:33" x14ac:dyDescent="0.3">
      <c r="A1950" s="77" t="s">
        <v>3856</v>
      </c>
      <c r="B1950" s="77" t="s">
        <v>2439</v>
      </c>
      <c r="G1950" s="77" t="s">
        <v>3498</v>
      </c>
      <c r="H1950" s="77" t="s">
        <v>77</v>
      </c>
      <c r="I1950" s="77" t="s">
        <v>1521</v>
      </c>
      <c r="J1950" s="77" t="s">
        <v>3039</v>
      </c>
      <c r="K1950" s="77" t="s">
        <v>1522</v>
      </c>
      <c r="L1950" s="77" t="s">
        <v>1662</v>
      </c>
      <c r="M1950" s="77" t="s">
        <v>82</v>
      </c>
      <c r="N1950" s="77" t="s">
        <v>83</v>
      </c>
      <c r="Q1950" s="77" t="s">
        <v>111</v>
      </c>
      <c r="T1950" s="77" t="s">
        <v>1666</v>
      </c>
      <c r="U1950" s="77" t="s">
        <v>85</v>
      </c>
      <c r="V1950" s="80" t="s">
        <v>272</v>
      </c>
      <c r="X1950" s="77" t="s">
        <v>273</v>
      </c>
      <c r="Y1950" s="78" t="s">
        <v>101</v>
      </c>
      <c r="AA1950" s="77" t="s">
        <v>1568</v>
      </c>
      <c r="AB1950" s="77" t="s">
        <v>1521</v>
      </c>
      <c r="AC1950" s="77" t="s">
        <v>90</v>
      </c>
      <c r="AD1950" s="77" t="s">
        <v>274</v>
      </c>
      <c r="AE1950" s="77" t="s">
        <v>3499</v>
      </c>
    </row>
    <row r="1951" spans="1:33" x14ac:dyDescent="0.3">
      <c r="A1951" s="77" t="s">
        <v>3857</v>
      </c>
      <c r="B1951" s="77" t="s">
        <v>2441</v>
      </c>
      <c r="G1951" s="77" t="s">
        <v>3498</v>
      </c>
      <c r="H1951" s="77" t="s">
        <v>77</v>
      </c>
      <c r="I1951" s="77" t="s">
        <v>1521</v>
      </c>
      <c r="J1951" s="77" t="s">
        <v>3039</v>
      </c>
      <c r="K1951" s="77" t="s">
        <v>1522</v>
      </c>
      <c r="L1951" s="77" t="s">
        <v>2442</v>
      </c>
      <c r="M1951" s="77" t="s">
        <v>82</v>
      </c>
      <c r="N1951" s="77" t="s">
        <v>83</v>
      </c>
      <c r="Q1951" s="77" t="s">
        <v>111</v>
      </c>
      <c r="T1951" s="77" t="s">
        <v>1666</v>
      </c>
      <c r="U1951" s="77" t="s">
        <v>85</v>
      </c>
      <c r="V1951" s="80" t="s">
        <v>272</v>
      </c>
      <c r="X1951" s="77" t="s">
        <v>273</v>
      </c>
      <c r="Y1951" s="78" t="s">
        <v>101</v>
      </c>
      <c r="AA1951" s="77" t="s">
        <v>1568</v>
      </c>
      <c r="AB1951" s="77" t="s">
        <v>1521</v>
      </c>
      <c r="AC1951" s="77" t="s">
        <v>90</v>
      </c>
      <c r="AD1951" s="77" t="s">
        <v>274</v>
      </c>
      <c r="AE1951" s="77" t="s">
        <v>3499</v>
      </c>
    </row>
    <row r="1952" spans="1:33" x14ac:dyDescent="0.3">
      <c r="A1952" s="77" t="s">
        <v>3858</v>
      </c>
      <c r="B1952" s="77" t="s">
        <v>2444</v>
      </c>
      <c r="G1952" s="77" t="s">
        <v>3498</v>
      </c>
      <c r="H1952" s="77" t="s">
        <v>77</v>
      </c>
      <c r="I1952" s="77" t="s">
        <v>1521</v>
      </c>
      <c r="J1952" s="77" t="s">
        <v>3039</v>
      </c>
      <c r="K1952" s="77" t="s">
        <v>1522</v>
      </c>
      <c r="L1952" s="77" t="s">
        <v>2445</v>
      </c>
      <c r="M1952" s="77" t="s">
        <v>82</v>
      </c>
      <c r="N1952" s="77" t="s">
        <v>83</v>
      </c>
      <c r="Q1952" s="77" t="s">
        <v>111</v>
      </c>
      <c r="T1952" s="77" t="s">
        <v>1666</v>
      </c>
      <c r="U1952" s="77" t="s">
        <v>85</v>
      </c>
      <c r="V1952" s="80" t="s">
        <v>272</v>
      </c>
      <c r="X1952" s="77" t="s">
        <v>273</v>
      </c>
      <c r="Y1952" s="78" t="s">
        <v>101</v>
      </c>
      <c r="AA1952" s="77" t="s">
        <v>1568</v>
      </c>
      <c r="AB1952" s="77" t="s">
        <v>1521</v>
      </c>
      <c r="AC1952" s="77" t="s">
        <v>90</v>
      </c>
      <c r="AD1952" s="77" t="s">
        <v>274</v>
      </c>
      <c r="AE1952" s="77" t="s">
        <v>3499</v>
      </c>
    </row>
    <row r="1953" spans="1:33" x14ac:dyDescent="0.3">
      <c r="A1953" s="77" t="s">
        <v>3859</v>
      </c>
      <c r="B1953" s="77" t="s">
        <v>2447</v>
      </c>
      <c r="G1953" s="77" t="s">
        <v>3498</v>
      </c>
      <c r="H1953" s="77" t="s">
        <v>77</v>
      </c>
      <c r="I1953" s="77" t="s">
        <v>1521</v>
      </c>
      <c r="J1953" s="77" t="s">
        <v>3039</v>
      </c>
      <c r="K1953" s="77" t="s">
        <v>1522</v>
      </c>
      <c r="L1953" s="77" t="s">
        <v>2445</v>
      </c>
      <c r="M1953" s="77" t="s">
        <v>82</v>
      </c>
      <c r="N1953" s="77" t="s">
        <v>83</v>
      </c>
      <c r="Q1953" s="77" t="s">
        <v>111</v>
      </c>
      <c r="T1953" s="77" t="s">
        <v>1666</v>
      </c>
      <c r="U1953" s="77" t="s">
        <v>85</v>
      </c>
      <c r="V1953" s="80" t="s">
        <v>272</v>
      </c>
      <c r="X1953" s="77" t="s">
        <v>273</v>
      </c>
      <c r="Y1953" s="78" t="s">
        <v>101</v>
      </c>
      <c r="AA1953" s="77" t="s">
        <v>1568</v>
      </c>
      <c r="AB1953" s="77" t="s">
        <v>1521</v>
      </c>
      <c r="AC1953" s="77" t="s">
        <v>90</v>
      </c>
      <c r="AD1953" s="77" t="s">
        <v>274</v>
      </c>
      <c r="AE1953" s="77" t="s">
        <v>3499</v>
      </c>
    </row>
    <row r="1954" spans="1:33" x14ac:dyDescent="0.3">
      <c r="A1954" s="77" t="s">
        <v>3860</v>
      </c>
      <c r="B1954" s="77" t="s">
        <v>2449</v>
      </c>
      <c r="G1954" s="77" t="s">
        <v>3498</v>
      </c>
      <c r="H1954" s="77" t="s">
        <v>77</v>
      </c>
      <c r="I1954" s="77" t="s">
        <v>1521</v>
      </c>
      <c r="J1954" s="77" t="s">
        <v>3039</v>
      </c>
      <c r="K1954" s="77" t="s">
        <v>1522</v>
      </c>
      <c r="L1954" s="77" t="s">
        <v>2445</v>
      </c>
      <c r="M1954" s="77" t="s">
        <v>82</v>
      </c>
      <c r="N1954" s="77" t="s">
        <v>83</v>
      </c>
      <c r="Q1954" s="77" t="s">
        <v>111</v>
      </c>
      <c r="T1954" s="77" t="s">
        <v>1666</v>
      </c>
      <c r="U1954" s="77" t="s">
        <v>85</v>
      </c>
      <c r="V1954" s="80" t="s">
        <v>272</v>
      </c>
      <c r="X1954" s="77" t="s">
        <v>273</v>
      </c>
      <c r="Y1954" s="78" t="s">
        <v>101</v>
      </c>
      <c r="AA1954" s="77" t="s">
        <v>1568</v>
      </c>
      <c r="AB1954" s="77" t="s">
        <v>1521</v>
      </c>
      <c r="AC1954" s="77" t="s">
        <v>90</v>
      </c>
      <c r="AD1954" s="77" t="s">
        <v>274</v>
      </c>
      <c r="AE1954" s="77" t="s">
        <v>3499</v>
      </c>
    </row>
    <row r="1955" spans="1:33" hidden="1" x14ac:dyDescent="0.3">
      <c r="A1955" s="77" t="s">
        <v>3861</v>
      </c>
      <c r="B1955" s="77" t="s">
        <v>2451</v>
      </c>
      <c r="G1955" s="77" t="s">
        <v>3498</v>
      </c>
      <c r="H1955" s="77" t="s">
        <v>77</v>
      </c>
      <c r="I1955" s="77" t="s">
        <v>1521</v>
      </c>
      <c r="J1955" s="77" t="s">
        <v>3039</v>
      </c>
      <c r="K1955" s="77" t="s">
        <v>1522</v>
      </c>
      <c r="L1955" s="77" t="s">
        <v>2452</v>
      </c>
      <c r="M1955" s="77" t="s">
        <v>82</v>
      </c>
      <c r="N1955" s="77" t="s">
        <v>83</v>
      </c>
      <c r="Q1955" s="77" t="s">
        <v>111</v>
      </c>
      <c r="T1955" s="77" t="s">
        <v>1666</v>
      </c>
      <c r="U1955" s="77" t="s">
        <v>85</v>
      </c>
      <c r="V1955" s="77" t="s">
        <v>272</v>
      </c>
      <c r="W1955" s="79">
        <v>46213.697774039349</v>
      </c>
      <c r="X1955" s="77" t="s">
        <v>273</v>
      </c>
      <c r="Y1955" s="78" t="s">
        <v>101</v>
      </c>
      <c r="AA1955" s="77" t="s">
        <v>1568</v>
      </c>
      <c r="AB1955" s="77" t="s">
        <v>1521</v>
      </c>
      <c r="AC1955" s="77" t="s">
        <v>114</v>
      </c>
      <c r="AD1955" s="77" t="s">
        <v>274</v>
      </c>
      <c r="AE1955" s="77" t="s">
        <v>3499</v>
      </c>
      <c r="AF1955" s="77" t="s">
        <v>2706</v>
      </c>
    </row>
    <row r="1956" spans="1:33" hidden="1" x14ac:dyDescent="0.3">
      <c r="A1956" s="77" t="s">
        <v>3862</v>
      </c>
      <c r="B1956" s="77" t="s">
        <v>2454</v>
      </c>
      <c r="G1956" s="77" t="s">
        <v>3498</v>
      </c>
      <c r="H1956" s="77" t="s">
        <v>77</v>
      </c>
      <c r="I1956" s="77" t="s">
        <v>1521</v>
      </c>
      <c r="J1956" s="77" t="s">
        <v>3039</v>
      </c>
      <c r="K1956" s="77" t="s">
        <v>1522</v>
      </c>
      <c r="L1956" s="77" t="s">
        <v>2452</v>
      </c>
      <c r="M1956" s="77" t="s">
        <v>82</v>
      </c>
      <c r="N1956" s="77" t="s">
        <v>83</v>
      </c>
      <c r="Q1956" s="77" t="s">
        <v>111</v>
      </c>
      <c r="T1956" s="77" t="s">
        <v>1666</v>
      </c>
      <c r="U1956" s="77" t="s">
        <v>85</v>
      </c>
      <c r="V1956" s="77" t="s">
        <v>272</v>
      </c>
      <c r="W1956" s="79">
        <v>46213.705534108798</v>
      </c>
      <c r="X1956" s="77" t="s">
        <v>273</v>
      </c>
      <c r="Y1956" s="78" t="s">
        <v>101</v>
      </c>
      <c r="AA1956" s="77" t="s">
        <v>1568</v>
      </c>
      <c r="AB1956" s="77" t="s">
        <v>1521</v>
      </c>
      <c r="AC1956" s="77" t="s">
        <v>114</v>
      </c>
      <c r="AD1956" s="77" t="s">
        <v>274</v>
      </c>
      <c r="AE1956" s="77" t="s">
        <v>3499</v>
      </c>
      <c r="AF1956" s="77" t="s">
        <v>2706</v>
      </c>
    </row>
    <row r="1957" spans="1:33" x14ac:dyDescent="0.3">
      <c r="A1957" s="77" t="s">
        <v>3863</v>
      </c>
      <c r="B1957" s="77" t="s">
        <v>2456</v>
      </c>
      <c r="G1957" s="77" t="s">
        <v>3498</v>
      </c>
      <c r="H1957" s="77" t="s">
        <v>77</v>
      </c>
      <c r="I1957" s="77" t="s">
        <v>1521</v>
      </c>
      <c r="J1957" s="77" t="s">
        <v>3039</v>
      </c>
      <c r="K1957" s="77" t="s">
        <v>1522</v>
      </c>
      <c r="L1957" s="77" t="s">
        <v>2445</v>
      </c>
      <c r="M1957" s="77" t="s">
        <v>82</v>
      </c>
      <c r="N1957" s="77" t="s">
        <v>83</v>
      </c>
      <c r="Q1957" s="77" t="s">
        <v>111</v>
      </c>
      <c r="T1957" s="77" t="s">
        <v>1666</v>
      </c>
      <c r="U1957" s="77" t="s">
        <v>85</v>
      </c>
      <c r="V1957" s="80" t="s">
        <v>272</v>
      </c>
      <c r="X1957" s="77" t="s">
        <v>273</v>
      </c>
      <c r="Y1957" s="78" t="s">
        <v>101</v>
      </c>
      <c r="AA1957" s="77" t="s">
        <v>1568</v>
      </c>
      <c r="AB1957" s="77" t="s">
        <v>1521</v>
      </c>
      <c r="AC1957" s="77" t="s">
        <v>90</v>
      </c>
      <c r="AD1957" s="77" t="s">
        <v>274</v>
      </c>
      <c r="AE1957" s="77" t="s">
        <v>3499</v>
      </c>
    </row>
    <row r="1958" spans="1:33" x14ac:dyDescent="0.3">
      <c r="A1958" s="77" t="s">
        <v>3864</v>
      </c>
      <c r="B1958" s="77" t="s">
        <v>2458</v>
      </c>
      <c r="G1958" s="77" t="s">
        <v>3498</v>
      </c>
      <c r="H1958" s="77" t="s">
        <v>77</v>
      </c>
      <c r="I1958" s="77" t="s">
        <v>1521</v>
      </c>
      <c r="J1958" s="77" t="s">
        <v>3039</v>
      </c>
      <c r="K1958" s="77" t="s">
        <v>1522</v>
      </c>
      <c r="L1958" s="77" t="s">
        <v>2445</v>
      </c>
      <c r="M1958" s="77" t="s">
        <v>82</v>
      </c>
      <c r="N1958" s="77" t="s">
        <v>83</v>
      </c>
      <c r="Q1958" s="77" t="s">
        <v>111</v>
      </c>
      <c r="T1958" s="77" t="s">
        <v>1666</v>
      </c>
      <c r="U1958" s="77" t="s">
        <v>85</v>
      </c>
      <c r="V1958" s="80" t="s">
        <v>272</v>
      </c>
      <c r="X1958" s="77" t="s">
        <v>273</v>
      </c>
      <c r="Y1958" s="78" t="s">
        <v>101</v>
      </c>
      <c r="AA1958" s="77" t="s">
        <v>1568</v>
      </c>
      <c r="AB1958" s="77" t="s">
        <v>1521</v>
      </c>
      <c r="AC1958" s="77" t="s">
        <v>90</v>
      </c>
      <c r="AD1958" s="77" t="s">
        <v>274</v>
      </c>
      <c r="AE1958" s="77" t="s">
        <v>3499</v>
      </c>
    </row>
    <row r="1959" spans="1:33" x14ac:dyDescent="0.3">
      <c r="A1959" s="77" t="s">
        <v>3865</v>
      </c>
      <c r="B1959" s="77" t="s">
        <v>2460</v>
      </c>
      <c r="G1959" s="77" t="s">
        <v>3498</v>
      </c>
      <c r="H1959" s="77" t="s">
        <v>77</v>
      </c>
      <c r="I1959" s="77" t="s">
        <v>1521</v>
      </c>
      <c r="J1959" s="77" t="s">
        <v>3039</v>
      </c>
      <c r="K1959" s="77" t="s">
        <v>1522</v>
      </c>
      <c r="L1959" s="77" t="s">
        <v>2461</v>
      </c>
      <c r="M1959" s="77" t="s">
        <v>82</v>
      </c>
      <c r="N1959" s="77" t="s">
        <v>83</v>
      </c>
      <c r="Q1959" s="77" t="s">
        <v>111</v>
      </c>
      <c r="T1959" s="77" t="s">
        <v>1666</v>
      </c>
      <c r="U1959" s="77" t="s">
        <v>85</v>
      </c>
      <c r="V1959" s="80" t="s">
        <v>272</v>
      </c>
      <c r="X1959" s="77" t="s">
        <v>273</v>
      </c>
      <c r="Y1959" s="78" t="s">
        <v>101</v>
      </c>
      <c r="AA1959" s="77" t="s">
        <v>1568</v>
      </c>
      <c r="AB1959" s="77" t="s">
        <v>1521</v>
      </c>
      <c r="AC1959" s="77" t="s">
        <v>90</v>
      </c>
      <c r="AD1959" s="77" t="s">
        <v>274</v>
      </c>
      <c r="AE1959" s="77" t="s">
        <v>3499</v>
      </c>
    </row>
    <row r="1960" spans="1:33" hidden="1" x14ac:dyDescent="0.3">
      <c r="A1960" s="77" t="s">
        <v>3866</v>
      </c>
      <c r="B1960" s="77" t="s">
        <v>2463</v>
      </c>
      <c r="G1960" s="77" t="s">
        <v>3498</v>
      </c>
      <c r="H1960" s="77" t="s">
        <v>77</v>
      </c>
      <c r="I1960" s="77" t="s">
        <v>1521</v>
      </c>
      <c r="J1960" s="77" t="s">
        <v>3039</v>
      </c>
      <c r="K1960" s="77" t="s">
        <v>1522</v>
      </c>
      <c r="L1960" s="77" t="s">
        <v>2464</v>
      </c>
      <c r="M1960" s="77" t="s">
        <v>82</v>
      </c>
      <c r="N1960" s="77" t="s">
        <v>83</v>
      </c>
      <c r="Q1960" s="77" t="s">
        <v>111</v>
      </c>
      <c r="T1960" s="77" t="s">
        <v>2327</v>
      </c>
      <c r="U1960" s="77" t="s">
        <v>85</v>
      </c>
      <c r="V1960" s="77" t="s">
        <v>947</v>
      </c>
      <c r="W1960" s="79">
        <v>46205.267668368055</v>
      </c>
      <c r="X1960" s="77" t="s">
        <v>948</v>
      </c>
      <c r="Y1960" s="78" t="s">
        <v>88</v>
      </c>
      <c r="AA1960" s="77" t="s">
        <v>1568</v>
      </c>
      <c r="AB1960" s="77" t="s">
        <v>1521</v>
      </c>
      <c r="AC1960" s="77" t="s">
        <v>114</v>
      </c>
      <c r="AD1960" s="77" t="s">
        <v>91</v>
      </c>
      <c r="AE1960" s="77" t="s">
        <v>3499</v>
      </c>
      <c r="AF1960" s="77" t="s">
        <v>2706</v>
      </c>
      <c r="AG1960" s="77" t="s">
        <v>2327</v>
      </c>
    </row>
    <row r="1961" spans="1:33" hidden="1" x14ac:dyDescent="0.3">
      <c r="A1961" s="77" t="s">
        <v>3867</v>
      </c>
      <c r="B1961" s="77" t="s">
        <v>2466</v>
      </c>
      <c r="G1961" s="77" t="s">
        <v>3498</v>
      </c>
      <c r="H1961" s="77" t="s">
        <v>77</v>
      </c>
      <c r="I1961" s="77" t="s">
        <v>1521</v>
      </c>
      <c r="J1961" s="77" t="s">
        <v>3039</v>
      </c>
      <c r="K1961" s="77" t="s">
        <v>1522</v>
      </c>
      <c r="L1961" s="77" t="s">
        <v>2467</v>
      </c>
      <c r="M1961" s="77" t="s">
        <v>82</v>
      </c>
      <c r="N1961" s="77" t="s">
        <v>83</v>
      </c>
      <c r="Q1961" s="77" t="s">
        <v>111</v>
      </c>
      <c r="T1961" s="77" t="s">
        <v>2327</v>
      </c>
      <c r="U1961" s="77" t="s">
        <v>85</v>
      </c>
      <c r="V1961" s="77" t="s">
        <v>947</v>
      </c>
      <c r="W1961" s="79">
        <v>46205.268623229167</v>
      </c>
      <c r="X1961" s="77" t="s">
        <v>948</v>
      </c>
      <c r="Y1961" s="78" t="s">
        <v>88</v>
      </c>
      <c r="AA1961" s="77" t="s">
        <v>1568</v>
      </c>
      <c r="AB1961" s="77" t="s">
        <v>1521</v>
      </c>
      <c r="AC1961" s="77" t="s">
        <v>114</v>
      </c>
      <c r="AD1961" s="77" t="s">
        <v>91</v>
      </c>
      <c r="AE1961" s="77" t="s">
        <v>3499</v>
      </c>
      <c r="AF1961" s="77" t="s">
        <v>2706</v>
      </c>
      <c r="AG1961" s="77" t="s">
        <v>2327</v>
      </c>
    </row>
    <row r="1962" spans="1:33" x14ac:dyDescent="0.3">
      <c r="A1962" s="77" t="s">
        <v>3868</v>
      </c>
      <c r="B1962" s="77" t="s">
        <v>2469</v>
      </c>
      <c r="G1962" s="77" t="s">
        <v>3498</v>
      </c>
      <c r="H1962" s="77" t="s">
        <v>77</v>
      </c>
      <c r="I1962" s="77" t="s">
        <v>1521</v>
      </c>
      <c r="J1962" s="77" t="s">
        <v>3039</v>
      </c>
      <c r="K1962" s="77" t="s">
        <v>1522</v>
      </c>
      <c r="L1962" s="77" t="s">
        <v>2470</v>
      </c>
      <c r="M1962" s="77" t="s">
        <v>82</v>
      </c>
      <c r="N1962" s="77" t="s">
        <v>83</v>
      </c>
      <c r="Q1962" s="77" t="s">
        <v>111</v>
      </c>
      <c r="T1962" s="77" t="s">
        <v>2327</v>
      </c>
      <c r="U1962" s="77" t="s">
        <v>85</v>
      </c>
      <c r="V1962" s="80" t="s">
        <v>925</v>
      </c>
      <c r="X1962" s="77" t="s">
        <v>926</v>
      </c>
      <c r="Y1962" s="78" t="s">
        <v>101</v>
      </c>
      <c r="AA1962" s="77" t="s">
        <v>1568</v>
      </c>
      <c r="AB1962" s="77" t="s">
        <v>1521</v>
      </c>
      <c r="AC1962" s="77" t="s">
        <v>90</v>
      </c>
      <c r="AD1962" s="77" t="s">
        <v>274</v>
      </c>
      <c r="AE1962" s="77" t="s">
        <v>3499</v>
      </c>
      <c r="AG1962" s="77" t="s">
        <v>2327</v>
      </c>
    </row>
    <row r="1963" spans="1:33" x14ac:dyDescent="0.3">
      <c r="A1963" s="77" t="s">
        <v>3869</v>
      </c>
      <c r="B1963" s="77" t="s">
        <v>2472</v>
      </c>
      <c r="G1963" s="77" t="s">
        <v>3498</v>
      </c>
      <c r="H1963" s="77" t="s">
        <v>77</v>
      </c>
      <c r="I1963" s="77" t="s">
        <v>1521</v>
      </c>
      <c r="J1963" s="77" t="s">
        <v>3039</v>
      </c>
      <c r="K1963" s="77" t="s">
        <v>1522</v>
      </c>
      <c r="L1963" s="77" t="s">
        <v>2473</v>
      </c>
      <c r="M1963" s="77" t="s">
        <v>82</v>
      </c>
      <c r="N1963" s="77" t="s">
        <v>83</v>
      </c>
      <c r="Q1963" s="77" t="s">
        <v>111</v>
      </c>
      <c r="T1963" s="77" t="s">
        <v>2327</v>
      </c>
      <c r="U1963" s="77" t="s">
        <v>85</v>
      </c>
      <c r="V1963" s="80" t="s">
        <v>925</v>
      </c>
      <c r="X1963" s="77" t="s">
        <v>926</v>
      </c>
      <c r="Y1963" s="78" t="s">
        <v>101</v>
      </c>
      <c r="AA1963" s="77" t="s">
        <v>1568</v>
      </c>
      <c r="AB1963" s="77" t="s">
        <v>1521</v>
      </c>
      <c r="AC1963" s="77" t="s">
        <v>90</v>
      </c>
      <c r="AD1963" s="77" t="s">
        <v>274</v>
      </c>
      <c r="AE1963" s="77" t="s">
        <v>3499</v>
      </c>
      <c r="AG1963" s="77" t="s">
        <v>2327</v>
      </c>
    </row>
    <row r="1964" spans="1:33" x14ac:dyDescent="0.3">
      <c r="A1964" s="77" t="s">
        <v>3870</v>
      </c>
      <c r="B1964" s="77" t="s">
        <v>2475</v>
      </c>
      <c r="G1964" s="77" t="s">
        <v>3498</v>
      </c>
      <c r="H1964" s="77" t="s">
        <v>77</v>
      </c>
      <c r="I1964" s="77" t="s">
        <v>1521</v>
      </c>
      <c r="J1964" s="77" t="s">
        <v>3039</v>
      </c>
      <c r="K1964" s="77" t="s">
        <v>1522</v>
      </c>
      <c r="L1964" s="77" t="s">
        <v>2476</v>
      </c>
      <c r="M1964" s="77" t="s">
        <v>82</v>
      </c>
      <c r="N1964" s="77" t="s">
        <v>83</v>
      </c>
      <c r="Q1964" s="77" t="s">
        <v>111</v>
      </c>
      <c r="T1964" s="77" t="s">
        <v>2327</v>
      </c>
      <c r="U1964" s="77" t="s">
        <v>85</v>
      </c>
      <c r="V1964" s="80" t="s">
        <v>930</v>
      </c>
      <c r="X1964" s="77" t="s">
        <v>931</v>
      </c>
      <c r="Y1964" s="78" t="s">
        <v>88</v>
      </c>
      <c r="AA1964" s="77" t="s">
        <v>1568</v>
      </c>
      <c r="AB1964" s="77" t="s">
        <v>1521</v>
      </c>
      <c r="AC1964" s="77" t="s">
        <v>90</v>
      </c>
      <c r="AD1964" s="77" t="s">
        <v>91</v>
      </c>
      <c r="AE1964" s="77" t="s">
        <v>3499</v>
      </c>
      <c r="AG1964" s="77" t="s">
        <v>2327</v>
      </c>
    </row>
    <row r="1965" spans="1:33" x14ac:dyDescent="0.3">
      <c r="A1965" s="77" t="s">
        <v>3871</v>
      </c>
      <c r="B1965" s="77" t="s">
        <v>2478</v>
      </c>
      <c r="G1965" s="77" t="s">
        <v>3498</v>
      </c>
      <c r="H1965" s="77" t="s">
        <v>77</v>
      </c>
      <c r="I1965" s="77" t="s">
        <v>1521</v>
      </c>
      <c r="J1965" s="77" t="s">
        <v>3039</v>
      </c>
      <c r="K1965" s="77" t="s">
        <v>1522</v>
      </c>
      <c r="L1965" s="77" t="s">
        <v>2479</v>
      </c>
      <c r="M1965" s="77" t="s">
        <v>82</v>
      </c>
      <c r="N1965" s="77" t="s">
        <v>83</v>
      </c>
      <c r="Q1965" s="77" t="s">
        <v>111</v>
      </c>
      <c r="T1965" s="77" t="s">
        <v>2327</v>
      </c>
      <c r="U1965" s="77" t="s">
        <v>85</v>
      </c>
      <c r="V1965" s="80" t="s">
        <v>930</v>
      </c>
      <c r="X1965" s="77" t="s">
        <v>931</v>
      </c>
      <c r="Y1965" s="78" t="s">
        <v>88</v>
      </c>
      <c r="AA1965" s="77" t="s">
        <v>1568</v>
      </c>
      <c r="AB1965" s="77" t="s">
        <v>1521</v>
      </c>
      <c r="AC1965" s="77" t="s">
        <v>90</v>
      </c>
      <c r="AD1965" s="77" t="s">
        <v>91</v>
      </c>
      <c r="AE1965" s="77" t="s">
        <v>3499</v>
      </c>
      <c r="AG1965" s="77" t="s">
        <v>2327</v>
      </c>
    </row>
    <row r="1966" spans="1:33" x14ac:dyDescent="0.3">
      <c r="A1966" s="77" t="s">
        <v>3872</v>
      </c>
      <c r="B1966" s="77" t="s">
        <v>2481</v>
      </c>
      <c r="G1966" s="77" t="s">
        <v>3498</v>
      </c>
      <c r="H1966" s="77" t="s">
        <v>77</v>
      </c>
      <c r="I1966" s="77" t="s">
        <v>1521</v>
      </c>
      <c r="J1966" s="77" t="s">
        <v>3039</v>
      </c>
      <c r="K1966" s="77" t="s">
        <v>1522</v>
      </c>
      <c r="L1966" s="77" t="s">
        <v>2482</v>
      </c>
      <c r="M1966" s="77" t="s">
        <v>82</v>
      </c>
      <c r="N1966" s="77" t="s">
        <v>83</v>
      </c>
      <c r="Q1966" s="77" t="s">
        <v>111</v>
      </c>
      <c r="T1966" s="77" t="s">
        <v>2327</v>
      </c>
      <c r="U1966" s="77" t="s">
        <v>85</v>
      </c>
      <c r="V1966" s="80" t="s">
        <v>925</v>
      </c>
      <c r="X1966" s="77" t="s">
        <v>926</v>
      </c>
      <c r="Y1966" s="78" t="s">
        <v>101</v>
      </c>
      <c r="AA1966" s="77" t="s">
        <v>1568</v>
      </c>
      <c r="AB1966" s="77" t="s">
        <v>1521</v>
      </c>
      <c r="AC1966" s="77" t="s">
        <v>90</v>
      </c>
      <c r="AD1966" s="77" t="s">
        <v>274</v>
      </c>
      <c r="AE1966" s="77" t="s">
        <v>3499</v>
      </c>
      <c r="AG1966" s="77" t="s">
        <v>2327</v>
      </c>
    </row>
    <row r="1967" spans="1:33" x14ac:dyDescent="0.3">
      <c r="A1967" s="77" t="s">
        <v>3873</v>
      </c>
      <c r="B1967" s="77" t="s">
        <v>2484</v>
      </c>
      <c r="G1967" s="77" t="s">
        <v>3498</v>
      </c>
      <c r="H1967" s="77" t="s">
        <v>77</v>
      </c>
      <c r="I1967" s="77" t="s">
        <v>1521</v>
      </c>
      <c r="J1967" s="77" t="s">
        <v>3039</v>
      </c>
      <c r="K1967" s="77" t="s">
        <v>1522</v>
      </c>
      <c r="L1967" s="77" t="s">
        <v>2485</v>
      </c>
      <c r="M1967" s="77" t="s">
        <v>82</v>
      </c>
      <c r="N1967" s="77" t="s">
        <v>83</v>
      </c>
      <c r="Q1967" s="77" t="s">
        <v>111</v>
      </c>
      <c r="T1967" s="77" t="s">
        <v>2327</v>
      </c>
      <c r="U1967" s="77" t="s">
        <v>85</v>
      </c>
      <c r="V1967" s="80" t="s">
        <v>925</v>
      </c>
      <c r="X1967" s="77" t="s">
        <v>926</v>
      </c>
      <c r="Y1967" s="78" t="s">
        <v>101</v>
      </c>
      <c r="AA1967" s="77" t="s">
        <v>1568</v>
      </c>
      <c r="AB1967" s="77" t="s">
        <v>1521</v>
      </c>
      <c r="AC1967" s="77" t="s">
        <v>90</v>
      </c>
      <c r="AD1967" s="77" t="s">
        <v>274</v>
      </c>
      <c r="AE1967" s="77" t="s">
        <v>3499</v>
      </c>
      <c r="AG1967" s="77" t="s">
        <v>2327</v>
      </c>
    </row>
    <row r="1968" spans="1:33" x14ac:dyDescent="0.3">
      <c r="A1968" s="77" t="s">
        <v>3874</v>
      </c>
      <c r="B1968" s="77" t="s">
        <v>2487</v>
      </c>
      <c r="G1968" s="77" t="s">
        <v>3498</v>
      </c>
      <c r="H1968" s="77" t="s">
        <v>77</v>
      </c>
      <c r="I1968" s="77" t="s">
        <v>1521</v>
      </c>
      <c r="J1968" s="77" t="s">
        <v>3039</v>
      </c>
      <c r="K1968" s="77" t="s">
        <v>1522</v>
      </c>
      <c r="L1968" s="77" t="s">
        <v>2488</v>
      </c>
      <c r="M1968" s="77" t="s">
        <v>82</v>
      </c>
      <c r="N1968" s="77" t="s">
        <v>83</v>
      </c>
      <c r="Q1968" s="77" t="s">
        <v>111</v>
      </c>
      <c r="T1968" s="77" t="s">
        <v>2327</v>
      </c>
      <c r="U1968" s="77" t="s">
        <v>85</v>
      </c>
      <c r="V1968" s="80" t="s">
        <v>930</v>
      </c>
      <c r="X1968" s="77" t="s">
        <v>931</v>
      </c>
      <c r="Y1968" s="78" t="s">
        <v>88</v>
      </c>
      <c r="AA1968" s="77" t="s">
        <v>1568</v>
      </c>
      <c r="AB1968" s="77" t="s">
        <v>1521</v>
      </c>
      <c r="AC1968" s="77" t="s">
        <v>90</v>
      </c>
      <c r="AD1968" s="77" t="s">
        <v>91</v>
      </c>
      <c r="AE1968" s="77" t="s">
        <v>3499</v>
      </c>
      <c r="AG1968" s="77" t="s">
        <v>2327</v>
      </c>
    </row>
    <row r="1969" spans="1:33" x14ac:dyDescent="0.3">
      <c r="A1969" s="77" t="s">
        <v>3875</v>
      </c>
      <c r="B1969" s="77" t="s">
        <v>2490</v>
      </c>
      <c r="G1969" s="77" t="s">
        <v>3498</v>
      </c>
      <c r="H1969" s="77" t="s">
        <v>77</v>
      </c>
      <c r="I1969" s="77" t="s">
        <v>1521</v>
      </c>
      <c r="J1969" s="77" t="s">
        <v>3039</v>
      </c>
      <c r="K1969" s="77" t="s">
        <v>1522</v>
      </c>
      <c r="L1969" s="77" t="s">
        <v>2491</v>
      </c>
      <c r="M1969" s="77" t="s">
        <v>82</v>
      </c>
      <c r="N1969" s="77" t="s">
        <v>83</v>
      </c>
      <c r="Q1969" s="77" t="s">
        <v>111</v>
      </c>
      <c r="T1969" s="77" t="s">
        <v>2327</v>
      </c>
      <c r="U1969" s="77" t="s">
        <v>85</v>
      </c>
      <c r="V1969" s="80" t="s">
        <v>930</v>
      </c>
      <c r="X1969" s="77" t="s">
        <v>931</v>
      </c>
      <c r="Y1969" s="78" t="s">
        <v>88</v>
      </c>
      <c r="AA1969" s="77" t="s">
        <v>1568</v>
      </c>
      <c r="AB1969" s="77" t="s">
        <v>1521</v>
      </c>
      <c r="AC1969" s="77" t="s">
        <v>90</v>
      </c>
      <c r="AD1969" s="77" t="s">
        <v>91</v>
      </c>
      <c r="AE1969" s="77" t="s">
        <v>3499</v>
      </c>
      <c r="AG1969" s="77" t="s">
        <v>2327</v>
      </c>
    </row>
    <row r="1970" spans="1:33" x14ac:dyDescent="0.3">
      <c r="A1970" s="77" t="s">
        <v>3876</v>
      </c>
      <c r="B1970" s="77" t="s">
        <v>2493</v>
      </c>
      <c r="G1970" s="77" t="s">
        <v>3498</v>
      </c>
      <c r="H1970" s="77" t="s">
        <v>77</v>
      </c>
      <c r="I1970" s="77" t="s">
        <v>1521</v>
      </c>
      <c r="J1970" s="77" t="s">
        <v>3039</v>
      </c>
      <c r="K1970" s="77" t="s">
        <v>1522</v>
      </c>
      <c r="L1970" s="77" t="s">
        <v>2494</v>
      </c>
      <c r="M1970" s="77" t="s">
        <v>82</v>
      </c>
      <c r="N1970" s="77" t="s">
        <v>83</v>
      </c>
      <c r="Q1970" s="77" t="s">
        <v>111</v>
      </c>
      <c r="T1970" s="77" t="s">
        <v>2327</v>
      </c>
      <c r="U1970" s="77" t="s">
        <v>85</v>
      </c>
      <c r="V1970" s="80" t="s">
        <v>925</v>
      </c>
      <c r="X1970" s="77" t="s">
        <v>926</v>
      </c>
      <c r="Y1970" s="78" t="s">
        <v>101</v>
      </c>
      <c r="AA1970" s="77" t="s">
        <v>1568</v>
      </c>
      <c r="AB1970" s="77" t="s">
        <v>1521</v>
      </c>
      <c r="AC1970" s="77" t="s">
        <v>90</v>
      </c>
      <c r="AD1970" s="77" t="s">
        <v>274</v>
      </c>
      <c r="AE1970" s="77" t="s">
        <v>3499</v>
      </c>
      <c r="AG1970" s="77" t="s">
        <v>2327</v>
      </c>
    </row>
    <row r="1971" spans="1:33" x14ac:dyDescent="0.3">
      <c r="A1971" s="77" t="s">
        <v>3877</v>
      </c>
      <c r="B1971" s="77" t="s">
        <v>2496</v>
      </c>
      <c r="G1971" s="77" t="s">
        <v>3498</v>
      </c>
      <c r="H1971" s="77" t="s">
        <v>77</v>
      </c>
      <c r="I1971" s="77" t="s">
        <v>1521</v>
      </c>
      <c r="J1971" s="77" t="s">
        <v>3039</v>
      </c>
      <c r="K1971" s="77" t="s">
        <v>1522</v>
      </c>
      <c r="L1971" s="77" t="s">
        <v>2497</v>
      </c>
      <c r="M1971" s="77" t="s">
        <v>82</v>
      </c>
      <c r="N1971" s="77" t="s">
        <v>83</v>
      </c>
      <c r="Q1971" s="77" t="s">
        <v>111</v>
      </c>
      <c r="T1971" s="77" t="s">
        <v>2327</v>
      </c>
      <c r="U1971" s="77" t="s">
        <v>85</v>
      </c>
      <c r="V1971" s="80" t="s">
        <v>925</v>
      </c>
      <c r="X1971" s="77" t="s">
        <v>926</v>
      </c>
      <c r="Y1971" s="78" t="s">
        <v>101</v>
      </c>
      <c r="AA1971" s="77" t="s">
        <v>1568</v>
      </c>
      <c r="AB1971" s="77" t="s">
        <v>1521</v>
      </c>
      <c r="AC1971" s="77" t="s">
        <v>90</v>
      </c>
      <c r="AD1971" s="77" t="s">
        <v>274</v>
      </c>
      <c r="AE1971" s="77" t="s">
        <v>3499</v>
      </c>
      <c r="AG1971" s="77" t="s">
        <v>2327</v>
      </c>
    </row>
    <row r="1972" spans="1:33" x14ac:dyDescent="0.3">
      <c r="A1972" s="77" t="s">
        <v>3878</v>
      </c>
      <c r="B1972" s="77" t="s">
        <v>2499</v>
      </c>
      <c r="G1972" s="77" t="s">
        <v>3498</v>
      </c>
      <c r="H1972" s="77" t="s">
        <v>77</v>
      </c>
      <c r="I1972" s="77" t="s">
        <v>1521</v>
      </c>
      <c r="J1972" s="77" t="s">
        <v>3039</v>
      </c>
      <c r="K1972" s="77" t="s">
        <v>1522</v>
      </c>
      <c r="L1972" s="77" t="s">
        <v>2500</v>
      </c>
      <c r="M1972" s="77" t="s">
        <v>82</v>
      </c>
      <c r="N1972" s="77" t="s">
        <v>83</v>
      </c>
      <c r="Q1972" s="77" t="s">
        <v>111</v>
      </c>
      <c r="T1972" s="77" t="s">
        <v>2327</v>
      </c>
      <c r="U1972" s="77" t="s">
        <v>85</v>
      </c>
      <c r="V1972" s="80" t="s">
        <v>930</v>
      </c>
      <c r="X1972" s="77" t="s">
        <v>931</v>
      </c>
      <c r="Y1972" s="78" t="s">
        <v>88</v>
      </c>
      <c r="AA1972" s="77" t="s">
        <v>1568</v>
      </c>
      <c r="AB1972" s="77" t="s">
        <v>1521</v>
      </c>
      <c r="AC1972" s="77" t="s">
        <v>90</v>
      </c>
      <c r="AD1972" s="77" t="s">
        <v>91</v>
      </c>
      <c r="AE1972" s="77" t="s">
        <v>3499</v>
      </c>
      <c r="AG1972" s="77" t="s">
        <v>2327</v>
      </c>
    </row>
    <row r="1973" spans="1:33" x14ac:dyDescent="0.3">
      <c r="A1973" s="77" t="s">
        <v>3879</v>
      </c>
      <c r="B1973" s="77" t="s">
        <v>2502</v>
      </c>
      <c r="G1973" s="77" t="s">
        <v>3498</v>
      </c>
      <c r="H1973" s="77" t="s">
        <v>77</v>
      </c>
      <c r="I1973" s="77" t="s">
        <v>1521</v>
      </c>
      <c r="J1973" s="77" t="s">
        <v>3039</v>
      </c>
      <c r="K1973" s="77" t="s">
        <v>1522</v>
      </c>
      <c r="L1973" s="77" t="s">
        <v>2503</v>
      </c>
      <c r="M1973" s="77" t="s">
        <v>82</v>
      </c>
      <c r="N1973" s="77" t="s">
        <v>83</v>
      </c>
      <c r="Q1973" s="77" t="s">
        <v>111</v>
      </c>
      <c r="T1973" s="77" t="s">
        <v>2327</v>
      </c>
      <c r="U1973" s="77" t="s">
        <v>85</v>
      </c>
      <c r="V1973" s="80" t="s">
        <v>930</v>
      </c>
      <c r="X1973" s="77" t="s">
        <v>931</v>
      </c>
      <c r="Y1973" s="78" t="s">
        <v>88</v>
      </c>
      <c r="AA1973" s="77" t="s">
        <v>1568</v>
      </c>
      <c r="AB1973" s="77" t="s">
        <v>1521</v>
      </c>
      <c r="AC1973" s="77" t="s">
        <v>90</v>
      </c>
      <c r="AD1973" s="77" t="s">
        <v>91</v>
      </c>
      <c r="AE1973" s="77" t="s">
        <v>3499</v>
      </c>
      <c r="AG1973" s="77" t="s">
        <v>2327</v>
      </c>
    </row>
    <row r="1974" spans="1:33" x14ac:dyDescent="0.3">
      <c r="A1974" s="77" t="s">
        <v>3880</v>
      </c>
      <c r="B1974" s="77" t="s">
        <v>2505</v>
      </c>
      <c r="G1974" s="77" t="s">
        <v>3498</v>
      </c>
      <c r="H1974" s="77" t="s">
        <v>77</v>
      </c>
      <c r="I1974" s="77" t="s">
        <v>1521</v>
      </c>
      <c r="J1974" s="77" t="s">
        <v>3039</v>
      </c>
      <c r="K1974" s="77" t="s">
        <v>1522</v>
      </c>
      <c r="L1974" s="77" t="s">
        <v>2506</v>
      </c>
      <c r="M1974" s="77" t="s">
        <v>82</v>
      </c>
      <c r="N1974" s="77" t="s">
        <v>83</v>
      </c>
      <c r="Q1974" s="77" t="s">
        <v>111</v>
      </c>
      <c r="T1974" s="77" t="s">
        <v>2327</v>
      </c>
      <c r="U1974" s="77" t="s">
        <v>85</v>
      </c>
      <c r="V1974" s="80" t="s">
        <v>925</v>
      </c>
      <c r="X1974" s="77" t="s">
        <v>926</v>
      </c>
      <c r="Y1974" s="78" t="s">
        <v>101</v>
      </c>
      <c r="AA1974" s="77" t="s">
        <v>1568</v>
      </c>
      <c r="AB1974" s="77" t="s">
        <v>1521</v>
      </c>
      <c r="AC1974" s="77" t="s">
        <v>90</v>
      </c>
      <c r="AD1974" s="77" t="s">
        <v>274</v>
      </c>
      <c r="AE1974" s="77" t="s">
        <v>3499</v>
      </c>
      <c r="AG1974" s="77" t="s">
        <v>2327</v>
      </c>
    </row>
    <row r="1975" spans="1:33" x14ac:dyDescent="0.3">
      <c r="A1975" s="77" t="s">
        <v>3881</v>
      </c>
      <c r="B1975" s="77" t="s">
        <v>2508</v>
      </c>
      <c r="G1975" s="77" t="s">
        <v>3498</v>
      </c>
      <c r="H1975" s="77" t="s">
        <v>77</v>
      </c>
      <c r="I1975" s="77" t="s">
        <v>1521</v>
      </c>
      <c r="J1975" s="77" t="s">
        <v>3039</v>
      </c>
      <c r="K1975" s="77" t="s">
        <v>1522</v>
      </c>
      <c r="L1975" s="77" t="s">
        <v>2509</v>
      </c>
      <c r="M1975" s="77" t="s">
        <v>82</v>
      </c>
      <c r="N1975" s="77" t="s">
        <v>83</v>
      </c>
      <c r="Q1975" s="77" t="s">
        <v>111</v>
      </c>
      <c r="T1975" s="77" t="s">
        <v>2327</v>
      </c>
      <c r="U1975" s="77" t="s">
        <v>85</v>
      </c>
      <c r="V1975" s="80" t="s">
        <v>925</v>
      </c>
      <c r="X1975" s="77" t="s">
        <v>926</v>
      </c>
      <c r="Y1975" s="78" t="s">
        <v>101</v>
      </c>
      <c r="AA1975" s="77" t="s">
        <v>1568</v>
      </c>
      <c r="AB1975" s="77" t="s">
        <v>1521</v>
      </c>
      <c r="AC1975" s="77" t="s">
        <v>90</v>
      </c>
      <c r="AD1975" s="77" t="s">
        <v>274</v>
      </c>
      <c r="AE1975" s="77" t="s">
        <v>3499</v>
      </c>
      <c r="AG1975" s="77" t="s">
        <v>2327</v>
      </c>
    </row>
    <row r="1976" spans="1:33" x14ac:dyDescent="0.3">
      <c r="A1976" s="77" t="s">
        <v>3882</v>
      </c>
      <c r="B1976" s="77" t="s">
        <v>2511</v>
      </c>
      <c r="G1976" s="77" t="s">
        <v>3498</v>
      </c>
      <c r="H1976" s="77" t="s">
        <v>77</v>
      </c>
      <c r="I1976" s="77" t="s">
        <v>1521</v>
      </c>
      <c r="J1976" s="77" t="s">
        <v>3039</v>
      </c>
      <c r="K1976" s="77" t="s">
        <v>1522</v>
      </c>
      <c r="L1976" s="77" t="s">
        <v>2512</v>
      </c>
      <c r="M1976" s="77" t="s">
        <v>82</v>
      </c>
      <c r="N1976" s="77" t="s">
        <v>83</v>
      </c>
      <c r="Q1976" s="77" t="s">
        <v>111</v>
      </c>
      <c r="T1976" s="77" t="s">
        <v>2327</v>
      </c>
      <c r="U1976" s="77" t="s">
        <v>85</v>
      </c>
      <c r="V1976" s="80" t="s">
        <v>930</v>
      </c>
      <c r="X1976" s="77" t="s">
        <v>931</v>
      </c>
      <c r="Y1976" s="78" t="s">
        <v>88</v>
      </c>
      <c r="AA1976" s="77" t="s">
        <v>1568</v>
      </c>
      <c r="AB1976" s="77" t="s">
        <v>1521</v>
      </c>
      <c r="AC1976" s="77" t="s">
        <v>90</v>
      </c>
      <c r="AD1976" s="77" t="s">
        <v>91</v>
      </c>
      <c r="AE1976" s="77" t="s">
        <v>3499</v>
      </c>
      <c r="AG1976" s="77" t="s">
        <v>2327</v>
      </c>
    </row>
    <row r="1977" spans="1:33" x14ac:dyDescent="0.3">
      <c r="A1977" s="77" t="s">
        <v>3883</v>
      </c>
      <c r="B1977" s="77" t="s">
        <v>2514</v>
      </c>
      <c r="G1977" s="77" t="s">
        <v>3498</v>
      </c>
      <c r="H1977" s="77" t="s">
        <v>77</v>
      </c>
      <c r="I1977" s="77" t="s">
        <v>1521</v>
      </c>
      <c r="J1977" s="77" t="s">
        <v>3039</v>
      </c>
      <c r="K1977" s="77" t="s">
        <v>1522</v>
      </c>
      <c r="L1977" s="77" t="s">
        <v>2515</v>
      </c>
      <c r="M1977" s="77" t="s">
        <v>82</v>
      </c>
      <c r="N1977" s="77" t="s">
        <v>83</v>
      </c>
      <c r="Q1977" s="77" t="s">
        <v>111</v>
      </c>
      <c r="T1977" s="77" t="s">
        <v>2327</v>
      </c>
      <c r="U1977" s="77" t="s">
        <v>85</v>
      </c>
      <c r="V1977" s="80" t="s">
        <v>930</v>
      </c>
      <c r="X1977" s="77" t="s">
        <v>931</v>
      </c>
      <c r="Y1977" s="78" t="s">
        <v>88</v>
      </c>
      <c r="AA1977" s="77" t="s">
        <v>1568</v>
      </c>
      <c r="AB1977" s="77" t="s">
        <v>1521</v>
      </c>
      <c r="AC1977" s="77" t="s">
        <v>90</v>
      </c>
      <c r="AD1977" s="77" t="s">
        <v>91</v>
      </c>
      <c r="AE1977" s="77" t="s">
        <v>3499</v>
      </c>
      <c r="AG1977" s="77" t="s">
        <v>2327</v>
      </c>
    </row>
    <row r="1978" spans="1:33" hidden="1" x14ac:dyDescent="0.3">
      <c r="A1978" s="77" t="s">
        <v>3884</v>
      </c>
      <c r="B1978" s="77" t="s">
        <v>2517</v>
      </c>
      <c r="G1978" s="77" t="s">
        <v>3498</v>
      </c>
      <c r="H1978" s="77" t="s">
        <v>77</v>
      </c>
      <c r="I1978" s="77" t="s">
        <v>1521</v>
      </c>
      <c r="J1978" s="77" t="s">
        <v>3039</v>
      </c>
      <c r="K1978" s="77" t="s">
        <v>1522</v>
      </c>
      <c r="L1978" s="77" t="s">
        <v>2518</v>
      </c>
      <c r="M1978" s="77" t="s">
        <v>82</v>
      </c>
      <c r="N1978" s="77" t="s">
        <v>83</v>
      </c>
      <c r="Q1978" s="77" t="s">
        <v>111</v>
      </c>
      <c r="T1978" s="77" t="s">
        <v>2327</v>
      </c>
      <c r="U1978" s="77" t="s">
        <v>85</v>
      </c>
      <c r="V1978" s="77" t="s">
        <v>947</v>
      </c>
      <c r="W1978" s="79">
        <v>46205.274263541665</v>
      </c>
      <c r="X1978" s="77" t="s">
        <v>948</v>
      </c>
      <c r="Y1978" s="78" t="s">
        <v>88</v>
      </c>
      <c r="AA1978" s="77" t="s">
        <v>1568</v>
      </c>
      <c r="AB1978" s="77" t="s">
        <v>1521</v>
      </c>
      <c r="AC1978" s="77" t="s">
        <v>114</v>
      </c>
      <c r="AD1978" s="77" t="s">
        <v>91</v>
      </c>
      <c r="AE1978" s="77" t="s">
        <v>3499</v>
      </c>
      <c r="AF1978" s="77" t="s">
        <v>2706</v>
      </c>
      <c r="AG1978" s="77" t="s">
        <v>2327</v>
      </c>
    </row>
    <row r="1979" spans="1:33" hidden="1" x14ac:dyDescent="0.3">
      <c r="A1979" s="77" t="s">
        <v>3885</v>
      </c>
      <c r="B1979" s="77" t="s">
        <v>2520</v>
      </c>
      <c r="G1979" s="77" t="s">
        <v>3498</v>
      </c>
      <c r="H1979" s="77" t="s">
        <v>77</v>
      </c>
      <c r="I1979" s="77" t="s">
        <v>1521</v>
      </c>
      <c r="J1979" s="77" t="s">
        <v>3039</v>
      </c>
      <c r="K1979" s="77" t="s">
        <v>1522</v>
      </c>
      <c r="L1979" s="77" t="s">
        <v>2413</v>
      </c>
      <c r="M1979" s="77" t="s">
        <v>82</v>
      </c>
      <c r="N1979" s="77" t="s">
        <v>83</v>
      </c>
      <c r="Q1979" s="77" t="s">
        <v>111</v>
      </c>
      <c r="T1979" s="77" t="s">
        <v>2327</v>
      </c>
      <c r="U1979" s="77" t="s">
        <v>85</v>
      </c>
      <c r="V1979" s="77" t="s">
        <v>891</v>
      </c>
      <c r="W1979" s="79">
        <v>46205.274461377317</v>
      </c>
      <c r="X1979" s="77" t="s">
        <v>892</v>
      </c>
      <c r="Y1979" s="78" t="s">
        <v>88</v>
      </c>
      <c r="AA1979" s="77" t="s">
        <v>1568</v>
      </c>
      <c r="AB1979" s="77" t="s">
        <v>1521</v>
      </c>
      <c r="AC1979" s="77" t="s">
        <v>114</v>
      </c>
      <c r="AD1979" s="77" t="s">
        <v>91</v>
      </c>
      <c r="AE1979" s="77" t="s">
        <v>3499</v>
      </c>
      <c r="AF1979" s="77" t="s">
        <v>2706</v>
      </c>
      <c r="AG1979" s="77" t="s">
        <v>2327</v>
      </c>
    </row>
    <row r="1980" spans="1:33" hidden="1" x14ac:dyDescent="0.3">
      <c r="A1980" s="77" t="s">
        <v>3886</v>
      </c>
      <c r="B1980" s="77" t="s">
        <v>2522</v>
      </c>
      <c r="G1980" s="77" t="s">
        <v>3498</v>
      </c>
      <c r="H1980" s="77" t="s">
        <v>77</v>
      </c>
      <c r="I1980" s="77" t="s">
        <v>1521</v>
      </c>
      <c r="J1980" s="77" t="s">
        <v>3039</v>
      </c>
      <c r="K1980" s="77" t="s">
        <v>1522</v>
      </c>
      <c r="L1980" s="77" t="s">
        <v>2523</v>
      </c>
      <c r="M1980" s="77" t="s">
        <v>82</v>
      </c>
      <c r="N1980" s="77" t="s">
        <v>83</v>
      </c>
      <c r="Q1980" s="77" t="s">
        <v>111</v>
      </c>
      <c r="T1980" s="77" t="s">
        <v>2327</v>
      </c>
      <c r="U1980" s="77" t="s">
        <v>85</v>
      </c>
      <c r="V1980" s="77" t="s">
        <v>952</v>
      </c>
      <c r="W1980" s="79">
        <v>46205.277674849538</v>
      </c>
      <c r="X1980" s="77" t="s">
        <v>953</v>
      </c>
      <c r="Y1980" s="78" t="s">
        <v>101</v>
      </c>
      <c r="AA1980" s="77" t="s">
        <v>1568</v>
      </c>
      <c r="AB1980" s="77" t="s">
        <v>1521</v>
      </c>
      <c r="AC1980" s="77" t="s">
        <v>114</v>
      </c>
      <c r="AD1980" s="77" t="s">
        <v>954</v>
      </c>
      <c r="AE1980" s="77" t="s">
        <v>3499</v>
      </c>
      <c r="AF1980" s="77" t="s">
        <v>2706</v>
      </c>
      <c r="AG1980" s="77" t="s">
        <v>2327</v>
      </c>
    </row>
    <row r="1981" spans="1:33" hidden="1" x14ac:dyDescent="0.3">
      <c r="A1981" s="77" t="s">
        <v>3887</v>
      </c>
      <c r="B1981" s="77" t="s">
        <v>2525</v>
      </c>
      <c r="G1981" s="77" t="s">
        <v>3498</v>
      </c>
      <c r="H1981" s="77" t="s">
        <v>77</v>
      </c>
      <c r="I1981" s="77" t="s">
        <v>1521</v>
      </c>
      <c r="J1981" s="77" t="s">
        <v>3039</v>
      </c>
      <c r="K1981" s="77" t="s">
        <v>1522</v>
      </c>
      <c r="L1981" s="77" t="s">
        <v>2526</v>
      </c>
      <c r="M1981" s="77" t="s">
        <v>82</v>
      </c>
      <c r="N1981" s="77" t="s">
        <v>83</v>
      </c>
      <c r="Q1981" s="77" t="s">
        <v>111</v>
      </c>
      <c r="T1981" s="77" t="s">
        <v>2327</v>
      </c>
      <c r="U1981" s="77" t="s">
        <v>85</v>
      </c>
      <c r="V1981" s="77" t="s">
        <v>947</v>
      </c>
      <c r="W1981" s="79">
        <v>46205.281693136574</v>
      </c>
      <c r="X1981" s="77" t="s">
        <v>948</v>
      </c>
      <c r="Y1981" s="78" t="s">
        <v>88</v>
      </c>
      <c r="AA1981" s="77" t="s">
        <v>1568</v>
      </c>
      <c r="AB1981" s="77" t="s">
        <v>1521</v>
      </c>
      <c r="AC1981" s="77" t="s">
        <v>114</v>
      </c>
      <c r="AD1981" s="77" t="s">
        <v>91</v>
      </c>
      <c r="AE1981" s="77" t="s">
        <v>3499</v>
      </c>
      <c r="AF1981" s="77" t="s">
        <v>2706</v>
      </c>
      <c r="AG1981" s="77" t="s">
        <v>2327</v>
      </c>
    </row>
    <row r="1982" spans="1:33" x14ac:dyDescent="0.3">
      <c r="A1982" s="77" t="s">
        <v>3888</v>
      </c>
      <c r="B1982" s="77" t="s">
        <v>2528</v>
      </c>
      <c r="G1982" s="77" t="s">
        <v>3498</v>
      </c>
      <c r="H1982" s="77" t="s">
        <v>77</v>
      </c>
      <c r="I1982" s="77" t="s">
        <v>1521</v>
      </c>
      <c r="J1982" s="77" t="s">
        <v>3039</v>
      </c>
      <c r="K1982" s="77" t="s">
        <v>1522</v>
      </c>
      <c r="L1982" s="77" t="s">
        <v>2529</v>
      </c>
      <c r="M1982" s="77" t="s">
        <v>82</v>
      </c>
      <c r="N1982" s="77" t="s">
        <v>83</v>
      </c>
      <c r="Q1982" s="77" t="s">
        <v>111</v>
      </c>
      <c r="T1982" s="77" t="s">
        <v>2327</v>
      </c>
      <c r="U1982" s="77" t="s">
        <v>85</v>
      </c>
      <c r="V1982" s="80" t="s">
        <v>947</v>
      </c>
      <c r="X1982" s="77" t="s">
        <v>948</v>
      </c>
      <c r="Y1982" s="78" t="s">
        <v>88</v>
      </c>
      <c r="AA1982" s="77" t="s">
        <v>1568</v>
      </c>
      <c r="AB1982" s="77" t="s">
        <v>1521</v>
      </c>
      <c r="AC1982" s="77" t="s">
        <v>90</v>
      </c>
      <c r="AD1982" s="77" t="s">
        <v>91</v>
      </c>
      <c r="AE1982" s="77" t="s">
        <v>3499</v>
      </c>
      <c r="AG1982" s="77" t="s">
        <v>2327</v>
      </c>
    </row>
    <row r="1983" spans="1:33" x14ac:dyDescent="0.3">
      <c r="A1983" s="77" t="s">
        <v>3889</v>
      </c>
      <c r="B1983" s="77" t="s">
        <v>2531</v>
      </c>
      <c r="G1983" s="77" t="s">
        <v>3498</v>
      </c>
      <c r="H1983" s="77" t="s">
        <v>77</v>
      </c>
      <c r="I1983" s="77" t="s">
        <v>1521</v>
      </c>
      <c r="J1983" s="77" t="s">
        <v>3039</v>
      </c>
      <c r="K1983" s="77" t="s">
        <v>1522</v>
      </c>
      <c r="L1983" s="77" t="s">
        <v>2532</v>
      </c>
      <c r="M1983" s="77" t="s">
        <v>82</v>
      </c>
      <c r="N1983" s="77" t="s">
        <v>83</v>
      </c>
      <c r="Q1983" s="77" t="s">
        <v>111</v>
      </c>
      <c r="T1983" s="77" t="s">
        <v>2533</v>
      </c>
      <c r="U1983" s="77" t="s">
        <v>85</v>
      </c>
      <c r="V1983" s="80" t="s">
        <v>947</v>
      </c>
      <c r="X1983" s="77" t="s">
        <v>948</v>
      </c>
      <c r="Y1983" s="78" t="s">
        <v>88</v>
      </c>
      <c r="AA1983" s="77" t="s">
        <v>1568</v>
      </c>
      <c r="AB1983" s="77" t="s">
        <v>1521</v>
      </c>
      <c r="AC1983" s="77" t="s">
        <v>90</v>
      </c>
      <c r="AD1983" s="77" t="s">
        <v>91</v>
      </c>
      <c r="AE1983" s="77" t="s">
        <v>3499</v>
      </c>
      <c r="AG1983" s="77" t="s">
        <v>2533</v>
      </c>
    </row>
    <row r="1984" spans="1:33" x14ac:dyDescent="0.3">
      <c r="A1984" s="77" t="s">
        <v>3890</v>
      </c>
      <c r="B1984" s="77" t="s">
        <v>2535</v>
      </c>
      <c r="G1984" s="77" t="s">
        <v>3498</v>
      </c>
      <c r="H1984" s="77" t="s">
        <v>77</v>
      </c>
      <c r="I1984" s="77" t="s">
        <v>1521</v>
      </c>
      <c r="J1984" s="77" t="s">
        <v>3039</v>
      </c>
      <c r="K1984" s="77" t="s">
        <v>1522</v>
      </c>
      <c r="L1984" s="77" t="s">
        <v>2536</v>
      </c>
      <c r="M1984" s="77" t="s">
        <v>82</v>
      </c>
      <c r="N1984" s="77" t="s">
        <v>83</v>
      </c>
      <c r="Q1984" s="77" t="s">
        <v>111</v>
      </c>
      <c r="T1984" s="77" t="s">
        <v>2327</v>
      </c>
      <c r="U1984" s="77" t="s">
        <v>85</v>
      </c>
      <c r="V1984" s="80" t="s">
        <v>947</v>
      </c>
      <c r="X1984" s="77" t="s">
        <v>948</v>
      </c>
      <c r="Y1984" s="78" t="s">
        <v>88</v>
      </c>
      <c r="AA1984" s="77" t="s">
        <v>1568</v>
      </c>
      <c r="AB1984" s="77" t="s">
        <v>1521</v>
      </c>
      <c r="AC1984" s="77" t="s">
        <v>90</v>
      </c>
      <c r="AD1984" s="77" t="s">
        <v>91</v>
      </c>
      <c r="AE1984" s="77" t="s">
        <v>3499</v>
      </c>
      <c r="AG1984" s="77" t="s">
        <v>2327</v>
      </c>
    </row>
    <row r="1985" spans="1:33" x14ac:dyDescent="0.3">
      <c r="A1985" s="77" t="s">
        <v>3891</v>
      </c>
      <c r="B1985" s="77" t="s">
        <v>2538</v>
      </c>
      <c r="G1985" s="77" t="s">
        <v>3498</v>
      </c>
      <c r="H1985" s="77" t="s">
        <v>77</v>
      </c>
      <c r="I1985" s="77" t="s">
        <v>1521</v>
      </c>
      <c r="J1985" s="77" t="s">
        <v>3039</v>
      </c>
      <c r="K1985" s="77" t="s">
        <v>1522</v>
      </c>
      <c r="L1985" s="77" t="s">
        <v>2539</v>
      </c>
      <c r="M1985" s="77" t="s">
        <v>82</v>
      </c>
      <c r="N1985" s="77" t="s">
        <v>83</v>
      </c>
      <c r="Q1985" s="77" t="s">
        <v>111</v>
      </c>
      <c r="T1985" s="77" t="s">
        <v>2327</v>
      </c>
      <c r="U1985" s="77" t="s">
        <v>85</v>
      </c>
      <c r="V1985" s="80" t="s">
        <v>947</v>
      </c>
      <c r="X1985" s="77" t="s">
        <v>948</v>
      </c>
      <c r="Y1985" s="78" t="s">
        <v>88</v>
      </c>
      <c r="AA1985" s="77" t="s">
        <v>1568</v>
      </c>
      <c r="AB1985" s="77" t="s">
        <v>1521</v>
      </c>
      <c r="AC1985" s="77" t="s">
        <v>90</v>
      </c>
      <c r="AD1985" s="77" t="s">
        <v>91</v>
      </c>
      <c r="AE1985" s="77" t="s">
        <v>3499</v>
      </c>
      <c r="AG1985" s="77" t="s">
        <v>2327</v>
      </c>
    </row>
    <row r="1986" spans="1:33" hidden="1" x14ac:dyDescent="0.3">
      <c r="A1986" s="77" t="s">
        <v>3892</v>
      </c>
      <c r="B1986" s="77" t="s">
        <v>2541</v>
      </c>
      <c r="G1986" s="77" t="s">
        <v>3498</v>
      </c>
      <c r="H1986" s="77" t="s">
        <v>77</v>
      </c>
      <c r="I1986" s="77" t="s">
        <v>1521</v>
      </c>
      <c r="J1986" s="77" t="s">
        <v>3039</v>
      </c>
      <c r="K1986" s="77" t="s">
        <v>1522</v>
      </c>
      <c r="L1986" s="77" t="s">
        <v>2542</v>
      </c>
      <c r="M1986" s="77" t="s">
        <v>82</v>
      </c>
      <c r="N1986" s="77" t="s">
        <v>83</v>
      </c>
      <c r="Q1986" s="77" t="s">
        <v>111</v>
      </c>
      <c r="T1986" s="77" t="s">
        <v>2327</v>
      </c>
      <c r="U1986" s="77" t="s">
        <v>85</v>
      </c>
      <c r="V1986" s="77" t="s">
        <v>952</v>
      </c>
      <c r="W1986" s="79">
        <v>46205.2854065625</v>
      </c>
      <c r="X1986" s="77" t="s">
        <v>953</v>
      </c>
      <c r="Y1986" s="78" t="s">
        <v>101</v>
      </c>
      <c r="AA1986" s="77" t="s">
        <v>1568</v>
      </c>
      <c r="AB1986" s="77" t="s">
        <v>1521</v>
      </c>
      <c r="AC1986" s="77" t="s">
        <v>114</v>
      </c>
      <c r="AD1986" s="77" t="s">
        <v>954</v>
      </c>
      <c r="AE1986" s="77" t="s">
        <v>3499</v>
      </c>
      <c r="AF1986" s="77" t="s">
        <v>2706</v>
      </c>
      <c r="AG1986" s="77" t="s">
        <v>2327</v>
      </c>
    </row>
    <row r="1987" spans="1:33" x14ac:dyDescent="0.3">
      <c r="A1987" s="77" t="s">
        <v>3893</v>
      </c>
      <c r="B1987" s="77" t="s">
        <v>2544</v>
      </c>
      <c r="G1987" s="77" t="s">
        <v>3498</v>
      </c>
      <c r="H1987" s="77" t="s">
        <v>77</v>
      </c>
      <c r="I1987" s="77" t="s">
        <v>1521</v>
      </c>
      <c r="J1987" s="77" t="s">
        <v>3039</v>
      </c>
      <c r="K1987" s="77" t="s">
        <v>1522</v>
      </c>
      <c r="L1987" s="77" t="s">
        <v>2545</v>
      </c>
      <c r="M1987" s="77" t="s">
        <v>82</v>
      </c>
      <c r="N1987" s="77" t="s">
        <v>83</v>
      </c>
      <c r="Q1987" s="77" t="s">
        <v>111</v>
      </c>
      <c r="T1987" s="77" t="s">
        <v>2533</v>
      </c>
      <c r="U1987" s="77" t="s">
        <v>85</v>
      </c>
      <c r="V1987" s="80" t="s">
        <v>952</v>
      </c>
      <c r="X1987" s="77" t="s">
        <v>953</v>
      </c>
      <c r="Y1987" s="78" t="s">
        <v>101</v>
      </c>
      <c r="AA1987" s="77" t="s">
        <v>1568</v>
      </c>
      <c r="AB1987" s="77" t="s">
        <v>1521</v>
      </c>
      <c r="AC1987" s="77" t="s">
        <v>90</v>
      </c>
      <c r="AD1987" s="77" t="s">
        <v>954</v>
      </c>
      <c r="AE1987" s="77" t="s">
        <v>3499</v>
      </c>
      <c r="AG1987" s="77" t="s">
        <v>2533</v>
      </c>
    </row>
    <row r="1988" spans="1:33" hidden="1" x14ac:dyDescent="0.3">
      <c r="A1988" s="77" t="s">
        <v>3894</v>
      </c>
      <c r="B1988" s="77" t="s">
        <v>2547</v>
      </c>
      <c r="G1988" s="77" t="s">
        <v>3498</v>
      </c>
      <c r="H1988" s="77" t="s">
        <v>77</v>
      </c>
      <c r="I1988" s="77" t="s">
        <v>1521</v>
      </c>
      <c r="J1988" s="77" t="s">
        <v>3039</v>
      </c>
      <c r="K1988" s="77" t="s">
        <v>1522</v>
      </c>
      <c r="L1988" s="77" t="s">
        <v>2548</v>
      </c>
      <c r="M1988" s="77" t="s">
        <v>82</v>
      </c>
      <c r="N1988" s="77" t="s">
        <v>83</v>
      </c>
      <c r="Q1988" s="77" t="s">
        <v>111</v>
      </c>
      <c r="T1988" s="77" t="s">
        <v>2327</v>
      </c>
      <c r="U1988" s="77" t="s">
        <v>85</v>
      </c>
      <c r="V1988" s="77" t="s">
        <v>947</v>
      </c>
      <c r="W1988" s="79">
        <v>46205.286581365741</v>
      </c>
      <c r="X1988" s="77" t="s">
        <v>948</v>
      </c>
      <c r="Y1988" s="78" t="s">
        <v>88</v>
      </c>
      <c r="AA1988" s="77" t="s">
        <v>1568</v>
      </c>
      <c r="AB1988" s="77" t="s">
        <v>1521</v>
      </c>
      <c r="AC1988" s="77" t="s">
        <v>114</v>
      </c>
      <c r="AD1988" s="77" t="s">
        <v>91</v>
      </c>
      <c r="AE1988" s="77" t="s">
        <v>3499</v>
      </c>
      <c r="AF1988" s="77" t="s">
        <v>2706</v>
      </c>
      <c r="AG1988" s="77" t="s">
        <v>2327</v>
      </c>
    </row>
    <row r="1989" spans="1:33" x14ac:dyDescent="0.3">
      <c r="A1989" s="77" t="s">
        <v>3895</v>
      </c>
      <c r="B1989" s="77" t="s">
        <v>2550</v>
      </c>
      <c r="G1989" s="77" t="s">
        <v>3498</v>
      </c>
      <c r="H1989" s="77" t="s">
        <v>77</v>
      </c>
      <c r="I1989" s="77" t="s">
        <v>1521</v>
      </c>
      <c r="J1989" s="77" t="s">
        <v>3039</v>
      </c>
      <c r="K1989" s="77" t="s">
        <v>1522</v>
      </c>
      <c r="L1989" s="77" t="s">
        <v>2551</v>
      </c>
      <c r="M1989" s="77" t="s">
        <v>82</v>
      </c>
      <c r="N1989" s="77" t="s">
        <v>83</v>
      </c>
      <c r="Q1989" s="77" t="s">
        <v>111</v>
      </c>
      <c r="T1989" s="77" t="s">
        <v>2533</v>
      </c>
      <c r="U1989" s="77" t="s">
        <v>85</v>
      </c>
      <c r="V1989" s="80" t="s">
        <v>947</v>
      </c>
      <c r="X1989" s="77" t="s">
        <v>948</v>
      </c>
      <c r="Y1989" s="78" t="s">
        <v>88</v>
      </c>
      <c r="AA1989" s="77" t="s">
        <v>1568</v>
      </c>
      <c r="AB1989" s="77" t="s">
        <v>1521</v>
      </c>
      <c r="AC1989" s="77" t="s">
        <v>90</v>
      </c>
      <c r="AD1989" s="77" t="s">
        <v>91</v>
      </c>
      <c r="AE1989" s="77" t="s">
        <v>3499</v>
      </c>
      <c r="AG1989" s="77" t="s">
        <v>2533</v>
      </c>
    </row>
    <row r="1990" spans="1:33" hidden="1" x14ac:dyDescent="0.3">
      <c r="A1990" s="77" t="s">
        <v>3896</v>
      </c>
      <c r="B1990" s="77" t="s">
        <v>2553</v>
      </c>
      <c r="G1990" s="77" t="s">
        <v>3498</v>
      </c>
      <c r="H1990" s="77" t="s">
        <v>77</v>
      </c>
      <c r="I1990" s="77" t="s">
        <v>1521</v>
      </c>
      <c r="J1990" s="77" t="s">
        <v>3039</v>
      </c>
      <c r="K1990" s="77" t="s">
        <v>1522</v>
      </c>
      <c r="L1990" s="77" t="s">
        <v>2554</v>
      </c>
      <c r="M1990" s="77" t="s">
        <v>82</v>
      </c>
      <c r="N1990" s="77" t="s">
        <v>83</v>
      </c>
      <c r="Q1990" s="77" t="s">
        <v>111</v>
      </c>
      <c r="T1990" s="77" t="s">
        <v>2327</v>
      </c>
      <c r="U1990" s="77" t="s">
        <v>85</v>
      </c>
      <c r="V1990" s="77" t="s">
        <v>952</v>
      </c>
      <c r="W1990" s="79">
        <v>46205.287316631948</v>
      </c>
      <c r="X1990" s="77" t="s">
        <v>953</v>
      </c>
      <c r="Y1990" s="78" t="s">
        <v>101</v>
      </c>
      <c r="AA1990" s="77" t="s">
        <v>1568</v>
      </c>
      <c r="AB1990" s="77" t="s">
        <v>1521</v>
      </c>
      <c r="AC1990" s="77" t="s">
        <v>114</v>
      </c>
      <c r="AD1990" s="77" t="s">
        <v>954</v>
      </c>
      <c r="AE1990" s="77" t="s">
        <v>3499</v>
      </c>
      <c r="AF1990" s="77" t="s">
        <v>2706</v>
      </c>
      <c r="AG1990" s="77" t="s">
        <v>2327</v>
      </c>
    </row>
    <row r="1991" spans="1:33" hidden="1" x14ac:dyDescent="0.3">
      <c r="A1991" s="77" t="s">
        <v>3897</v>
      </c>
      <c r="B1991" s="77" t="s">
        <v>2556</v>
      </c>
      <c r="G1991" s="77" t="s">
        <v>3498</v>
      </c>
      <c r="H1991" s="77" t="s">
        <v>77</v>
      </c>
      <c r="I1991" s="77" t="s">
        <v>1521</v>
      </c>
      <c r="J1991" s="77" t="s">
        <v>3039</v>
      </c>
      <c r="K1991" s="77" t="s">
        <v>1522</v>
      </c>
      <c r="L1991" s="77" t="s">
        <v>2557</v>
      </c>
      <c r="M1991" s="77" t="s">
        <v>82</v>
      </c>
      <c r="N1991" s="77" t="s">
        <v>83</v>
      </c>
      <c r="Q1991" s="77" t="s">
        <v>111</v>
      </c>
      <c r="T1991" s="77" t="s">
        <v>2327</v>
      </c>
      <c r="U1991" s="77" t="s">
        <v>85</v>
      </c>
      <c r="V1991" s="77" t="s">
        <v>947</v>
      </c>
      <c r="W1991" s="79">
        <v>46205.285617592592</v>
      </c>
      <c r="X1991" s="77" t="s">
        <v>948</v>
      </c>
      <c r="Y1991" s="78" t="s">
        <v>88</v>
      </c>
      <c r="AA1991" s="77" t="s">
        <v>1568</v>
      </c>
      <c r="AB1991" s="77" t="s">
        <v>1521</v>
      </c>
      <c r="AC1991" s="77" t="s">
        <v>114</v>
      </c>
      <c r="AD1991" s="77" t="s">
        <v>91</v>
      </c>
      <c r="AE1991" s="77" t="s">
        <v>3499</v>
      </c>
      <c r="AF1991" s="77" t="s">
        <v>2706</v>
      </c>
      <c r="AG1991" s="77" t="s">
        <v>2327</v>
      </c>
    </row>
    <row r="1992" spans="1:33" hidden="1" x14ac:dyDescent="0.3">
      <c r="A1992" s="77" t="s">
        <v>3898</v>
      </c>
      <c r="B1992" s="77" t="s">
        <v>2559</v>
      </c>
      <c r="G1992" s="77" t="s">
        <v>3498</v>
      </c>
      <c r="H1992" s="77" t="s">
        <v>77</v>
      </c>
      <c r="I1992" s="77" t="s">
        <v>1521</v>
      </c>
      <c r="J1992" s="77" t="s">
        <v>3039</v>
      </c>
      <c r="K1992" s="77" t="s">
        <v>1522</v>
      </c>
      <c r="L1992" s="77" t="s">
        <v>2560</v>
      </c>
      <c r="M1992" s="77" t="s">
        <v>82</v>
      </c>
      <c r="N1992" s="77" t="s">
        <v>83</v>
      </c>
      <c r="Q1992" s="77" t="s">
        <v>111</v>
      </c>
      <c r="T1992" s="77" t="s">
        <v>2327</v>
      </c>
      <c r="U1992" s="77" t="s">
        <v>85</v>
      </c>
      <c r="V1992" s="77" t="s">
        <v>952</v>
      </c>
      <c r="W1992" s="79">
        <v>46205.290052581018</v>
      </c>
      <c r="X1992" s="77" t="s">
        <v>953</v>
      </c>
      <c r="Y1992" s="78" t="s">
        <v>101</v>
      </c>
      <c r="AA1992" s="77" t="s">
        <v>1568</v>
      </c>
      <c r="AB1992" s="77" t="s">
        <v>1521</v>
      </c>
      <c r="AC1992" s="77" t="s">
        <v>114</v>
      </c>
      <c r="AD1992" s="77" t="s">
        <v>954</v>
      </c>
      <c r="AE1992" s="77" t="s">
        <v>3499</v>
      </c>
      <c r="AF1992" s="77" t="s">
        <v>2706</v>
      </c>
      <c r="AG1992" s="77" t="s">
        <v>2327</v>
      </c>
    </row>
    <row r="1993" spans="1:33" hidden="1" x14ac:dyDescent="0.3">
      <c r="A1993" s="77" t="s">
        <v>3899</v>
      </c>
      <c r="B1993" s="77" t="s">
        <v>2562</v>
      </c>
      <c r="G1993" s="77" t="s">
        <v>3498</v>
      </c>
      <c r="H1993" s="77" t="s">
        <v>77</v>
      </c>
      <c r="I1993" s="77" t="s">
        <v>1521</v>
      </c>
      <c r="J1993" s="77" t="s">
        <v>3039</v>
      </c>
      <c r="K1993" s="77" t="s">
        <v>1522</v>
      </c>
      <c r="L1993" s="77" t="s">
        <v>2563</v>
      </c>
      <c r="M1993" s="77" t="s">
        <v>82</v>
      </c>
      <c r="N1993" s="77" t="s">
        <v>83</v>
      </c>
      <c r="Q1993" s="77" t="s">
        <v>111</v>
      </c>
      <c r="T1993" s="77" t="s">
        <v>2327</v>
      </c>
      <c r="U1993" s="77" t="s">
        <v>85</v>
      </c>
      <c r="V1993" s="77" t="s">
        <v>947</v>
      </c>
      <c r="W1993" s="79">
        <v>46205.291283217593</v>
      </c>
      <c r="X1993" s="77" t="s">
        <v>948</v>
      </c>
      <c r="Y1993" s="78" t="s">
        <v>88</v>
      </c>
      <c r="AA1993" s="77" t="s">
        <v>1568</v>
      </c>
      <c r="AB1993" s="77" t="s">
        <v>1521</v>
      </c>
      <c r="AC1993" s="77" t="s">
        <v>114</v>
      </c>
      <c r="AD1993" s="77" t="s">
        <v>91</v>
      </c>
      <c r="AE1993" s="77" t="s">
        <v>3499</v>
      </c>
      <c r="AF1993" s="77" t="s">
        <v>2706</v>
      </c>
      <c r="AG1993" s="77" t="s">
        <v>2327</v>
      </c>
    </row>
    <row r="1994" spans="1:33" x14ac:dyDescent="0.3">
      <c r="A1994" s="77" t="s">
        <v>3900</v>
      </c>
      <c r="B1994" s="77" t="s">
        <v>2565</v>
      </c>
      <c r="G1994" s="77" t="s">
        <v>3498</v>
      </c>
      <c r="H1994" s="77" t="s">
        <v>77</v>
      </c>
      <c r="I1994" s="77" t="s">
        <v>1521</v>
      </c>
      <c r="J1994" s="77" t="s">
        <v>3039</v>
      </c>
      <c r="K1994" s="77" t="s">
        <v>1522</v>
      </c>
      <c r="L1994" s="77" t="s">
        <v>2566</v>
      </c>
      <c r="M1994" s="77" t="s">
        <v>82</v>
      </c>
      <c r="N1994" s="77" t="s">
        <v>83</v>
      </c>
      <c r="Q1994" s="77" t="s">
        <v>111</v>
      </c>
      <c r="U1994" s="77" t="s">
        <v>85</v>
      </c>
      <c r="V1994" s="80" t="s">
        <v>325</v>
      </c>
      <c r="X1994" s="77" t="s">
        <v>326</v>
      </c>
      <c r="Y1994" s="78" t="s">
        <v>101</v>
      </c>
      <c r="AA1994" s="77" t="s">
        <v>1568</v>
      </c>
      <c r="AB1994" s="77" t="s">
        <v>1521</v>
      </c>
      <c r="AC1994" s="77" t="s">
        <v>90</v>
      </c>
      <c r="AD1994" s="77" t="s">
        <v>327</v>
      </c>
      <c r="AE1994" s="77" t="s">
        <v>3499</v>
      </c>
    </row>
    <row r="1995" spans="1:33" x14ac:dyDescent="0.3">
      <c r="A1995" s="77" t="s">
        <v>3901</v>
      </c>
      <c r="B1995" s="77" t="s">
        <v>2568</v>
      </c>
      <c r="G1995" s="77" t="s">
        <v>3902</v>
      </c>
      <c r="H1995" s="77" t="s">
        <v>77</v>
      </c>
      <c r="I1995" s="77" t="s">
        <v>1521</v>
      </c>
      <c r="J1995" s="77" t="s">
        <v>3039</v>
      </c>
      <c r="K1995" s="77" t="s">
        <v>1522</v>
      </c>
      <c r="L1995" s="77" t="s">
        <v>2570</v>
      </c>
      <c r="M1995" s="77" t="s">
        <v>82</v>
      </c>
      <c r="N1995" s="77" t="s">
        <v>83</v>
      </c>
      <c r="Q1995" s="77" t="s">
        <v>188</v>
      </c>
      <c r="T1995" s="77" t="s">
        <v>2571</v>
      </c>
      <c r="U1995" s="77" t="s">
        <v>85</v>
      </c>
      <c r="V1995" s="80" t="s">
        <v>231</v>
      </c>
      <c r="X1995" s="77" t="s">
        <v>232</v>
      </c>
      <c r="Y1995" s="78" t="s">
        <v>88</v>
      </c>
      <c r="AA1995" s="77" t="s">
        <v>2572</v>
      </c>
      <c r="AB1995" s="77" t="s">
        <v>1521</v>
      </c>
      <c r="AC1995" s="77" t="s">
        <v>90</v>
      </c>
      <c r="AD1995" s="77" t="s">
        <v>91</v>
      </c>
      <c r="AE1995" s="77" t="s">
        <v>3903</v>
      </c>
      <c r="AG1995" s="77" t="s">
        <v>2571</v>
      </c>
    </row>
    <row r="1996" spans="1:33" x14ac:dyDescent="0.3">
      <c r="A1996" s="77" t="s">
        <v>3904</v>
      </c>
      <c r="B1996" s="77" t="s">
        <v>2575</v>
      </c>
      <c r="G1996" s="77" t="s">
        <v>3902</v>
      </c>
      <c r="H1996" s="77" t="s">
        <v>77</v>
      </c>
      <c r="I1996" s="77" t="s">
        <v>1521</v>
      </c>
      <c r="J1996" s="77" t="s">
        <v>3039</v>
      </c>
      <c r="K1996" s="77" t="s">
        <v>1522</v>
      </c>
      <c r="L1996" s="77" t="s">
        <v>2570</v>
      </c>
      <c r="M1996" s="77" t="s">
        <v>82</v>
      </c>
      <c r="N1996" s="77" t="s">
        <v>83</v>
      </c>
      <c r="Q1996" s="77" t="s">
        <v>188</v>
      </c>
      <c r="T1996" s="77" t="s">
        <v>2571</v>
      </c>
      <c r="U1996" s="77" t="s">
        <v>85</v>
      </c>
      <c r="V1996" s="80" t="s">
        <v>231</v>
      </c>
      <c r="X1996" s="77" t="s">
        <v>232</v>
      </c>
      <c r="Y1996" s="78" t="s">
        <v>88</v>
      </c>
      <c r="AA1996" s="77" t="s">
        <v>2572</v>
      </c>
      <c r="AB1996" s="77" t="s">
        <v>1521</v>
      </c>
      <c r="AC1996" s="77" t="s">
        <v>90</v>
      </c>
      <c r="AD1996" s="77" t="s">
        <v>91</v>
      </c>
      <c r="AE1996" s="77" t="s">
        <v>3903</v>
      </c>
      <c r="AG1996" s="77" t="s">
        <v>2571</v>
      </c>
    </row>
    <row r="1997" spans="1:33" x14ac:dyDescent="0.3">
      <c r="A1997" s="77" t="s">
        <v>3905</v>
      </c>
      <c r="B1997" s="77" t="s">
        <v>2577</v>
      </c>
      <c r="G1997" s="77" t="s">
        <v>3902</v>
      </c>
      <c r="H1997" s="77" t="s">
        <v>77</v>
      </c>
      <c r="I1997" s="77" t="s">
        <v>1521</v>
      </c>
      <c r="J1997" s="77" t="s">
        <v>3039</v>
      </c>
      <c r="K1997" s="77" t="s">
        <v>1522</v>
      </c>
      <c r="L1997" s="77" t="s">
        <v>2578</v>
      </c>
      <c r="M1997" s="77" t="s">
        <v>82</v>
      </c>
      <c r="N1997" s="77" t="s">
        <v>83</v>
      </c>
      <c r="Q1997" s="77" t="s">
        <v>188</v>
      </c>
      <c r="T1997" s="77" t="s">
        <v>2571</v>
      </c>
      <c r="U1997" s="77" t="s">
        <v>85</v>
      </c>
      <c r="V1997" s="80" t="s">
        <v>231</v>
      </c>
      <c r="X1997" s="77" t="s">
        <v>232</v>
      </c>
      <c r="Y1997" s="78" t="s">
        <v>88</v>
      </c>
      <c r="AA1997" s="77" t="s">
        <v>2572</v>
      </c>
      <c r="AB1997" s="77" t="s">
        <v>1521</v>
      </c>
      <c r="AC1997" s="77" t="s">
        <v>90</v>
      </c>
      <c r="AD1997" s="77" t="s">
        <v>91</v>
      </c>
      <c r="AE1997" s="77" t="s">
        <v>3903</v>
      </c>
      <c r="AG1997" s="77" t="s">
        <v>2571</v>
      </c>
    </row>
    <row r="1998" spans="1:33" x14ac:dyDescent="0.3">
      <c r="A1998" s="77" t="s">
        <v>3906</v>
      </c>
      <c r="B1998" s="77" t="s">
        <v>2580</v>
      </c>
      <c r="G1998" s="77" t="s">
        <v>3902</v>
      </c>
      <c r="H1998" s="77" t="s">
        <v>77</v>
      </c>
      <c r="I1998" s="77" t="s">
        <v>1521</v>
      </c>
      <c r="J1998" s="77" t="s">
        <v>3039</v>
      </c>
      <c r="K1998" s="77" t="s">
        <v>1522</v>
      </c>
      <c r="L1998" s="77" t="s">
        <v>2578</v>
      </c>
      <c r="M1998" s="77" t="s">
        <v>82</v>
      </c>
      <c r="N1998" s="77" t="s">
        <v>83</v>
      </c>
      <c r="Q1998" s="77" t="s">
        <v>188</v>
      </c>
      <c r="S1998" s="77" t="s">
        <v>188</v>
      </c>
      <c r="U1998" s="77" t="s">
        <v>85</v>
      </c>
      <c r="V1998" s="80" t="s">
        <v>231</v>
      </c>
      <c r="X1998" s="77" t="s">
        <v>232</v>
      </c>
      <c r="Y1998" s="78" t="s">
        <v>88</v>
      </c>
      <c r="AA1998" s="77" t="s">
        <v>2572</v>
      </c>
      <c r="AB1998" s="77" t="s">
        <v>1521</v>
      </c>
      <c r="AC1998" s="77" t="s">
        <v>90</v>
      </c>
      <c r="AD1998" s="77" t="s">
        <v>91</v>
      </c>
      <c r="AE1998" s="77" t="s">
        <v>3903</v>
      </c>
    </row>
    <row r="1999" spans="1:33" x14ac:dyDescent="0.3">
      <c r="A1999" s="77" t="s">
        <v>3907</v>
      </c>
      <c r="B1999" s="77" t="s">
        <v>2582</v>
      </c>
      <c r="G1999" s="77" t="s">
        <v>3908</v>
      </c>
      <c r="H1999" s="77" t="s">
        <v>77</v>
      </c>
      <c r="I1999" s="77" t="s">
        <v>1521</v>
      </c>
      <c r="J1999" s="77" t="s">
        <v>3039</v>
      </c>
      <c r="K1999" s="77" t="s">
        <v>1522</v>
      </c>
      <c r="L1999" s="77" t="s">
        <v>2584</v>
      </c>
      <c r="M1999" s="77" t="s">
        <v>82</v>
      </c>
      <c r="N1999" s="77" t="s">
        <v>83</v>
      </c>
      <c r="Q1999" s="77" t="s">
        <v>188</v>
      </c>
      <c r="T1999" s="77" t="s">
        <v>1355</v>
      </c>
      <c r="U1999" s="77" t="s">
        <v>85</v>
      </c>
      <c r="V1999" s="80" t="s">
        <v>561</v>
      </c>
      <c r="X1999" s="77" t="s">
        <v>562</v>
      </c>
      <c r="Y1999" s="78" t="s">
        <v>101</v>
      </c>
      <c r="AA1999" s="77" t="s">
        <v>2584</v>
      </c>
      <c r="AB1999" s="77" t="s">
        <v>1521</v>
      </c>
      <c r="AC1999" s="77" t="s">
        <v>90</v>
      </c>
      <c r="AD1999" s="77" t="s">
        <v>102</v>
      </c>
      <c r="AE1999" s="77" t="s">
        <v>3909</v>
      </c>
      <c r="AG1999" s="77" t="s">
        <v>1355</v>
      </c>
    </row>
    <row r="2000" spans="1:33" x14ac:dyDescent="0.3">
      <c r="A2000" s="77" t="s">
        <v>3910</v>
      </c>
      <c r="B2000" s="77" t="s">
        <v>2587</v>
      </c>
      <c r="G2000" s="77" t="s">
        <v>3908</v>
      </c>
      <c r="H2000" s="77" t="s">
        <v>77</v>
      </c>
      <c r="I2000" s="77" t="s">
        <v>1521</v>
      </c>
      <c r="J2000" s="77" t="s">
        <v>3039</v>
      </c>
      <c r="K2000" s="77" t="s">
        <v>1522</v>
      </c>
      <c r="L2000" s="77" t="s">
        <v>2584</v>
      </c>
      <c r="M2000" s="77" t="s">
        <v>82</v>
      </c>
      <c r="N2000" s="77" t="s">
        <v>83</v>
      </c>
      <c r="Q2000" s="77" t="s">
        <v>188</v>
      </c>
      <c r="T2000" s="77" t="s">
        <v>1351</v>
      </c>
      <c r="U2000" s="77" t="s">
        <v>85</v>
      </c>
      <c r="V2000" s="80" t="s">
        <v>554</v>
      </c>
      <c r="X2000" s="77" t="s">
        <v>555</v>
      </c>
      <c r="Y2000" s="78" t="s">
        <v>88</v>
      </c>
      <c r="AA2000" s="77" t="s">
        <v>2584</v>
      </c>
      <c r="AB2000" s="77" t="s">
        <v>1521</v>
      </c>
      <c r="AC2000" s="77" t="s">
        <v>90</v>
      </c>
      <c r="AD2000" s="77" t="s">
        <v>91</v>
      </c>
      <c r="AE2000" s="77" t="s">
        <v>3909</v>
      </c>
      <c r="AG2000" s="77" t="s">
        <v>1351</v>
      </c>
    </row>
    <row r="2001" spans="1:33" x14ac:dyDescent="0.3">
      <c r="A2001" s="77" t="s">
        <v>3911</v>
      </c>
      <c r="B2001" s="77" t="s">
        <v>2589</v>
      </c>
      <c r="G2001" s="77" t="s">
        <v>3908</v>
      </c>
      <c r="H2001" s="77" t="s">
        <v>77</v>
      </c>
      <c r="I2001" s="77" t="s">
        <v>1521</v>
      </c>
      <c r="J2001" s="77" t="s">
        <v>3039</v>
      </c>
      <c r="K2001" s="77" t="s">
        <v>1522</v>
      </c>
      <c r="L2001" s="77" t="s">
        <v>2584</v>
      </c>
      <c r="M2001" s="77" t="s">
        <v>82</v>
      </c>
      <c r="N2001" s="77" t="s">
        <v>83</v>
      </c>
      <c r="Q2001" s="77" t="s">
        <v>188</v>
      </c>
      <c r="T2001" s="77" t="s">
        <v>1355</v>
      </c>
      <c r="U2001" s="77" t="s">
        <v>85</v>
      </c>
      <c r="V2001" s="80" t="s">
        <v>561</v>
      </c>
      <c r="X2001" s="77" t="s">
        <v>562</v>
      </c>
      <c r="Y2001" s="78" t="s">
        <v>101</v>
      </c>
      <c r="AA2001" s="77" t="s">
        <v>2584</v>
      </c>
      <c r="AB2001" s="77" t="s">
        <v>1521</v>
      </c>
      <c r="AC2001" s="77" t="s">
        <v>90</v>
      </c>
      <c r="AD2001" s="77" t="s">
        <v>102</v>
      </c>
      <c r="AE2001" s="77" t="s">
        <v>3909</v>
      </c>
      <c r="AG2001" s="77" t="s">
        <v>1355</v>
      </c>
    </row>
    <row r="2002" spans="1:33" x14ac:dyDescent="0.3">
      <c r="A2002" s="77" t="s">
        <v>3912</v>
      </c>
      <c r="B2002" s="77" t="s">
        <v>2591</v>
      </c>
      <c r="G2002" s="77" t="s">
        <v>3908</v>
      </c>
      <c r="H2002" s="77" t="s">
        <v>77</v>
      </c>
      <c r="I2002" s="77" t="s">
        <v>1521</v>
      </c>
      <c r="J2002" s="77" t="s">
        <v>3039</v>
      </c>
      <c r="K2002" s="77" t="s">
        <v>1522</v>
      </c>
      <c r="L2002" s="77" t="s">
        <v>2584</v>
      </c>
      <c r="M2002" s="77" t="s">
        <v>82</v>
      </c>
      <c r="N2002" s="77" t="s">
        <v>83</v>
      </c>
      <c r="Q2002" s="77" t="s">
        <v>188</v>
      </c>
      <c r="T2002" s="77" t="s">
        <v>1344</v>
      </c>
      <c r="U2002" s="77" t="s">
        <v>85</v>
      </c>
      <c r="V2002" s="80" t="s">
        <v>547</v>
      </c>
      <c r="X2002" s="77" t="s">
        <v>548</v>
      </c>
      <c r="Y2002" s="78" t="s">
        <v>88</v>
      </c>
      <c r="AA2002" s="77" t="s">
        <v>2584</v>
      </c>
      <c r="AB2002" s="77" t="s">
        <v>1521</v>
      </c>
      <c r="AC2002" s="77" t="s">
        <v>90</v>
      </c>
      <c r="AD2002" s="77" t="s">
        <v>91</v>
      </c>
      <c r="AE2002" s="77" t="s">
        <v>3909</v>
      </c>
      <c r="AG2002" s="77" t="s">
        <v>1344</v>
      </c>
    </row>
    <row r="2003" spans="1:33" x14ac:dyDescent="0.3">
      <c r="A2003" s="77" t="s">
        <v>3913</v>
      </c>
      <c r="B2003" s="77" t="s">
        <v>2593</v>
      </c>
      <c r="G2003" s="77" t="s">
        <v>3908</v>
      </c>
      <c r="H2003" s="77" t="s">
        <v>77</v>
      </c>
      <c r="I2003" s="77" t="s">
        <v>1521</v>
      </c>
      <c r="J2003" s="77" t="s">
        <v>3039</v>
      </c>
      <c r="K2003" s="77" t="s">
        <v>1522</v>
      </c>
      <c r="L2003" s="77" t="s">
        <v>2584</v>
      </c>
      <c r="M2003" s="77" t="s">
        <v>82</v>
      </c>
      <c r="N2003" s="77" t="s">
        <v>83</v>
      </c>
      <c r="Q2003" s="77" t="s">
        <v>188</v>
      </c>
      <c r="T2003" s="77" t="s">
        <v>1359</v>
      </c>
      <c r="U2003" s="77" t="s">
        <v>85</v>
      </c>
      <c r="V2003" s="80" t="s">
        <v>568</v>
      </c>
      <c r="X2003" s="77" t="s">
        <v>569</v>
      </c>
      <c r="Y2003" s="78" t="s">
        <v>101</v>
      </c>
      <c r="AA2003" s="77" t="s">
        <v>2584</v>
      </c>
      <c r="AB2003" s="77" t="s">
        <v>1521</v>
      </c>
      <c r="AC2003" s="77" t="s">
        <v>90</v>
      </c>
      <c r="AD2003" s="77" t="s">
        <v>102</v>
      </c>
      <c r="AE2003" s="77" t="s">
        <v>3909</v>
      </c>
      <c r="AG2003" s="77" t="s">
        <v>1359</v>
      </c>
    </row>
    <row r="2004" spans="1:33" x14ac:dyDescent="0.3">
      <c r="A2004" s="77" t="s">
        <v>3914</v>
      </c>
      <c r="B2004" s="77" t="s">
        <v>2595</v>
      </c>
      <c r="G2004" s="77" t="s">
        <v>3908</v>
      </c>
      <c r="H2004" s="77" t="s">
        <v>77</v>
      </c>
      <c r="I2004" s="77" t="s">
        <v>1521</v>
      </c>
      <c r="J2004" s="77" t="s">
        <v>3039</v>
      </c>
      <c r="K2004" s="77" t="s">
        <v>1522</v>
      </c>
      <c r="L2004" s="77" t="s">
        <v>2584</v>
      </c>
      <c r="M2004" s="77" t="s">
        <v>82</v>
      </c>
      <c r="N2004" s="77" t="s">
        <v>83</v>
      </c>
      <c r="Q2004" s="77" t="s">
        <v>188</v>
      </c>
      <c r="T2004" s="77" t="s">
        <v>1355</v>
      </c>
      <c r="U2004" s="77" t="s">
        <v>85</v>
      </c>
      <c r="V2004" s="80" t="s">
        <v>561</v>
      </c>
      <c r="X2004" s="77" t="s">
        <v>562</v>
      </c>
      <c r="Y2004" s="78" t="s">
        <v>101</v>
      </c>
      <c r="AA2004" s="77" t="s">
        <v>2584</v>
      </c>
      <c r="AB2004" s="77" t="s">
        <v>1521</v>
      </c>
      <c r="AC2004" s="77" t="s">
        <v>90</v>
      </c>
      <c r="AD2004" s="77" t="s">
        <v>102</v>
      </c>
      <c r="AE2004" s="77" t="s">
        <v>3909</v>
      </c>
      <c r="AG2004" s="77" t="s">
        <v>1355</v>
      </c>
    </row>
    <row r="2005" spans="1:33" x14ac:dyDescent="0.3">
      <c r="A2005" s="77" t="s">
        <v>3915</v>
      </c>
      <c r="B2005" s="77" t="s">
        <v>2597</v>
      </c>
      <c r="G2005" s="77" t="s">
        <v>3908</v>
      </c>
      <c r="H2005" s="77" t="s">
        <v>77</v>
      </c>
      <c r="I2005" s="77" t="s">
        <v>1521</v>
      </c>
      <c r="J2005" s="77" t="s">
        <v>3039</v>
      </c>
      <c r="K2005" s="77" t="s">
        <v>1522</v>
      </c>
      <c r="L2005" s="77" t="s">
        <v>2584</v>
      </c>
      <c r="M2005" s="77" t="s">
        <v>82</v>
      </c>
      <c r="N2005" s="77" t="s">
        <v>83</v>
      </c>
      <c r="Q2005" s="77" t="s">
        <v>188</v>
      </c>
      <c r="T2005" s="77" t="s">
        <v>1344</v>
      </c>
      <c r="U2005" s="77" t="s">
        <v>85</v>
      </c>
      <c r="V2005" s="80" t="s">
        <v>547</v>
      </c>
      <c r="X2005" s="77" t="s">
        <v>548</v>
      </c>
      <c r="Y2005" s="78" t="s">
        <v>88</v>
      </c>
      <c r="AA2005" s="77" t="s">
        <v>2584</v>
      </c>
      <c r="AB2005" s="77" t="s">
        <v>1521</v>
      </c>
      <c r="AC2005" s="77" t="s">
        <v>90</v>
      </c>
      <c r="AD2005" s="77" t="s">
        <v>91</v>
      </c>
      <c r="AE2005" s="77" t="s">
        <v>3909</v>
      </c>
      <c r="AG2005" s="77" t="s">
        <v>1344</v>
      </c>
    </row>
    <row r="2006" spans="1:33" x14ac:dyDescent="0.3">
      <c r="A2006" s="77" t="s">
        <v>3916</v>
      </c>
      <c r="B2006" s="77" t="s">
        <v>2599</v>
      </c>
      <c r="G2006" s="77" t="s">
        <v>3908</v>
      </c>
      <c r="H2006" s="77" t="s">
        <v>77</v>
      </c>
      <c r="I2006" s="77" t="s">
        <v>1521</v>
      </c>
      <c r="J2006" s="77" t="s">
        <v>3039</v>
      </c>
      <c r="K2006" s="77" t="s">
        <v>1522</v>
      </c>
      <c r="L2006" s="77" t="s">
        <v>2584</v>
      </c>
      <c r="M2006" s="77" t="s">
        <v>82</v>
      </c>
      <c r="N2006" s="77" t="s">
        <v>83</v>
      </c>
      <c r="Q2006" s="77" t="s">
        <v>188</v>
      </c>
      <c r="T2006" s="77" t="s">
        <v>1359</v>
      </c>
      <c r="U2006" s="77" t="s">
        <v>85</v>
      </c>
      <c r="V2006" s="80" t="s">
        <v>568</v>
      </c>
      <c r="X2006" s="77" t="s">
        <v>569</v>
      </c>
      <c r="Y2006" s="78" t="s">
        <v>101</v>
      </c>
      <c r="AA2006" s="77" t="s">
        <v>2584</v>
      </c>
      <c r="AB2006" s="77" t="s">
        <v>1521</v>
      </c>
      <c r="AC2006" s="77" t="s">
        <v>90</v>
      </c>
      <c r="AD2006" s="77" t="s">
        <v>102</v>
      </c>
      <c r="AE2006" s="77" t="s">
        <v>3909</v>
      </c>
      <c r="AG2006" s="77" t="s">
        <v>1359</v>
      </c>
    </row>
    <row r="2007" spans="1:33" x14ac:dyDescent="0.3">
      <c r="A2007" s="77" t="s">
        <v>3917</v>
      </c>
      <c r="B2007" s="77" t="s">
        <v>2601</v>
      </c>
      <c r="G2007" s="77" t="s">
        <v>3908</v>
      </c>
      <c r="H2007" s="77" t="s">
        <v>77</v>
      </c>
      <c r="I2007" s="77" t="s">
        <v>1521</v>
      </c>
      <c r="J2007" s="77" t="s">
        <v>3039</v>
      </c>
      <c r="K2007" s="77" t="s">
        <v>1522</v>
      </c>
      <c r="L2007" s="77" t="s">
        <v>2584</v>
      </c>
      <c r="M2007" s="77" t="s">
        <v>82</v>
      </c>
      <c r="N2007" s="77" t="s">
        <v>83</v>
      </c>
      <c r="Q2007" s="77" t="s">
        <v>188</v>
      </c>
      <c r="T2007" s="77" t="s">
        <v>1351</v>
      </c>
      <c r="U2007" s="77" t="s">
        <v>85</v>
      </c>
      <c r="V2007" s="80" t="s">
        <v>554</v>
      </c>
      <c r="X2007" s="77" t="s">
        <v>555</v>
      </c>
      <c r="Y2007" s="78" t="s">
        <v>88</v>
      </c>
      <c r="AA2007" s="77" t="s">
        <v>2584</v>
      </c>
      <c r="AB2007" s="77" t="s">
        <v>1521</v>
      </c>
      <c r="AC2007" s="77" t="s">
        <v>90</v>
      </c>
      <c r="AD2007" s="77" t="s">
        <v>91</v>
      </c>
      <c r="AE2007" s="77" t="s">
        <v>3909</v>
      </c>
      <c r="AG2007" s="77" t="s">
        <v>1351</v>
      </c>
    </row>
    <row r="2008" spans="1:33" x14ac:dyDescent="0.3">
      <c r="A2008" s="77" t="s">
        <v>3918</v>
      </c>
      <c r="B2008" s="77" t="s">
        <v>2603</v>
      </c>
      <c r="G2008" s="77" t="s">
        <v>3908</v>
      </c>
      <c r="H2008" s="77" t="s">
        <v>77</v>
      </c>
      <c r="I2008" s="77" t="s">
        <v>1521</v>
      </c>
      <c r="J2008" s="77" t="s">
        <v>3039</v>
      </c>
      <c r="K2008" s="77" t="s">
        <v>1522</v>
      </c>
      <c r="L2008" s="77" t="s">
        <v>2584</v>
      </c>
      <c r="M2008" s="77" t="s">
        <v>82</v>
      </c>
      <c r="N2008" s="77" t="s">
        <v>83</v>
      </c>
      <c r="Q2008" s="77" t="s">
        <v>188</v>
      </c>
      <c r="T2008" s="77" t="s">
        <v>1359</v>
      </c>
      <c r="U2008" s="77" t="s">
        <v>85</v>
      </c>
      <c r="V2008" s="80" t="s">
        <v>568</v>
      </c>
      <c r="X2008" s="77" t="s">
        <v>569</v>
      </c>
      <c r="Y2008" s="78" t="s">
        <v>101</v>
      </c>
      <c r="AA2008" s="77" t="s">
        <v>2584</v>
      </c>
      <c r="AB2008" s="77" t="s">
        <v>1521</v>
      </c>
      <c r="AC2008" s="77" t="s">
        <v>90</v>
      </c>
      <c r="AD2008" s="77" t="s">
        <v>102</v>
      </c>
      <c r="AE2008" s="77" t="s">
        <v>3909</v>
      </c>
      <c r="AG2008" s="77" t="s">
        <v>1359</v>
      </c>
    </row>
    <row r="2009" spans="1:33" x14ac:dyDescent="0.3">
      <c r="A2009" s="77" t="s">
        <v>3919</v>
      </c>
      <c r="B2009" s="77" t="s">
        <v>2605</v>
      </c>
      <c r="G2009" s="77" t="s">
        <v>3908</v>
      </c>
      <c r="H2009" s="77" t="s">
        <v>77</v>
      </c>
      <c r="I2009" s="77" t="s">
        <v>1521</v>
      </c>
      <c r="J2009" s="77" t="s">
        <v>3039</v>
      </c>
      <c r="K2009" s="77" t="s">
        <v>1522</v>
      </c>
      <c r="L2009" s="77" t="s">
        <v>2584</v>
      </c>
      <c r="M2009" s="77" t="s">
        <v>82</v>
      </c>
      <c r="N2009" s="77" t="s">
        <v>83</v>
      </c>
      <c r="Q2009" s="77" t="s">
        <v>188</v>
      </c>
      <c r="T2009" s="77" t="s">
        <v>1351</v>
      </c>
      <c r="U2009" s="77" t="s">
        <v>85</v>
      </c>
      <c r="V2009" s="80" t="s">
        <v>554</v>
      </c>
      <c r="X2009" s="77" t="s">
        <v>555</v>
      </c>
      <c r="Y2009" s="78" t="s">
        <v>88</v>
      </c>
      <c r="AA2009" s="77" t="s">
        <v>2584</v>
      </c>
      <c r="AB2009" s="77" t="s">
        <v>1521</v>
      </c>
      <c r="AC2009" s="77" t="s">
        <v>90</v>
      </c>
      <c r="AD2009" s="77" t="s">
        <v>91</v>
      </c>
      <c r="AE2009" s="77" t="s">
        <v>3909</v>
      </c>
      <c r="AG2009" s="77" t="s">
        <v>1351</v>
      </c>
    </row>
    <row r="2010" spans="1:33" x14ac:dyDescent="0.3">
      <c r="A2010" s="77" t="s">
        <v>3920</v>
      </c>
      <c r="B2010" s="77" t="s">
        <v>2607</v>
      </c>
      <c r="G2010" s="77" t="s">
        <v>3908</v>
      </c>
      <c r="H2010" s="77" t="s">
        <v>77</v>
      </c>
      <c r="I2010" s="77" t="s">
        <v>1521</v>
      </c>
      <c r="J2010" s="77" t="s">
        <v>3039</v>
      </c>
      <c r="K2010" s="77" t="s">
        <v>1522</v>
      </c>
      <c r="L2010" s="77" t="s">
        <v>2584</v>
      </c>
      <c r="M2010" s="77" t="s">
        <v>82</v>
      </c>
      <c r="N2010" s="77" t="s">
        <v>83</v>
      </c>
      <c r="Q2010" s="77" t="s">
        <v>188</v>
      </c>
      <c r="T2010" s="77" t="s">
        <v>1344</v>
      </c>
      <c r="U2010" s="77" t="s">
        <v>85</v>
      </c>
      <c r="V2010" s="80" t="s">
        <v>547</v>
      </c>
      <c r="X2010" s="77" t="s">
        <v>548</v>
      </c>
      <c r="Y2010" s="78" t="s">
        <v>88</v>
      </c>
      <c r="AA2010" s="77" t="s">
        <v>2584</v>
      </c>
      <c r="AB2010" s="77" t="s">
        <v>1521</v>
      </c>
      <c r="AC2010" s="77" t="s">
        <v>90</v>
      </c>
      <c r="AD2010" s="77" t="s">
        <v>91</v>
      </c>
      <c r="AE2010" s="77" t="s">
        <v>3909</v>
      </c>
      <c r="AG2010" s="77" t="s">
        <v>1344</v>
      </c>
    </row>
    <row r="2011" spans="1:33" x14ac:dyDescent="0.3">
      <c r="A2011" s="77" t="s">
        <v>3921</v>
      </c>
      <c r="B2011" s="77" t="s">
        <v>2609</v>
      </c>
      <c r="G2011" s="77" t="s">
        <v>3908</v>
      </c>
      <c r="H2011" s="77" t="s">
        <v>77</v>
      </c>
      <c r="I2011" s="77" t="s">
        <v>1521</v>
      </c>
      <c r="J2011" s="77" t="s">
        <v>3039</v>
      </c>
      <c r="K2011" s="77" t="s">
        <v>1522</v>
      </c>
      <c r="L2011" s="77" t="s">
        <v>2584</v>
      </c>
      <c r="M2011" s="77" t="s">
        <v>82</v>
      </c>
      <c r="N2011" s="77" t="s">
        <v>83</v>
      </c>
      <c r="Q2011" s="77" t="s">
        <v>188</v>
      </c>
      <c r="T2011" s="77" t="s">
        <v>1344</v>
      </c>
      <c r="U2011" s="77" t="s">
        <v>85</v>
      </c>
      <c r="V2011" s="80" t="s">
        <v>547</v>
      </c>
      <c r="X2011" s="77" t="s">
        <v>548</v>
      </c>
      <c r="Y2011" s="78" t="s">
        <v>88</v>
      </c>
      <c r="AA2011" s="77" t="s">
        <v>2584</v>
      </c>
      <c r="AB2011" s="77" t="s">
        <v>1521</v>
      </c>
      <c r="AC2011" s="77" t="s">
        <v>90</v>
      </c>
      <c r="AD2011" s="77" t="s">
        <v>91</v>
      </c>
      <c r="AE2011" s="77" t="s">
        <v>3909</v>
      </c>
      <c r="AG2011" s="77" t="s">
        <v>1344</v>
      </c>
    </row>
    <row r="2012" spans="1:33" x14ac:dyDescent="0.3">
      <c r="A2012" s="77" t="s">
        <v>3922</v>
      </c>
      <c r="B2012" s="77" t="s">
        <v>2611</v>
      </c>
      <c r="G2012" s="77" t="s">
        <v>3908</v>
      </c>
      <c r="H2012" s="77" t="s">
        <v>77</v>
      </c>
      <c r="I2012" s="77" t="s">
        <v>1521</v>
      </c>
      <c r="J2012" s="77" t="s">
        <v>3039</v>
      </c>
      <c r="K2012" s="77" t="s">
        <v>1522</v>
      </c>
      <c r="L2012" s="77" t="s">
        <v>2584</v>
      </c>
      <c r="M2012" s="77" t="s">
        <v>82</v>
      </c>
      <c r="N2012" s="77" t="s">
        <v>83</v>
      </c>
      <c r="Q2012" s="77" t="s">
        <v>188</v>
      </c>
      <c r="T2012" s="77" t="s">
        <v>1351</v>
      </c>
      <c r="U2012" s="77" t="s">
        <v>85</v>
      </c>
      <c r="V2012" s="80" t="s">
        <v>554</v>
      </c>
      <c r="X2012" s="77" t="s">
        <v>555</v>
      </c>
      <c r="Y2012" s="78" t="s">
        <v>88</v>
      </c>
      <c r="AA2012" s="77" t="s">
        <v>2584</v>
      </c>
      <c r="AB2012" s="77" t="s">
        <v>1521</v>
      </c>
      <c r="AC2012" s="77" t="s">
        <v>90</v>
      </c>
      <c r="AD2012" s="77" t="s">
        <v>91</v>
      </c>
      <c r="AE2012" s="77" t="s">
        <v>3909</v>
      </c>
      <c r="AG2012" s="77" t="s">
        <v>1351</v>
      </c>
    </row>
    <row r="2013" spans="1:33" x14ac:dyDescent="0.3">
      <c r="A2013" s="77" t="s">
        <v>3923</v>
      </c>
      <c r="B2013" s="77" t="s">
        <v>2613</v>
      </c>
      <c r="G2013" s="77" t="s">
        <v>3908</v>
      </c>
      <c r="H2013" s="77" t="s">
        <v>77</v>
      </c>
      <c r="I2013" s="77" t="s">
        <v>1521</v>
      </c>
      <c r="J2013" s="77" t="s">
        <v>3039</v>
      </c>
      <c r="K2013" s="77" t="s">
        <v>1522</v>
      </c>
      <c r="L2013" s="77" t="s">
        <v>2584</v>
      </c>
      <c r="M2013" s="77" t="s">
        <v>82</v>
      </c>
      <c r="N2013" s="77" t="s">
        <v>83</v>
      </c>
      <c r="Q2013" s="77" t="s">
        <v>188</v>
      </c>
      <c r="T2013" s="77" t="s">
        <v>1355</v>
      </c>
      <c r="U2013" s="77" t="s">
        <v>85</v>
      </c>
      <c r="V2013" s="80" t="s">
        <v>561</v>
      </c>
      <c r="X2013" s="77" t="s">
        <v>562</v>
      </c>
      <c r="Y2013" s="78" t="s">
        <v>101</v>
      </c>
      <c r="AA2013" s="77" t="s">
        <v>2584</v>
      </c>
      <c r="AB2013" s="77" t="s">
        <v>1521</v>
      </c>
      <c r="AC2013" s="77" t="s">
        <v>90</v>
      </c>
      <c r="AD2013" s="77" t="s">
        <v>102</v>
      </c>
      <c r="AE2013" s="77" t="s">
        <v>3909</v>
      </c>
      <c r="AG2013" s="77" t="s">
        <v>1355</v>
      </c>
    </row>
    <row r="2014" spans="1:33" x14ac:dyDescent="0.3">
      <c r="A2014" s="77" t="s">
        <v>3924</v>
      </c>
      <c r="B2014" s="77" t="s">
        <v>2615</v>
      </c>
      <c r="G2014" s="77" t="s">
        <v>3908</v>
      </c>
      <c r="H2014" s="77" t="s">
        <v>77</v>
      </c>
      <c r="I2014" s="77" t="s">
        <v>1521</v>
      </c>
      <c r="J2014" s="77" t="s">
        <v>3039</v>
      </c>
      <c r="K2014" s="77" t="s">
        <v>1522</v>
      </c>
      <c r="L2014" s="77" t="s">
        <v>2584</v>
      </c>
      <c r="M2014" s="77" t="s">
        <v>82</v>
      </c>
      <c r="N2014" s="77" t="s">
        <v>83</v>
      </c>
      <c r="Q2014" s="77" t="s">
        <v>188</v>
      </c>
      <c r="T2014" s="77" t="s">
        <v>1359</v>
      </c>
      <c r="U2014" s="77" t="s">
        <v>85</v>
      </c>
      <c r="V2014" s="80" t="s">
        <v>568</v>
      </c>
      <c r="X2014" s="77" t="s">
        <v>569</v>
      </c>
      <c r="Y2014" s="78" t="s">
        <v>101</v>
      </c>
      <c r="AA2014" s="77" t="s">
        <v>2584</v>
      </c>
      <c r="AB2014" s="77" t="s">
        <v>1521</v>
      </c>
      <c r="AC2014" s="77" t="s">
        <v>90</v>
      </c>
      <c r="AD2014" s="77" t="s">
        <v>102</v>
      </c>
      <c r="AE2014" s="77" t="s">
        <v>3909</v>
      </c>
      <c r="AG2014" s="77" t="s">
        <v>1359</v>
      </c>
    </row>
    <row r="2015" spans="1:33" x14ac:dyDescent="0.3">
      <c r="A2015" s="77" t="s">
        <v>3968</v>
      </c>
      <c r="B2015" s="77" t="s">
        <v>1545</v>
      </c>
      <c r="G2015" s="77" t="s">
        <v>3969</v>
      </c>
      <c r="H2015" s="77" t="s">
        <v>77</v>
      </c>
      <c r="I2015" s="77" t="s">
        <v>1521</v>
      </c>
      <c r="J2015" s="77" t="s">
        <v>3039</v>
      </c>
      <c r="K2015" s="77" t="s">
        <v>1522</v>
      </c>
      <c r="L2015" s="77" t="s">
        <v>1546</v>
      </c>
      <c r="M2015" s="77" t="s">
        <v>82</v>
      </c>
      <c r="N2015" s="77" t="s">
        <v>83</v>
      </c>
      <c r="Q2015" s="77" t="s">
        <v>188</v>
      </c>
      <c r="T2015" s="77" t="s">
        <v>1547</v>
      </c>
      <c r="U2015" s="77" t="s">
        <v>85</v>
      </c>
      <c r="V2015" s="80" t="s">
        <v>891</v>
      </c>
      <c r="X2015" s="77" t="s">
        <v>892</v>
      </c>
      <c r="Y2015" s="78" t="s">
        <v>88</v>
      </c>
      <c r="AA2015" s="77" t="s">
        <v>3970</v>
      </c>
      <c r="AB2015" s="77" t="s">
        <v>1521</v>
      </c>
      <c r="AC2015" s="77" t="s">
        <v>90</v>
      </c>
      <c r="AD2015" s="77" t="s">
        <v>91</v>
      </c>
      <c r="AE2015" s="77" t="s">
        <v>3971</v>
      </c>
      <c r="AG2015" s="77" t="s">
        <v>1547</v>
      </c>
    </row>
    <row r="2016" spans="1:33" x14ac:dyDescent="0.3">
      <c r="A2016" s="77" t="s">
        <v>3972</v>
      </c>
      <c r="B2016" s="77" t="s">
        <v>1549</v>
      </c>
      <c r="G2016" s="77" t="s">
        <v>3969</v>
      </c>
      <c r="H2016" s="77" t="s">
        <v>77</v>
      </c>
      <c r="I2016" s="77" t="s">
        <v>1521</v>
      </c>
      <c r="J2016" s="77" t="s">
        <v>3039</v>
      </c>
      <c r="K2016" s="77" t="s">
        <v>1522</v>
      </c>
      <c r="L2016" s="77" t="s">
        <v>1550</v>
      </c>
      <c r="M2016" s="77" t="s">
        <v>82</v>
      </c>
      <c r="N2016" s="77" t="s">
        <v>83</v>
      </c>
      <c r="Q2016" s="77" t="s">
        <v>188</v>
      </c>
      <c r="T2016" s="77" t="s">
        <v>1551</v>
      </c>
      <c r="U2016" s="77" t="s">
        <v>85</v>
      </c>
      <c r="V2016" s="80" t="s">
        <v>947</v>
      </c>
      <c r="X2016" s="77" t="s">
        <v>948</v>
      </c>
      <c r="Y2016" s="78" t="s">
        <v>88</v>
      </c>
      <c r="AA2016" s="77" t="s">
        <v>3970</v>
      </c>
      <c r="AB2016" s="77" t="s">
        <v>1521</v>
      </c>
      <c r="AC2016" s="77" t="s">
        <v>90</v>
      </c>
      <c r="AD2016" s="77" t="s">
        <v>91</v>
      </c>
      <c r="AE2016" s="77" t="s">
        <v>3971</v>
      </c>
      <c r="AG2016" s="77" t="s">
        <v>1551</v>
      </c>
    </row>
    <row r="2017" spans="1:33" x14ac:dyDescent="0.3">
      <c r="A2017" s="77" t="s">
        <v>3973</v>
      </c>
      <c r="B2017" s="77" t="s">
        <v>1553</v>
      </c>
      <c r="G2017" s="77" t="s">
        <v>3969</v>
      </c>
      <c r="H2017" s="77" t="s">
        <v>77</v>
      </c>
      <c r="I2017" s="77" t="s">
        <v>1521</v>
      </c>
      <c r="J2017" s="77" t="s">
        <v>3039</v>
      </c>
      <c r="K2017" s="77" t="s">
        <v>1522</v>
      </c>
      <c r="L2017" s="77" t="s">
        <v>1550</v>
      </c>
      <c r="M2017" s="77" t="s">
        <v>82</v>
      </c>
      <c r="N2017" s="77" t="s">
        <v>83</v>
      </c>
      <c r="Q2017" s="77" t="s">
        <v>188</v>
      </c>
      <c r="T2017" s="77" t="s">
        <v>1551</v>
      </c>
      <c r="U2017" s="77" t="s">
        <v>85</v>
      </c>
      <c r="V2017" s="80" t="s">
        <v>947</v>
      </c>
      <c r="X2017" s="77" t="s">
        <v>948</v>
      </c>
      <c r="Y2017" s="78" t="s">
        <v>88</v>
      </c>
      <c r="AA2017" s="77" t="s">
        <v>3970</v>
      </c>
      <c r="AB2017" s="77" t="s">
        <v>1521</v>
      </c>
      <c r="AC2017" s="77" t="s">
        <v>90</v>
      </c>
      <c r="AD2017" s="77" t="s">
        <v>91</v>
      </c>
      <c r="AE2017" s="77" t="s">
        <v>3971</v>
      </c>
      <c r="AG2017" s="77" t="s">
        <v>1551</v>
      </c>
    </row>
    <row r="2018" spans="1:33" x14ac:dyDescent="0.3">
      <c r="A2018" s="77" t="s">
        <v>3974</v>
      </c>
      <c r="B2018" s="77" t="s">
        <v>1519</v>
      </c>
      <c r="G2018" s="77" t="s">
        <v>3969</v>
      </c>
      <c r="H2018" s="77" t="s">
        <v>77</v>
      </c>
      <c r="I2018" s="77" t="s">
        <v>1521</v>
      </c>
      <c r="J2018" s="77" t="s">
        <v>3039</v>
      </c>
      <c r="K2018" s="77" t="s">
        <v>1522</v>
      </c>
      <c r="L2018" s="77" t="s">
        <v>1523</v>
      </c>
      <c r="M2018" s="77" t="s">
        <v>82</v>
      </c>
      <c r="N2018" s="77" t="s">
        <v>83</v>
      </c>
      <c r="Q2018" s="77" t="s">
        <v>188</v>
      </c>
      <c r="U2018" s="77" t="s">
        <v>85</v>
      </c>
      <c r="V2018" s="80" t="s">
        <v>891</v>
      </c>
      <c r="X2018" s="77" t="s">
        <v>892</v>
      </c>
      <c r="Y2018" s="78" t="s">
        <v>88</v>
      </c>
      <c r="AA2018" s="77" t="s">
        <v>3970</v>
      </c>
      <c r="AB2018" s="77" t="s">
        <v>1521</v>
      </c>
      <c r="AC2018" s="77" t="s">
        <v>90</v>
      </c>
      <c r="AD2018" s="77" t="s">
        <v>91</v>
      </c>
      <c r="AE2018" s="77" t="s">
        <v>3971</v>
      </c>
    </row>
    <row r="2019" spans="1:33" x14ac:dyDescent="0.3">
      <c r="A2019" s="77" t="s">
        <v>4030</v>
      </c>
      <c r="B2019" s="77" t="s">
        <v>4031</v>
      </c>
      <c r="G2019" s="77" t="s">
        <v>4032</v>
      </c>
      <c r="H2019" s="77" t="s">
        <v>77</v>
      </c>
      <c r="I2019" s="77" t="s">
        <v>1521</v>
      </c>
      <c r="J2019" s="77" t="s">
        <v>79</v>
      </c>
      <c r="K2019" s="77" t="s">
        <v>1522</v>
      </c>
      <c r="L2019" s="77" t="s">
        <v>4033</v>
      </c>
      <c r="M2019" s="77" t="s">
        <v>82</v>
      </c>
      <c r="N2019" s="77" t="s">
        <v>83</v>
      </c>
      <c r="Q2019" s="77" t="s">
        <v>111</v>
      </c>
      <c r="S2019" s="77" t="s">
        <v>111</v>
      </c>
      <c r="U2019" s="77" t="s">
        <v>85</v>
      </c>
      <c r="V2019" s="80" t="s">
        <v>2702</v>
      </c>
      <c r="X2019" s="77" t="s">
        <v>2703</v>
      </c>
      <c r="Y2019" s="78" t="s">
        <v>88</v>
      </c>
      <c r="AB2019" s="77" t="s">
        <v>1521</v>
      </c>
      <c r="AC2019" s="77" t="s">
        <v>90</v>
      </c>
      <c r="AD2019" s="77" t="s">
        <v>1258</v>
      </c>
      <c r="AE2019" s="77" t="s">
        <v>4034</v>
      </c>
    </row>
    <row r="2020" spans="1:33" x14ac:dyDescent="0.3">
      <c r="A2020" s="77" t="s">
        <v>4035</v>
      </c>
      <c r="B2020" s="77" t="s">
        <v>4036</v>
      </c>
      <c r="G2020" s="77" t="s">
        <v>4032</v>
      </c>
      <c r="H2020" s="77" t="s">
        <v>77</v>
      </c>
      <c r="I2020" s="77" t="s">
        <v>1521</v>
      </c>
      <c r="J2020" s="77" t="s">
        <v>79</v>
      </c>
      <c r="K2020" s="77" t="s">
        <v>1522</v>
      </c>
      <c r="L2020" s="77" t="s">
        <v>4037</v>
      </c>
      <c r="M2020" s="77" t="s">
        <v>82</v>
      </c>
      <c r="N2020" s="77" t="s">
        <v>83</v>
      </c>
      <c r="Q2020" s="77" t="s">
        <v>111</v>
      </c>
      <c r="S2020" s="77" t="s">
        <v>111</v>
      </c>
      <c r="U2020" s="77" t="s">
        <v>85</v>
      </c>
      <c r="V2020" s="80" t="s">
        <v>2702</v>
      </c>
      <c r="X2020" s="77" t="s">
        <v>2703</v>
      </c>
      <c r="Y2020" s="78" t="s">
        <v>88</v>
      </c>
      <c r="AB2020" s="77" t="s">
        <v>1521</v>
      </c>
      <c r="AC2020" s="77" t="s">
        <v>90</v>
      </c>
      <c r="AD2020" s="77" t="s">
        <v>1258</v>
      </c>
      <c r="AE2020" s="77" t="s">
        <v>4034</v>
      </c>
    </row>
    <row r="2021" spans="1:33" x14ac:dyDescent="0.3">
      <c r="A2021" s="77" t="s">
        <v>4038</v>
      </c>
      <c r="B2021" s="77" t="s">
        <v>4039</v>
      </c>
      <c r="G2021" s="77" t="s">
        <v>4032</v>
      </c>
      <c r="H2021" s="77" t="s">
        <v>77</v>
      </c>
      <c r="I2021" s="77" t="s">
        <v>1521</v>
      </c>
      <c r="J2021" s="77" t="s">
        <v>79</v>
      </c>
      <c r="K2021" s="77" t="s">
        <v>1522</v>
      </c>
      <c r="L2021" s="77" t="s">
        <v>4040</v>
      </c>
      <c r="M2021" s="77" t="s">
        <v>82</v>
      </c>
      <c r="N2021" s="77" t="s">
        <v>83</v>
      </c>
      <c r="Q2021" s="77" t="s">
        <v>111</v>
      </c>
      <c r="S2021" s="77" t="s">
        <v>111</v>
      </c>
      <c r="U2021" s="77" t="s">
        <v>85</v>
      </c>
      <c r="V2021" s="80" t="s">
        <v>2702</v>
      </c>
      <c r="X2021" s="77" t="s">
        <v>2703</v>
      </c>
      <c r="Y2021" s="78" t="s">
        <v>88</v>
      </c>
      <c r="AB2021" s="77" t="s">
        <v>1521</v>
      </c>
      <c r="AC2021" s="77" t="s">
        <v>90</v>
      </c>
      <c r="AD2021" s="77" t="s">
        <v>1258</v>
      </c>
      <c r="AE2021" s="77" t="s">
        <v>4034</v>
      </c>
    </row>
    <row r="2022" spans="1:33" x14ac:dyDescent="0.3">
      <c r="A2022" s="77" t="s">
        <v>4041</v>
      </c>
      <c r="B2022" s="77" t="s">
        <v>4042</v>
      </c>
      <c r="G2022" s="77" t="s">
        <v>4032</v>
      </c>
      <c r="H2022" s="77" t="s">
        <v>77</v>
      </c>
      <c r="I2022" s="77" t="s">
        <v>1521</v>
      </c>
      <c r="J2022" s="77" t="s">
        <v>79</v>
      </c>
      <c r="K2022" s="77" t="s">
        <v>1522</v>
      </c>
      <c r="L2022" s="77" t="s">
        <v>4043</v>
      </c>
      <c r="M2022" s="77" t="s">
        <v>82</v>
      </c>
      <c r="N2022" s="77" t="s">
        <v>83</v>
      </c>
      <c r="Q2022" s="77" t="s">
        <v>111</v>
      </c>
      <c r="S2022" s="77" t="s">
        <v>111</v>
      </c>
      <c r="U2022" s="77" t="s">
        <v>85</v>
      </c>
      <c r="V2022" s="80" t="s">
        <v>2702</v>
      </c>
      <c r="X2022" s="77" t="s">
        <v>2703</v>
      </c>
      <c r="Y2022" s="78" t="s">
        <v>88</v>
      </c>
      <c r="AB2022" s="77" t="s">
        <v>1521</v>
      </c>
      <c r="AC2022" s="77" t="s">
        <v>90</v>
      </c>
      <c r="AD2022" s="77" t="s">
        <v>1258</v>
      </c>
      <c r="AE2022" s="77" t="s">
        <v>4034</v>
      </c>
    </row>
    <row r="2023" spans="1:33" hidden="1" x14ac:dyDescent="0.3">
      <c r="A2023" s="77" t="s">
        <v>4044</v>
      </c>
      <c r="B2023" s="77" t="s">
        <v>4045</v>
      </c>
      <c r="G2023" s="77" t="s">
        <v>4032</v>
      </c>
      <c r="H2023" s="77" t="s">
        <v>77</v>
      </c>
      <c r="I2023" s="77" t="s">
        <v>1521</v>
      </c>
      <c r="J2023" s="77" t="s">
        <v>79</v>
      </c>
      <c r="K2023" s="77" t="s">
        <v>1522</v>
      </c>
      <c r="L2023" s="77" t="s">
        <v>4046</v>
      </c>
      <c r="M2023" s="77" t="s">
        <v>82</v>
      </c>
      <c r="N2023" s="77" t="s">
        <v>83</v>
      </c>
      <c r="Q2023" s="77" t="s">
        <v>111</v>
      </c>
      <c r="S2023" s="77" t="s">
        <v>111</v>
      </c>
      <c r="U2023" s="77" t="s">
        <v>85</v>
      </c>
      <c r="V2023" s="77" t="s">
        <v>2702</v>
      </c>
      <c r="W2023" s="79">
        <v>46207.456696956018</v>
      </c>
      <c r="X2023" s="77" t="s">
        <v>2703</v>
      </c>
      <c r="Y2023" s="78" t="s">
        <v>88</v>
      </c>
      <c r="AA2023" s="77" t="s">
        <v>3036</v>
      </c>
      <c r="AB2023" s="77" t="s">
        <v>1521</v>
      </c>
      <c r="AC2023" s="77" t="s">
        <v>114</v>
      </c>
      <c r="AD2023" s="77" t="s">
        <v>1258</v>
      </c>
      <c r="AE2023" s="77" t="s">
        <v>4034</v>
      </c>
      <c r="AF2023" s="77" t="s">
        <v>2706</v>
      </c>
    </row>
    <row r="2024" spans="1:33" x14ac:dyDescent="0.3">
      <c r="A2024" s="77" t="s">
        <v>4047</v>
      </c>
      <c r="B2024" s="77" t="s">
        <v>4048</v>
      </c>
      <c r="G2024" s="77" t="s">
        <v>4032</v>
      </c>
      <c r="H2024" s="77" t="s">
        <v>77</v>
      </c>
      <c r="I2024" s="77" t="s">
        <v>1521</v>
      </c>
      <c r="J2024" s="77" t="s">
        <v>79</v>
      </c>
      <c r="K2024" s="77" t="s">
        <v>1522</v>
      </c>
      <c r="L2024" s="77" t="s">
        <v>4049</v>
      </c>
      <c r="M2024" s="77" t="s">
        <v>82</v>
      </c>
      <c r="N2024" s="77" t="s">
        <v>83</v>
      </c>
      <c r="Q2024" s="77" t="s">
        <v>111</v>
      </c>
      <c r="S2024" s="77" t="s">
        <v>111</v>
      </c>
      <c r="U2024" s="77" t="s">
        <v>85</v>
      </c>
      <c r="V2024" s="80" t="s">
        <v>2702</v>
      </c>
      <c r="X2024" s="77" t="s">
        <v>2703</v>
      </c>
      <c r="Y2024" s="78" t="s">
        <v>88</v>
      </c>
      <c r="AB2024" s="77" t="s">
        <v>1521</v>
      </c>
      <c r="AC2024" s="77" t="s">
        <v>90</v>
      </c>
      <c r="AD2024" s="77" t="s">
        <v>1258</v>
      </c>
      <c r="AE2024" s="77" t="s">
        <v>4034</v>
      </c>
    </row>
    <row r="2025" spans="1:33" x14ac:dyDescent="0.3">
      <c r="A2025" s="77" t="s">
        <v>4050</v>
      </c>
      <c r="B2025" s="77" t="s">
        <v>4051</v>
      </c>
      <c r="G2025" s="77" t="s">
        <v>4032</v>
      </c>
      <c r="H2025" s="77" t="s">
        <v>77</v>
      </c>
      <c r="I2025" s="77" t="s">
        <v>1521</v>
      </c>
      <c r="J2025" s="77" t="s">
        <v>79</v>
      </c>
      <c r="K2025" s="77" t="s">
        <v>1522</v>
      </c>
      <c r="L2025" s="77" t="s">
        <v>4052</v>
      </c>
      <c r="M2025" s="77" t="s">
        <v>82</v>
      </c>
      <c r="N2025" s="77" t="s">
        <v>83</v>
      </c>
      <c r="Q2025" s="77" t="s">
        <v>111</v>
      </c>
      <c r="S2025" s="77" t="s">
        <v>111</v>
      </c>
      <c r="U2025" s="77" t="s">
        <v>85</v>
      </c>
      <c r="V2025" s="80" t="s">
        <v>2702</v>
      </c>
      <c r="X2025" s="77" t="s">
        <v>2703</v>
      </c>
      <c r="Y2025" s="78" t="s">
        <v>88</v>
      </c>
      <c r="AB2025" s="77" t="s">
        <v>1521</v>
      </c>
      <c r="AC2025" s="77" t="s">
        <v>90</v>
      </c>
      <c r="AD2025" s="77" t="s">
        <v>1258</v>
      </c>
      <c r="AE2025" s="77" t="s">
        <v>4034</v>
      </c>
    </row>
    <row r="2026" spans="1:33" x14ac:dyDescent="0.3">
      <c r="A2026" s="77" t="s">
        <v>4053</v>
      </c>
      <c r="B2026" s="77" t="s">
        <v>4054</v>
      </c>
      <c r="G2026" s="77" t="s">
        <v>4032</v>
      </c>
      <c r="H2026" s="77" t="s">
        <v>77</v>
      </c>
      <c r="I2026" s="77" t="s">
        <v>1521</v>
      </c>
      <c r="J2026" s="77" t="s">
        <v>79</v>
      </c>
      <c r="K2026" s="77" t="s">
        <v>1522</v>
      </c>
      <c r="L2026" s="77" t="s">
        <v>4055</v>
      </c>
      <c r="M2026" s="77" t="s">
        <v>82</v>
      </c>
      <c r="N2026" s="77" t="s">
        <v>83</v>
      </c>
      <c r="Q2026" s="77" t="s">
        <v>111</v>
      </c>
      <c r="S2026" s="77" t="s">
        <v>111</v>
      </c>
      <c r="U2026" s="77" t="s">
        <v>85</v>
      </c>
      <c r="V2026" s="80" t="s">
        <v>2702</v>
      </c>
      <c r="X2026" s="77" t="s">
        <v>2703</v>
      </c>
      <c r="Y2026" s="78" t="s">
        <v>88</v>
      </c>
      <c r="AB2026" s="77" t="s">
        <v>1521</v>
      </c>
      <c r="AC2026" s="77" t="s">
        <v>90</v>
      </c>
      <c r="AD2026" s="77" t="s">
        <v>1258</v>
      </c>
      <c r="AE2026" s="77" t="s">
        <v>4034</v>
      </c>
    </row>
    <row r="2027" spans="1:33" x14ac:dyDescent="0.3">
      <c r="A2027" s="77" t="s">
        <v>4056</v>
      </c>
      <c r="B2027" s="77" t="s">
        <v>4057</v>
      </c>
      <c r="G2027" s="77" t="s">
        <v>4032</v>
      </c>
      <c r="H2027" s="77" t="s">
        <v>77</v>
      </c>
      <c r="I2027" s="77" t="s">
        <v>1521</v>
      </c>
      <c r="J2027" s="77" t="s">
        <v>79</v>
      </c>
      <c r="K2027" s="77" t="s">
        <v>1522</v>
      </c>
      <c r="L2027" s="77" t="s">
        <v>4058</v>
      </c>
      <c r="M2027" s="77" t="s">
        <v>82</v>
      </c>
      <c r="N2027" s="77" t="s">
        <v>83</v>
      </c>
      <c r="Q2027" s="77" t="s">
        <v>111</v>
      </c>
      <c r="S2027" s="77" t="s">
        <v>111</v>
      </c>
      <c r="U2027" s="77" t="s">
        <v>85</v>
      </c>
      <c r="V2027" s="80" t="s">
        <v>2702</v>
      </c>
      <c r="X2027" s="77" t="s">
        <v>2703</v>
      </c>
      <c r="Y2027" s="78" t="s">
        <v>88</v>
      </c>
      <c r="AB2027" s="77" t="s">
        <v>1521</v>
      </c>
      <c r="AC2027" s="77" t="s">
        <v>90</v>
      </c>
      <c r="AD2027" s="77" t="s">
        <v>1258</v>
      </c>
      <c r="AE2027" s="77" t="s">
        <v>4034</v>
      </c>
    </row>
    <row r="2028" spans="1:33" x14ac:dyDescent="0.3">
      <c r="A2028" s="77" t="s">
        <v>4059</v>
      </c>
      <c r="B2028" s="77" t="s">
        <v>4060</v>
      </c>
      <c r="G2028" s="77" t="s">
        <v>4032</v>
      </c>
      <c r="H2028" s="77" t="s">
        <v>77</v>
      </c>
      <c r="I2028" s="77" t="s">
        <v>1521</v>
      </c>
      <c r="J2028" s="77" t="s">
        <v>79</v>
      </c>
      <c r="K2028" s="77" t="s">
        <v>1522</v>
      </c>
      <c r="L2028" s="77" t="s">
        <v>4061</v>
      </c>
      <c r="M2028" s="77" t="s">
        <v>82</v>
      </c>
      <c r="N2028" s="77" t="s">
        <v>83</v>
      </c>
      <c r="Q2028" s="77" t="s">
        <v>111</v>
      </c>
      <c r="S2028" s="77" t="s">
        <v>111</v>
      </c>
      <c r="U2028" s="77" t="s">
        <v>85</v>
      </c>
      <c r="V2028" s="80" t="s">
        <v>325</v>
      </c>
      <c r="X2028" s="77" t="s">
        <v>326</v>
      </c>
      <c r="Y2028" s="78" t="s">
        <v>101</v>
      </c>
      <c r="AB2028" s="77" t="s">
        <v>1521</v>
      </c>
      <c r="AC2028" s="77" t="s">
        <v>90</v>
      </c>
      <c r="AD2028" s="77" t="s">
        <v>327</v>
      </c>
      <c r="AE2028" s="77" t="s">
        <v>4034</v>
      </c>
    </row>
    <row r="2029" spans="1:33" x14ac:dyDescent="0.3">
      <c r="A2029" s="77" t="s">
        <v>4062</v>
      </c>
      <c r="B2029" s="77" t="s">
        <v>4063</v>
      </c>
      <c r="G2029" s="77" t="s">
        <v>4032</v>
      </c>
      <c r="H2029" s="77" t="s">
        <v>77</v>
      </c>
      <c r="I2029" s="77" t="s">
        <v>1521</v>
      </c>
      <c r="J2029" s="77" t="s">
        <v>79</v>
      </c>
      <c r="K2029" s="77" t="s">
        <v>1522</v>
      </c>
      <c r="L2029" s="77" t="s">
        <v>4064</v>
      </c>
      <c r="M2029" s="77" t="s">
        <v>82</v>
      </c>
      <c r="N2029" s="77" t="s">
        <v>83</v>
      </c>
      <c r="Q2029" s="77" t="s">
        <v>111</v>
      </c>
      <c r="S2029" s="77" t="s">
        <v>111</v>
      </c>
      <c r="U2029" s="77" t="s">
        <v>85</v>
      </c>
      <c r="V2029" s="80" t="s">
        <v>325</v>
      </c>
      <c r="X2029" s="77" t="s">
        <v>326</v>
      </c>
      <c r="Y2029" s="78" t="s">
        <v>101</v>
      </c>
      <c r="AB2029" s="77" t="s">
        <v>1521</v>
      </c>
      <c r="AC2029" s="77" t="s">
        <v>90</v>
      </c>
      <c r="AD2029" s="77" t="s">
        <v>327</v>
      </c>
      <c r="AE2029" s="77" t="s">
        <v>4034</v>
      </c>
    </row>
    <row r="2030" spans="1:33" x14ac:dyDescent="0.3">
      <c r="A2030" s="77" t="s">
        <v>4065</v>
      </c>
      <c r="B2030" s="77" t="s">
        <v>4066</v>
      </c>
      <c r="G2030" s="77" t="s">
        <v>4032</v>
      </c>
      <c r="H2030" s="77" t="s">
        <v>77</v>
      </c>
      <c r="I2030" s="77" t="s">
        <v>1521</v>
      </c>
      <c r="J2030" s="77" t="s">
        <v>79</v>
      </c>
      <c r="K2030" s="77" t="s">
        <v>1522</v>
      </c>
      <c r="L2030" s="77" t="s">
        <v>4067</v>
      </c>
      <c r="M2030" s="77" t="s">
        <v>82</v>
      </c>
      <c r="N2030" s="77" t="s">
        <v>83</v>
      </c>
      <c r="Q2030" s="77" t="s">
        <v>111</v>
      </c>
      <c r="S2030" s="77" t="s">
        <v>111</v>
      </c>
      <c r="U2030" s="77" t="s">
        <v>85</v>
      </c>
      <c r="V2030" s="80" t="s">
        <v>2702</v>
      </c>
      <c r="X2030" s="77" t="s">
        <v>2703</v>
      </c>
      <c r="Y2030" s="78" t="s">
        <v>88</v>
      </c>
      <c r="AB2030" s="77" t="s">
        <v>1521</v>
      </c>
      <c r="AC2030" s="77" t="s">
        <v>90</v>
      </c>
      <c r="AD2030" s="77" t="s">
        <v>1258</v>
      </c>
      <c r="AE2030" s="77" t="s">
        <v>4034</v>
      </c>
    </row>
    <row r="2031" spans="1:33" x14ac:dyDescent="0.3">
      <c r="A2031" s="77" t="s">
        <v>4068</v>
      </c>
      <c r="B2031" s="77" t="s">
        <v>4069</v>
      </c>
      <c r="G2031" s="77" t="s">
        <v>4032</v>
      </c>
      <c r="H2031" s="77" t="s">
        <v>77</v>
      </c>
      <c r="I2031" s="77" t="s">
        <v>1521</v>
      </c>
      <c r="J2031" s="77" t="s">
        <v>79</v>
      </c>
      <c r="K2031" s="77" t="s">
        <v>1522</v>
      </c>
      <c r="L2031" s="77" t="s">
        <v>4070</v>
      </c>
      <c r="M2031" s="77" t="s">
        <v>82</v>
      </c>
      <c r="N2031" s="77" t="s">
        <v>83</v>
      </c>
      <c r="Q2031" s="77" t="s">
        <v>111</v>
      </c>
      <c r="S2031" s="77" t="s">
        <v>111</v>
      </c>
      <c r="U2031" s="77" t="s">
        <v>85</v>
      </c>
      <c r="V2031" s="80" t="s">
        <v>2702</v>
      </c>
      <c r="X2031" s="77" t="s">
        <v>2703</v>
      </c>
      <c r="Y2031" s="78" t="s">
        <v>88</v>
      </c>
      <c r="AB2031" s="77" t="s">
        <v>1521</v>
      </c>
      <c r="AC2031" s="77" t="s">
        <v>90</v>
      </c>
      <c r="AD2031" s="77" t="s">
        <v>1258</v>
      </c>
      <c r="AE2031" s="77" t="s">
        <v>4034</v>
      </c>
    </row>
    <row r="2032" spans="1:33" hidden="1" x14ac:dyDescent="0.3">
      <c r="A2032" s="77" t="s">
        <v>4071</v>
      </c>
      <c r="B2032" s="77" t="s">
        <v>4072</v>
      </c>
      <c r="G2032" s="77" t="s">
        <v>4032</v>
      </c>
      <c r="H2032" s="77" t="s">
        <v>77</v>
      </c>
      <c r="I2032" s="77" t="s">
        <v>1521</v>
      </c>
      <c r="J2032" s="77" t="s">
        <v>79</v>
      </c>
      <c r="K2032" s="77" t="s">
        <v>1522</v>
      </c>
      <c r="L2032" s="77" t="s">
        <v>4073</v>
      </c>
      <c r="M2032" s="77" t="s">
        <v>82</v>
      </c>
      <c r="N2032" s="77" t="s">
        <v>83</v>
      </c>
      <c r="Q2032" s="77" t="s">
        <v>111</v>
      </c>
      <c r="S2032" s="77" t="s">
        <v>111</v>
      </c>
      <c r="U2032" s="77" t="s">
        <v>85</v>
      </c>
      <c r="V2032" s="77" t="s">
        <v>2702</v>
      </c>
      <c r="W2032" s="79">
        <v>46200.358331678239</v>
      </c>
      <c r="X2032" s="77" t="s">
        <v>2703</v>
      </c>
      <c r="Y2032" s="78" t="s">
        <v>88</v>
      </c>
      <c r="AA2032" s="77" t="s">
        <v>3036</v>
      </c>
      <c r="AB2032" s="77" t="s">
        <v>1521</v>
      </c>
      <c r="AC2032" s="77" t="s">
        <v>114</v>
      </c>
      <c r="AD2032" s="77" t="s">
        <v>1258</v>
      </c>
      <c r="AE2032" s="77" t="s">
        <v>4034</v>
      </c>
      <c r="AF2032" s="77" t="s">
        <v>2706</v>
      </c>
    </row>
    <row r="2033" spans="1:32" hidden="1" x14ac:dyDescent="0.3">
      <c r="A2033" s="77" t="s">
        <v>4074</v>
      </c>
      <c r="B2033" s="77" t="s">
        <v>4075</v>
      </c>
      <c r="G2033" s="77" t="s">
        <v>4032</v>
      </c>
      <c r="H2033" s="77" t="s">
        <v>77</v>
      </c>
      <c r="I2033" s="77" t="s">
        <v>1521</v>
      </c>
      <c r="J2033" s="77" t="s">
        <v>79</v>
      </c>
      <c r="K2033" s="77" t="s">
        <v>1522</v>
      </c>
      <c r="L2033" s="77" t="s">
        <v>4076</v>
      </c>
      <c r="M2033" s="77" t="s">
        <v>82</v>
      </c>
      <c r="N2033" s="77" t="s">
        <v>83</v>
      </c>
      <c r="Q2033" s="77" t="s">
        <v>111</v>
      </c>
      <c r="S2033" s="77" t="s">
        <v>111</v>
      </c>
      <c r="U2033" s="77" t="s">
        <v>85</v>
      </c>
      <c r="V2033" s="77" t="s">
        <v>2702</v>
      </c>
      <c r="W2033" s="79">
        <v>46200.355999108797</v>
      </c>
      <c r="X2033" s="77" t="s">
        <v>2703</v>
      </c>
      <c r="Y2033" s="78" t="s">
        <v>88</v>
      </c>
      <c r="AA2033" s="77" t="s">
        <v>3036</v>
      </c>
      <c r="AB2033" s="77" t="s">
        <v>1521</v>
      </c>
      <c r="AC2033" s="77" t="s">
        <v>114</v>
      </c>
      <c r="AD2033" s="77" t="s">
        <v>1258</v>
      </c>
      <c r="AE2033" s="77" t="s">
        <v>4034</v>
      </c>
      <c r="AF2033" s="77" t="s">
        <v>2706</v>
      </c>
    </row>
    <row r="2034" spans="1:32" x14ac:dyDescent="0.3">
      <c r="A2034" s="77" t="s">
        <v>4077</v>
      </c>
      <c r="B2034" s="77" t="s">
        <v>4078</v>
      </c>
      <c r="G2034" s="77" t="s">
        <v>4032</v>
      </c>
      <c r="H2034" s="77" t="s">
        <v>77</v>
      </c>
      <c r="I2034" s="77" t="s">
        <v>1521</v>
      </c>
      <c r="J2034" s="77" t="s">
        <v>79</v>
      </c>
      <c r="K2034" s="77" t="s">
        <v>1522</v>
      </c>
      <c r="L2034" s="77" t="s">
        <v>4079</v>
      </c>
      <c r="M2034" s="77" t="s">
        <v>82</v>
      </c>
      <c r="N2034" s="77" t="s">
        <v>83</v>
      </c>
      <c r="Q2034" s="77" t="s">
        <v>111</v>
      </c>
      <c r="S2034" s="77" t="s">
        <v>111</v>
      </c>
      <c r="U2034" s="77" t="s">
        <v>85</v>
      </c>
      <c r="V2034" s="80" t="s">
        <v>2702</v>
      </c>
      <c r="X2034" s="77" t="s">
        <v>2703</v>
      </c>
      <c r="Y2034" s="78" t="s">
        <v>88</v>
      </c>
      <c r="AB2034" s="77" t="s">
        <v>1521</v>
      </c>
      <c r="AC2034" s="77" t="s">
        <v>90</v>
      </c>
      <c r="AD2034" s="77" t="s">
        <v>1258</v>
      </c>
      <c r="AE2034" s="77" t="s">
        <v>4034</v>
      </c>
    </row>
    <row r="2035" spans="1:32" x14ac:dyDescent="0.3">
      <c r="A2035" s="77" t="s">
        <v>4080</v>
      </c>
      <c r="B2035" s="77" t="s">
        <v>4081</v>
      </c>
      <c r="G2035" s="77" t="s">
        <v>4032</v>
      </c>
      <c r="H2035" s="77" t="s">
        <v>77</v>
      </c>
      <c r="I2035" s="77" t="s">
        <v>1521</v>
      </c>
      <c r="J2035" s="77" t="s">
        <v>79</v>
      </c>
      <c r="K2035" s="77" t="s">
        <v>1522</v>
      </c>
      <c r="L2035" s="77" t="s">
        <v>4082</v>
      </c>
      <c r="M2035" s="77" t="s">
        <v>82</v>
      </c>
      <c r="N2035" s="77" t="s">
        <v>83</v>
      </c>
      <c r="Q2035" s="77" t="s">
        <v>111</v>
      </c>
      <c r="S2035" s="77" t="s">
        <v>111</v>
      </c>
      <c r="U2035" s="77" t="s">
        <v>85</v>
      </c>
      <c r="V2035" s="80" t="s">
        <v>2702</v>
      </c>
      <c r="X2035" s="77" t="s">
        <v>2703</v>
      </c>
      <c r="Y2035" s="78" t="s">
        <v>88</v>
      </c>
      <c r="AB2035" s="77" t="s">
        <v>1521</v>
      </c>
      <c r="AC2035" s="77" t="s">
        <v>90</v>
      </c>
      <c r="AD2035" s="77" t="s">
        <v>1258</v>
      </c>
      <c r="AE2035" s="77" t="s">
        <v>4034</v>
      </c>
    </row>
    <row r="2036" spans="1:32" x14ac:dyDescent="0.3">
      <c r="A2036" s="77" t="s">
        <v>4083</v>
      </c>
      <c r="B2036" s="77" t="s">
        <v>4084</v>
      </c>
      <c r="G2036" s="77" t="s">
        <v>4032</v>
      </c>
      <c r="H2036" s="77" t="s">
        <v>77</v>
      </c>
      <c r="I2036" s="77" t="s">
        <v>1521</v>
      </c>
      <c r="J2036" s="77" t="s">
        <v>79</v>
      </c>
      <c r="K2036" s="77" t="s">
        <v>1522</v>
      </c>
      <c r="L2036" s="77" t="s">
        <v>4085</v>
      </c>
      <c r="M2036" s="77" t="s">
        <v>82</v>
      </c>
      <c r="N2036" s="77" t="s">
        <v>83</v>
      </c>
      <c r="Q2036" s="77" t="s">
        <v>111</v>
      </c>
      <c r="S2036" s="77" t="s">
        <v>111</v>
      </c>
      <c r="U2036" s="77" t="s">
        <v>85</v>
      </c>
      <c r="V2036" s="80" t="s">
        <v>2702</v>
      </c>
      <c r="X2036" s="77" t="s">
        <v>2703</v>
      </c>
      <c r="Y2036" s="78" t="s">
        <v>88</v>
      </c>
      <c r="AB2036" s="77" t="s">
        <v>1521</v>
      </c>
      <c r="AC2036" s="77" t="s">
        <v>90</v>
      </c>
      <c r="AD2036" s="77" t="s">
        <v>1258</v>
      </c>
      <c r="AE2036" s="77" t="s">
        <v>4034</v>
      </c>
    </row>
    <row r="2037" spans="1:32" x14ac:dyDescent="0.3">
      <c r="A2037" s="77" t="s">
        <v>4086</v>
      </c>
      <c r="B2037" s="77" t="s">
        <v>4087</v>
      </c>
      <c r="G2037" s="77" t="s">
        <v>4032</v>
      </c>
      <c r="H2037" s="77" t="s">
        <v>77</v>
      </c>
      <c r="I2037" s="77" t="s">
        <v>1521</v>
      </c>
      <c r="J2037" s="77" t="s">
        <v>79</v>
      </c>
      <c r="K2037" s="77" t="s">
        <v>1522</v>
      </c>
      <c r="L2037" s="77" t="s">
        <v>4088</v>
      </c>
      <c r="M2037" s="77" t="s">
        <v>82</v>
      </c>
      <c r="N2037" s="77" t="s">
        <v>83</v>
      </c>
      <c r="Q2037" s="77" t="s">
        <v>111</v>
      </c>
      <c r="S2037" s="77" t="s">
        <v>111</v>
      </c>
      <c r="U2037" s="77" t="s">
        <v>85</v>
      </c>
      <c r="V2037" s="80" t="s">
        <v>2702</v>
      </c>
      <c r="X2037" s="77" t="s">
        <v>2703</v>
      </c>
      <c r="Y2037" s="78" t="s">
        <v>88</v>
      </c>
      <c r="AB2037" s="77" t="s">
        <v>1521</v>
      </c>
      <c r="AC2037" s="77" t="s">
        <v>90</v>
      </c>
      <c r="AD2037" s="77" t="s">
        <v>1258</v>
      </c>
      <c r="AE2037" s="77" t="s">
        <v>4034</v>
      </c>
    </row>
    <row r="2038" spans="1:32" x14ac:dyDescent="0.3">
      <c r="A2038" s="77" t="s">
        <v>4089</v>
      </c>
      <c r="B2038" s="77" t="s">
        <v>4090</v>
      </c>
      <c r="G2038" s="77" t="s">
        <v>4032</v>
      </c>
      <c r="H2038" s="77" t="s">
        <v>77</v>
      </c>
      <c r="I2038" s="77" t="s">
        <v>1521</v>
      </c>
      <c r="J2038" s="77" t="s">
        <v>79</v>
      </c>
      <c r="K2038" s="77" t="s">
        <v>1522</v>
      </c>
      <c r="L2038" s="77" t="s">
        <v>4091</v>
      </c>
      <c r="M2038" s="77" t="s">
        <v>82</v>
      </c>
      <c r="N2038" s="77" t="s">
        <v>83</v>
      </c>
      <c r="Q2038" s="77" t="s">
        <v>111</v>
      </c>
      <c r="S2038" s="77" t="s">
        <v>111</v>
      </c>
      <c r="U2038" s="77" t="s">
        <v>85</v>
      </c>
      <c r="V2038" s="80" t="s">
        <v>2702</v>
      </c>
      <c r="X2038" s="77" t="s">
        <v>2703</v>
      </c>
      <c r="Y2038" s="78" t="s">
        <v>88</v>
      </c>
      <c r="AB2038" s="77" t="s">
        <v>1521</v>
      </c>
      <c r="AC2038" s="77" t="s">
        <v>90</v>
      </c>
      <c r="AD2038" s="77" t="s">
        <v>1258</v>
      </c>
      <c r="AE2038" s="77" t="s">
        <v>4034</v>
      </c>
    </row>
    <row r="2039" spans="1:32" x14ac:dyDescent="0.3">
      <c r="A2039" s="77" t="s">
        <v>4092</v>
      </c>
      <c r="B2039" s="77" t="s">
        <v>4093</v>
      </c>
      <c r="G2039" s="77" t="s">
        <v>4032</v>
      </c>
      <c r="H2039" s="77" t="s">
        <v>77</v>
      </c>
      <c r="I2039" s="77" t="s">
        <v>1521</v>
      </c>
      <c r="J2039" s="77" t="s">
        <v>79</v>
      </c>
      <c r="K2039" s="77" t="s">
        <v>1522</v>
      </c>
      <c r="L2039" s="77" t="s">
        <v>4094</v>
      </c>
      <c r="M2039" s="77" t="s">
        <v>82</v>
      </c>
      <c r="N2039" s="77" t="s">
        <v>83</v>
      </c>
      <c r="Q2039" s="77" t="s">
        <v>111</v>
      </c>
      <c r="S2039" s="77" t="s">
        <v>111</v>
      </c>
      <c r="U2039" s="77" t="s">
        <v>85</v>
      </c>
      <c r="V2039" s="80" t="s">
        <v>2702</v>
      </c>
      <c r="X2039" s="77" t="s">
        <v>2703</v>
      </c>
      <c r="Y2039" s="78" t="s">
        <v>88</v>
      </c>
      <c r="AB2039" s="77" t="s">
        <v>1521</v>
      </c>
      <c r="AC2039" s="77" t="s">
        <v>90</v>
      </c>
      <c r="AD2039" s="77" t="s">
        <v>1258</v>
      </c>
      <c r="AE2039" s="77" t="s">
        <v>4034</v>
      </c>
    </row>
    <row r="2040" spans="1:32" x14ac:dyDescent="0.3">
      <c r="A2040" s="77" t="s">
        <v>4095</v>
      </c>
      <c r="B2040" s="77" t="s">
        <v>4096</v>
      </c>
      <c r="G2040" s="77" t="s">
        <v>4032</v>
      </c>
      <c r="H2040" s="77" t="s">
        <v>77</v>
      </c>
      <c r="I2040" s="77" t="s">
        <v>1521</v>
      </c>
      <c r="J2040" s="77" t="s">
        <v>79</v>
      </c>
      <c r="K2040" s="77" t="s">
        <v>1522</v>
      </c>
      <c r="L2040" s="77" t="s">
        <v>4097</v>
      </c>
      <c r="M2040" s="77" t="s">
        <v>82</v>
      </c>
      <c r="N2040" s="77" t="s">
        <v>83</v>
      </c>
      <c r="Q2040" s="77" t="s">
        <v>111</v>
      </c>
      <c r="S2040" s="77" t="s">
        <v>111</v>
      </c>
      <c r="U2040" s="77" t="s">
        <v>85</v>
      </c>
      <c r="V2040" s="80" t="s">
        <v>2702</v>
      </c>
      <c r="X2040" s="77" t="s">
        <v>2703</v>
      </c>
      <c r="Y2040" s="78" t="s">
        <v>88</v>
      </c>
      <c r="AB2040" s="77" t="s">
        <v>1521</v>
      </c>
      <c r="AC2040" s="77" t="s">
        <v>90</v>
      </c>
      <c r="AD2040" s="77" t="s">
        <v>1258</v>
      </c>
      <c r="AE2040" s="77" t="s">
        <v>4034</v>
      </c>
    </row>
    <row r="2041" spans="1:32" x14ac:dyDescent="0.3">
      <c r="A2041" s="77" t="s">
        <v>4098</v>
      </c>
      <c r="B2041" s="77" t="s">
        <v>4099</v>
      </c>
      <c r="G2041" s="77" t="s">
        <v>4032</v>
      </c>
      <c r="H2041" s="77" t="s">
        <v>77</v>
      </c>
      <c r="I2041" s="77" t="s">
        <v>1521</v>
      </c>
      <c r="J2041" s="77" t="s">
        <v>79</v>
      </c>
      <c r="K2041" s="77" t="s">
        <v>1522</v>
      </c>
      <c r="L2041" s="77" t="s">
        <v>4100</v>
      </c>
      <c r="M2041" s="77" t="s">
        <v>82</v>
      </c>
      <c r="N2041" s="77" t="s">
        <v>83</v>
      </c>
      <c r="Q2041" s="77" t="s">
        <v>111</v>
      </c>
      <c r="S2041" s="77" t="s">
        <v>111</v>
      </c>
      <c r="U2041" s="77" t="s">
        <v>85</v>
      </c>
      <c r="V2041" s="80" t="s">
        <v>2702</v>
      </c>
      <c r="X2041" s="77" t="s">
        <v>2703</v>
      </c>
      <c r="Y2041" s="78" t="s">
        <v>88</v>
      </c>
      <c r="AB2041" s="77" t="s">
        <v>1521</v>
      </c>
      <c r="AC2041" s="77" t="s">
        <v>90</v>
      </c>
      <c r="AD2041" s="77" t="s">
        <v>1258</v>
      </c>
      <c r="AE2041" s="77" t="s">
        <v>4034</v>
      </c>
    </row>
    <row r="2042" spans="1:32" x14ac:dyDescent="0.3">
      <c r="A2042" s="77" t="s">
        <v>4101</v>
      </c>
      <c r="B2042" s="77" t="s">
        <v>4102</v>
      </c>
      <c r="G2042" s="77" t="s">
        <v>4032</v>
      </c>
      <c r="H2042" s="77" t="s">
        <v>77</v>
      </c>
      <c r="I2042" s="77" t="s">
        <v>1521</v>
      </c>
      <c r="J2042" s="77" t="s">
        <v>79</v>
      </c>
      <c r="K2042" s="77" t="s">
        <v>1522</v>
      </c>
      <c r="L2042" s="77" t="s">
        <v>4103</v>
      </c>
      <c r="M2042" s="77" t="s">
        <v>82</v>
      </c>
      <c r="N2042" s="77" t="s">
        <v>83</v>
      </c>
      <c r="Q2042" s="77" t="s">
        <v>111</v>
      </c>
      <c r="S2042" s="77" t="s">
        <v>111</v>
      </c>
      <c r="U2042" s="77" t="s">
        <v>85</v>
      </c>
      <c r="V2042" s="80" t="s">
        <v>2702</v>
      </c>
      <c r="X2042" s="77" t="s">
        <v>2703</v>
      </c>
      <c r="Y2042" s="78" t="s">
        <v>88</v>
      </c>
      <c r="AB2042" s="77" t="s">
        <v>1521</v>
      </c>
      <c r="AC2042" s="77" t="s">
        <v>90</v>
      </c>
      <c r="AD2042" s="77" t="s">
        <v>1258</v>
      </c>
      <c r="AE2042" s="77" t="s">
        <v>4034</v>
      </c>
    </row>
    <row r="2043" spans="1:32" hidden="1" x14ac:dyDescent="0.3">
      <c r="A2043" s="77" t="s">
        <v>4104</v>
      </c>
      <c r="B2043" s="77" t="s">
        <v>4105</v>
      </c>
      <c r="G2043" s="77" t="s">
        <v>4032</v>
      </c>
      <c r="H2043" s="77" t="s">
        <v>77</v>
      </c>
      <c r="I2043" s="77" t="s">
        <v>1521</v>
      </c>
      <c r="J2043" s="77" t="s">
        <v>79</v>
      </c>
      <c r="K2043" s="77" t="s">
        <v>1522</v>
      </c>
      <c r="L2043" s="77" t="s">
        <v>4106</v>
      </c>
      <c r="M2043" s="77" t="s">
        <v>82</v>
      </c>
      <c r="N2043" s="77" t="s">
        <v>83</v>
      </c>
      <c r="Q2043" s="77" t="s">
        <v>111</v>
      </c>
      <c r="S2043" s="77" t="s">
        <v>111</v>
      </c>
      <c r="U2043" s="77" t="s">
        <v>85</v>
      </c>
      <c r="V2043" s="77" t="s">
        <v>2702</v>
      </c>
      <c r="W2043" s="79">
        <v>46200.352299652775</v>
      </c>
      <c r="X2043" s="77" t="s">
        <v>2703</v>
      </c>
      <c r="Y2043" s="78" t="s">
        <v>88</v>
      </c>
      <c r="AA2043" s="77" t="s">
        <v>3036</v>
      </c>
      <c r="AB2043" s="77" t="s">
        <v>1521</v>
      </c>
      <c r="AC2043" s="77" t="s">
        <v>114</v>
      </c>
      <c r="AD2043" s="77" t="s">
        <v>1258</v>
      </c>
      <c r="AE2043" s="77" t="s">
        <v>4034</v>
      </c>
      <c r="AF2043" s="77" t="s">
        <v>2706</v>
      </c>
    </row>
    <row r="2044" spans="1:32" hidden="1" x14ac:dyDescent="0.3">
      <c r="A2044" s="77" t="s">
        <v>4107</v>
      </c>
      <c r="B2044" s="77" t="s">
        <v>4108</v>
      </c>
      <c r="G2044" s="77" t="s">
        <v>4032</v>
      </c>
      <c r="H2044" s="77" t="s">
        <v>77</v>
      </c>
      <c r="I2044" s="77" t="s">
        <v>1521</v>
      </c>
      <c r="J2044" s="77" t="s">
        <v>79</v>
      </c>
      <c r="K2044" s="77" t="s">
        <v>1522</v>
      </c>
      <c r="L2044" s="77" t="s">
        <v>4109</v>
      </c>
      <c r="M2044" s="77" t="s">
        <v>82</v>
      </c>
      <c r="N2044" s="77" t="s">
        <v>83</v>
      </c>
      <c r="Q2044" s="77" t="s">
        <v>111</v>
      </c>
      <c r="S2044" s="77" t="s">
        <v>111</v>
      </c>
      <c r="U2044" s="77" t="s">
        <v>85</v>
      </c>
      <c r="V2044" s="77" t="s">
        <v>2702</v>
      </c>
      <c r="W2044" s="79">
        <v>46200.353664849536</v>
      </c>
      <c r="X2044" s="77" t="s">
        <v>2703</v>
      </c>
      <c r="Y2044" s="78" t="s">
        <v>88</v>
      </c>
      <c r="AA2044" s="77" t="s">
        <v>3036</v>
      </c>
      <c r="AB2044" s="77" t="s">
        <v>1521</v>
      </c>
      <c r="AC2044" s="77" t="s">
        <v>114</v>
      </c>
      <c r="AD2044" s="77" t="s">
        <v>1258</v>
      </c>
      <c r="AE2044" s="77" t="s">
        <v>4034</v>
      </c>
      <c r="AF2044" s="77" t="s">
        <v>2706</v>
      </c>
    </row>
    <row r="2045" spans="1:32" x14ac:dyDescent="0.3">
      <c r="A2045" s="77" t="s">
        <v>4110</v>
      </c>
      <c r="B2045" s="77" t="s">
        <v>4111</v>
      </c>
      <c r="G2045" s="77" t="s">
        <v>4032</v>
      </c>
      <c r="H2045" s="77" t="s">
        <v>77</v>
      </c>
      <c r="I2045" s="77" t="s">
        <v>1521</v>
      </c>
      <c r="J2045" s="77" t="s">
        <v>79</v>
      </c>
      <c r="K2045" s="77" t="s">
        <v>1522</v>
      </c>
      <c r="L2045" s="77" t="s">
        <v>4112</v>
      </c>
      <c r="M2045" s="77" t="s">
        <v>82</v>
      </c>
      <c r="N2045" s="77" t="s">
        <v>83</v>
      </c>
      <c r="Q2045" s="77" t="s">
        <v>111</v>
      </c>
      <c r="S2045" s="77" t="s">
        <v>111</v>
      </c>
      <c r="U2045" s="77" t="s">
        <v>85</v>
      </c>
      <c r="V2045" s="80" t="s">
        <v>2702</v>
      </c>
      <c r="X2045" s="77" t="s">
        <v>2703</v>
      </c>
      <c r="Y2045" s="78" t="s">
        <v>88</v>
      </c>
      <c r="AB2045" s="77" t="s">
        <v>1521</v>
      </c>
      <c r="AC2045" s="77" t="s">
        <v>90</v>
      </c>
      <c r="AD2045" s="77" t="s">
        <v>1258</v>
      </c>
      <c r="AE2045" s="77" t="s">
        <v>4034</v>
      </c>
    </row>
    <row r="2046" spans="1:32" x14ac:dyDescent="0.3">
      <c r="A2046" s="77" t="s">
        <v>4113</v>
      </c>
      <c r="B2046" s="77" t="s">
        <v>4114</v>
      </c>
      <c r="G2046" s="77" t="s">
        <v>4032</v>
      </c>
      <c r="H2046" s="77" t="s">
        <v>77</v>
      </c>
      <c r="I2046" s="77" t="s">
        <v>1521</v>
      </c>
      <c r="J2046" s="77" t="s">
        <v>79</v>
      </c>
      <c r="K2046" s="77" t="s">
        <v>1522</v>
      </c>
      <c r="L2046" s="77" t="s">
        <v>4115</v>
      </c>
      <c r="M2046" s="77" t="s">
        <v>82</v>
      </c>
      <c r="N2046" s="77" t="s">
        <v>83</v>
      </c>
      <c r="Q2046" s="77" t="s">
        <v>111</v>
      </c>
      <c r="S2046" s="77" t="s">
        <v>111</v>
      </c>
      <c r="U2046" s="77" t="s">
        <v>85</v>
      </c>
      <c r="V2046" s="80" t="s">
        <v>2702</v>
      </c>
      <c r="X2046" s="77" t="s">
        <v>2703</v>
      </c>
      <c r="Y2046" s="78" t="s">
        <v>88</v>
      </c>
      <c r="AB2046" s="77" t="s">
        <v>1521</v>
      </c>
      <c r="AC2046" s="77" t="s">
        <v>90</v>
      </c>
      <c r="AD2046" s="77" t="s">
        <v>1258</v>
      </c>
      <c r="AE2046" s="77" t="s">
        <v>4034</v>
      </c>
    </row>
    <row r="2047" spans="1:32" x14ac:dyDescent="0.3">
      <c r="A2047" s="77" t="s">
        <v>4116</v>
      </c>
      <c r="B2047" s="77" t="s">
        <v>4117</v>
      </c>
      <c r="G2047" s="77" t="s">
        <v>4032</v>
      </c>
      <c r="H2047" s="77" t="s">
        <v>77</v>
      </c>
      <c r="I2047" s="77" t="s">
        <v>1521</v>
      </c>
      <c r="J2047" s="77" t="s">
        <v>79</v>
      </c>
      <c r="K2047" s="77" t="s">
        <v>1522</v>
      </c>
      <c r="L2047" s="77" t="s">
        <v>4118</v>
      </c>
      <c r="M2047" s="77" t="s">
        <v>82</v>
      </c>
      <c r="N2047" s="77" t="s">
        <v>83</v>
      </c>
      <c r="Q2047" s="77" t="s">
        <v>111</v>
      </c>
      <c r="S2047" s="77" t="s">
        <v>111</v>
      </c>
      <c r="U2047" s="77" t="s">
        <v>85</v>
      </c>
      <c r="V2047" s="80" t="s">
        <v>2702</v>
      </c>
      <c r="X2047" s="77" t="s">
        <v>2703</v>
      </c>
      <c r="Y2047" s="78" t="s">
        <v>88</v>
      </c>
      <c r="AB2047" s="77" t="s">
        <v>1521</v>
      </c>
      <c r="AC2047" s="77" t="s">
        <v>90</v>
      </c>
      <c r="AD2047" s="77" t="s">
        <v>1258</v>
      </c>
      <c r="AE2047" s="77" t="s">
        <v>4034</v>
      </c>
    </row>
    <row r="2048" spans="1:32" x14ac:dyDescent="0.3">
      <c r="A2048" s="77" t="s">
        <v>4119</v>
      </c>
      <c r="B2048" s="77" t="s">
        <v>4120</v>
      </c>
      <c r="G2048" s="77" t="s">
        <v>4032</v>
      </c>
      <c r="H2048" s="77" t="s">
        <v>77</v>
      </c>
      <c r="I2048" s="77" t="s">
        <v>1521</v>
      </c>
      <c r="J2048" s="77" t="s">
        <v>79</v>
      </c>
      <c r="K2048" s="77" t="s">
        <v>1522</v>
      </c>
      <c r="L2048" s="77" t="s">
        <v>4121</v>
      </c>
      <c r="M2048" s="77" t="s">
        <v>82</v>
      </c>
      <c r="N2048" s="77" t="s">
        <v>83</v>
      </c>
      <c r="Q2048" s="77" t="s">
        <v>111</v>
      </c>
      <c r="S2048" s="77" t="s">
        <v>111</v>
      </c>
      <c r="U2048" s="77" t="s">
        <v>85</v>
      </c>
      <c r="V2048" s="80" t="s">
        <v>2702</v>
      </c>
      <c r="X2048" s="77" t="s">
        <v>2703</v>
      </c>
      <c r="Y2048" s="78" t="s">
        <v>88</v>
      </c>
      <c r="AB2048" s="77" t="s">
        <v>1521</v>
      </c>
      <c r="AC2048" s="77" t="s">
        <v>90</v>
      </c>
      <c r="AD2048" s="77" t="s">
        <v>1258</v>
      </c>
      <c r="AE2048" s="77" t="s">
        <v>4034</v>
      </c>
    </row>
    <row r="2049" spans="1:32" x14ac:dyDescent="0.3">
      <c r="A2049" s="77" t="s">
        <v>4122</v>
      </c>
      <c r="B2049" s="77" t="s">
        <v>4123</v>
      </c>
      <c r="G2049" s="77" t="s">
        <v>4032</v>
      </c>
      <c r="H2049" s="77" t="s">
        <v>77</v>
      </c>
      <c r="I2049" s="77" t="s">
        <v>1521</v>
      </c>
      <c r="J2049" s="77" t="s">
        <v>79</v>
      </c>
      <c r="K2049" s="77" t="s">
        <v>1522</v>
      </c>
      <c r="L2049" s="77" t="s">
        <v>4124</v>
      </c>
      <c r="M2049" s="77" t="s">
        <v>82</v>
      </c>
      <c r="N2049" s="77" t="s">
        <v>83</v>
      </c>
      <c r="Q2049" s="77" t="s">
        <v>111</v>
      </c>
      <c r="S2049" s="77" t="s">
        <v>111</v>
      </c>
      <c r="U2049" s="77" t="s">
        <v>85</v>
      </c>
      <c r="V2049" s="80" t="s">
        <v>2702</v>
      </c>
      <c r="X2049" s="77" t="s">
        <v>2703</v>
      </c>
      <c r="Y2049" s="78" t="s">
        <v>88</v>
      </c>
      <c r="AB2049" s="77" t="s">
        <v>1521</v>
      </c>
      <c r="AC2049" s="77" t="s">
        <v>90</v>
      </c>
      <c r="AD2049" s="77" t="s">
        <v>1258</v>
      </c>
      <c r="AE2049" s="77" t="s">
        <v>4034</v>
      </c>
    </row>
    <row r="2050" spans="1:32" hidden="1" x14ac:dyDescent="0.3">
      <c r="A2050" s="77" t="s">
        <v>4125</v>
      </c>
      <c r="B2050" s="77" t="s">
        <v>4126</v>
      </c>
      <c r="G2050" s="77" t="s">
        <v>4032</v>
      </c>
      <c r="H2050" s="77" t="s">
        <v>77</v>
      </c>
      <c r="I2050" s="77" t="s">
        <v>1521</v>
      </c>
      <c r="J2050" s="77" t="s">
        <v>79</v>
      </c>
      <c r="K2050" s="77" t="s">
        <v>1522</v>
      </c>
      <c r="L2050" s="77" t="s">
        <v>4127</v>
      </c>
      <c r="M2050" s="77" t="s">
        <v>82</v>
      </c>
      <c r="N2050" s="77" t="s">
        <v>83</v>
      </c>
      <c r="Q2050" s="77" t="s">
        <v>111</v>
      </c>
      <c r="S2050" s="77" t="s">
        <v>111</v>
      </c>
      <c r="U2050" s="77" t="s">
        <v>85</v>
      </c>
      <c r="V2050" s="77" t="s">
        <v>2702</v>
      </c>
      <c r="W2050" s="79">
        <v>46200.351577118054</v>
      </c>
      <c r="X2050" s="77" t="s">
        <v>2703</v>
      </c>
      <c r="Y2050" s="78" t="s">
        <v>88</v>
      </c>
      <c r="AA2050" s="77" t="s">
        <v>3036</v>
      </c>
      <c r="AB2050" s="77" t="s">
        <v>1521</v>
      </c>
      <c r="AC2050" s="77" t="s">
        <v>114</v>
      </c>
      <c r="AD2050" s="77" t="s">
        <v>1258</v>
      </c>
      <c r="AE2050" s="77" t="s">
        <v>4034</v>
      </c>
      <c r="AF2050" s="77" t="s">
        <v>2706</v>
      </c>
    </row>
    <row r="2051" spans="1:32" x14ac:dyDescent="0.3">
      <c r="A2051" s="77" t="s">
        <v>4128</v>
      </c>
      <c r="B2051" s="77" t="s">
        <v>4129</v>
      </c>
      <c r="G2051" s="77" t="s">
        <v>4032</v>
      </c>
      <c r="H2051" s="77" t="s">
        <v>77</v>
      </c>
      <c r="I2051" s="77" t="s">
        <v>1521</v>
      </c>
      <c r="J2051" s="77" t="s">
        <v>79</v>
      </c>
      <c r="K2051" s="77" t="s">
        <v>1522</v>
      </c>
      <c r="L2051" s="77" t="s">
        <v>4130</v>
      </c>
      <c r="M2051" s="77" t="s">
        <v>82</v>
      </c>
      <c r="N2051" s="77" t="s">
        <v>83</v>
      </c>
      <c r="Q2051" s="77" t="s">
        <v>111</v>
      </c>
      <c r="S2051" s="77" t="s">
        <v>111</v>
      </c>
      <c r="U2051" s="77" t="s">
        <v>85</v>
      </c>
      <c r="V2051" s="80" t="s">
        <v>2702</v>
      </c>
      <c r="X2051" s="77" t="s">
        <v>2703</v>
      </c>
      <c r="Y2051" s="78" t="s">
        <v>88</v>
      </c>
      <c r="AB2051" s="77" t="s">
        <v>1521</v>
      </c>
      <c r="AC2051" s="77" t="s">
        <v>90</v>
      </c>
      <c r="AD2051" s="77" t="s">
        <v>1258</v>
      </c>
      <c r="AE2051" s="77" t="s">
        <v>4034</v>
      </c>
    </row>
    <row r="2052" spans="1:32" hidden="1" x14ac:dyDescent="0.3">
      <c r="A2052" s="77" t="s">
        <v>4131</v>
      </c>
      <c r="B2052" s="77" t="s">
        <v>4132</v>
      </c>
      <c r="G2052" s="77" t="s">
        <v>4032</v>
      </c>
      <c r="H2052" s="77" t="s">
        <v>77</v>
      </c>
      <c r="I2052" s="77" t="s">
        <v>1521</v>
      </c>
      <c r="J2052" s="77" t="s">
        <v>79</v>
      </c>
      <c r="K2052" s="77" t="s">
        <v>1522</v>
      </c>
      <c r="L2052" s="77" t="s">
        <v>4133</v>
      </c>
      <c r="M2052" s="77" t="s">
        <v>82</v>
      </c>
      <c r="N2052" s="77" t="s">
        <v>83</v>
      </c>
      <c r="Q2052" s="77" t="s">
        <v>111</v>
      </c>
      <c r="S2052" s="77" t="s">
        <v>111</v>
      </c>
      <c r="U2052" s="77" t="s">
        <v>85</v>
      </c>
      <c r="V2052" s="77" t="s">
        <v>2702</v>
      </c>
      <c r="W2052" s="79">
        <v>46200.355218368059</v>
      </c>
      <c r="X2052" s="77" t="s">
        <v>2703</v>
      </c>
      <c r="Y2052" s="78" t="s">
        <v>88</v>
      </c>
      <c r="AA2052" s="77" t="s">
        <v>3036</v>
      </c>
      <c r="AB2052" s="77" t="s">
        <v>1521</v>
      </c>
      <c r="AC2052" s="77" t="s">
        <v>114</v>
      </c>
      <c r="AD2052" s="77" t="s">
        <v>1258</v>
      </c>
      <c r="AE2052" s="77" t="s">
        <v>4034</v>
      </c>
      <c r="AF2052" s="77" t="s">
        <v>2706</v>
      </c>
    </row>
    <row r="2053" spans="1:32" hidden="1" x14ac:dyDescent="0.3">
      <c r="A2053" s="77" t="s">
        <v>4134</v>
      </c>
      <c r="B2053" s="77" t="s">
        <v>4135</v>
      </c>
      <c r="G2053" s="77" t="s">
        <v>4032</v>
      </c>
      <c r="H2053" s="77" t="s">
        <v>77</v>
      </c>
      <c r="I2053" s="77" t="s">
        <v>1521</v>
      </c>
      <c r="J2053" s="77" t="s">
        <v>79</v>
      </c>
      <c r="K2053" s="77" t="s">
        <v>1522</v>
      </c>
      <c r="L2053" s="77" t="s">
        <v>4136</v>
      </c>
      <c r="M2053" s="77" t="s">
        <v>82</v>
      </c>
      <c r="N2053" s="77" t="s">
        <v>83</v>
      </c>
      <c r="Q2053" s="77" t="s">
        <v>111</v>
      </c>
      <c r="S2053" s="77" t="s">
        <v>111</v>
      </c>
      <c r="U2053" s="77" t="s">
        <v>85</v>
      </c>
      <c r="V2053" s="77" t="s">
        <v>2702</v>
      </c>
      <c r="W2053" s="79">
        <v>46200.353004942132</v>
      </c>
      <c r="X2053" s="77" t="s">
        <v>2703</v>
      </c>
      <c r="Y2053" s="78" t="s">
        <v>88</v>
      </c>
      <c r="AA2053" s="77" t="s">
        <v>3036</v>
      </c>
      <c r="AB2053" s="77" t="s">
        <v>1521</v>
      </c>
      <c r="AC2053" s="77" t="s">
        <v>114</v>
      </c>
      <c r="AD2053" s="77" t="s">
        <v>1258</v>
      </c>
      <c r="AE2053" s="77" t="s">
        <v>4034</v>
      </c>
      <c r="AF2053" s="77" t="s">
        <v>2706</v>
      </c>
    </row>
    <row r="2054" spans="1:32" hidden="1" x14ac:dyDescent="0.3">
      <c r="A2054" s="77" t="s">
        <v>4137</v>
      </c>
      <c r="B2054" s="77" t="s">
        <v>4138</v>
      </c>
      <c r="G2054" s="77" t="s">
        <v>4032</v>
      </c>
      <c r="H2054" s="77" t="s">
        <v>77</v>
      </c>
      <c r="I2054" s="77" t="s">
        <v>1521</v>
      </c>
      <c r="J2054" s="77" t="s">
        <v>79</v>
      </c>
      <c r="K2054" s="77" t="s">
        <v>1522</v>
      </c>
      <c r="L2054" s="77" t="s">
        <v>4139</v>
      </c>
      <c r="M2054" s="77" t="s">
        <v>82</v>
      </c>
      <c r="N2054" s="77" t="s">
        <v>83</v>
      </c>
      <c r="Q2054" s="77" t="s">
        <v>111</v>
      </c>
      <c r="S2054" s="77" t="s">
        <v>111</v>
      </c>
      <c r="U2054" s="77" t="s">
        <v>85</v>
      </c>
      <c r="V2054" s="77" t="s">
        <v>2702</v>
      </c>
      <c r="W2054" s="79">
        <v>46200.354434375004</v>
      </c>
      <c r="X2054" s="77" t="s">
        <v>2703</v>
      </c>
      <c r="Y2054" s="78" t="s">
        <v>88</v>
      </c>
      <c r="AA2054" s="77" t="s">
        <v>3036</v>
      </c>
      <c r="AB2054" s="77" t="s">
        <v>1521</v>
      </c>
      <c r="AC2054" s="77" t="s">
        <v>114</v>
      </c>
      <c r="AD2054" s="77" t="s">
        <v>1258</v>
      </c>
      <c r="AE2054" s="77" t="s">
        <v>4034</v>
      </c>
      <c r="AF2054" s="77" t="s">
        <v>2706</v>
      </c>
    </row>
    <row r="2055" spans="1:32" x14ac:dyDescent="0.3">
      <c r="A2055" s="77" t="s">
        <v>4140</v>
      </c>
      <c r="B2055" s="77" t="s">
        <v>4141</v>
      </c>
      <c r="G2055" s="77" t="s">
        <v>4032</v>
      </c>
      <c r="H2055" s="77" t="s">
        <v>77</v>
      </c>
      <c r="I2055" s="77" t="s">
        <v>1521</v>
      </c>
      <c r="J2055" s="77" t="s">
        <v>79</v>
      </c>
      <c r="K2055" s="77" t="s">
        <v>1522</v>
      </c>
      <c r="L2055" s="77" t="s">
        <v>4142</v>
      </c>
      <c r="M2055" s="77" t="s">
        <v>82</v>
      </c>
      <c r="N2055" s="77" t="s">
        <v>83</v>
      </c>
      <c r="Q2055" s="77" t="s">
        <v>111</v>
      </c>
      <c r="S2055" s="77" t="s">
        <v>111</v>
      </c>
      <c r="U2055" s="77" t="s">
        <v>85</v>
      </c>
      <c r="V2055" s="80" t="s">
        <v>2702</v>
      </c>
      <c r="X2055" s="77" t="s">
        <v>2703</v>
      </c>
      <c r="Y2055" s="78" t="s">
        <v>88</v>
      </c>
      <c r="AB2055" s="77" t="s">
        <v>1521</v>
      </c>
      <c r="AC2055" s="77" t="s">
        <v>90</v>
      </c>
      <c r="AD2055" s="77" t="s">
        <v>1258</v>
      </c>
      <c r="AE2055" s="77" t="s">
        <v>4034</v>
      </c>
    </row>
    <row r="2056" spans="1:32" x14ac:dyDescent="0.3">
      <c r="A2056" s="77" t="s">
        <v>4143</v>
      </c>
      <c r="B2056" s="77" t="s">
        <v>4144</v>
      </c>
      <c r="G2056" s="77" t="s">
        <v>4032</v>
      </c>
      <c r="H2056" s="77" t="s">
        <v>77</v>
      </c>
      <c r="I2056" s="77" t="s">
        <v>1521</v>
      </c>
      <c r="J2056" s="77" t="s">
        <v>79</v>
      </c>
      <c r="K2056" s="77" t="s">
        <v>1522</v>
      </c>
      <c r="L2056" s="77" t="s">
        <v>4145</v>
      </c>
      <c r="M2056" s="77" t="s">
        <v>82</v>
      </c>
      <c r="N2056" s="77" t="s">
        <v>83</v>
      </c>
      <c r="Q2056" s="77" t="s">
        <v>111</v>
      </c>
      <c r="S2056" s="77" t="s">
        <v>111</v>
      </c>
      <c r="U2056" s="77" t="s">
        <v>85</v>
      </c>
      <c r="V2056" s="80" t="s">
        <v>2702</v>
      </c>
      <c r="X2056" s="77" t="s">
        <v>2703</v>
      </c>
      <c r="Y2056" s="78" t="s">
        <v>88</v>
      </c>
      <c r="AB2056" s="77" t="s">
        <v>1521</v>
      </c>
      <c r="AC2056" s="77" t="s">
        <v>90</v>
      </c>
      <c r="AD2056" s="77" t="s">
        <v>1258</v>
      </c>
      <c r="AE2056" s="77" t="s">
        <v>4034</v>
      </c>
    </row>
    <row r="2057" spans="1:32" x14ac:dyDescent="0.3">
      <c r="A2057" s="77" t="s">
        <v>4146</v>
      </c>
      <c r="B2057" s="77" t="s">
        <v>4147</v>
      </c>
      <c r="G2057" s="77" t="s">
        <v>4032</v>
      </c>
      <c r="H2057" s="77" t="s">
        <v>77</v>
      </c>
      <c r="I2057" s="77" t="s">
        <v>1521</v>
      </c>
      <c r="J2057" s="77" t="s">
        <v>79</v>
      </c>
      <c r="K2057" s="77" t="s">
        <v>1522</v>
      </c>
      <c r="L2057" s="77" t="s">
        <v>4148</v>
      </c>
      <c r="M2057" s="77" t="s">
        <v>82</v>
      </c>
      <c r="N2057" s="77" t="s">
        <v>83</v>
      </c>
      <c r="Q2057" s="77" t="s">
        <v>111</v>
      </c>
      <c r="S2057" s="77" t="s">
        <v>111</v>
      </c>
      <c r="U2057" s="77" t="s">
        <v>85</v>
      </c>
      <c r="V2057" s="80" t="s">
        <v>2702</v>
      </c>
      <c r="X2057" s="77" t="s">
        <v>2703</v>
      </c>
      <c r="Y2057" s="78" t="s">
        <v>88</v>
      </c>
      <c r="AB2057" s="77" t="s">
        <v>1521</v>
      </c>
      <c r="AC2057" s="77" t="s">
        <v>90</v>
      </c>
      <c r="AD2057" s="77" t="s">
        <v>1258</v>
      </c>
      <c r="AE2057" s="77" t="s">
        <v>4034</v>
      </c>
    </row>
    <row r="2058" spans="1:32" x14ac:dyDescent="0.3">
      <c r="A2058" s="77" t="s">
        <v>4149</v>
      </c>
      <c r="B2058" s="77" t="s">
        <v>4150</v>
      </c>
      <c r="G2058" s="77" t="s">
        <v>4032</v>
      </c>
      <c r="H2058" s="77" t="s">
        <v>77</v>
      </c>
      <c r="I2058" s="77" t="s">
        <v>1521</v>
      </c>
      <c r="J2058" s="77" t="s">
        <v>79</v>
      </c>
      <c r="K2058" s="77" t="s">
        <v>1522</v>
      </c>
      <c r="L2058" s="77" t="s">
        <v>4151</v>
      </c>
      <c r="M2058" s="77" t="s">
        <v>82</v>
      </c>
      <c r="N2058" s="77" t="s">
        <v>83</v>
      </c>
      <c r="Q2058" s="77" t="s">
        <v>111</v>
      </c>
      <c r="S2058" s="77" t="s">
        <v>111</v>
      </c>
      <c r="U2058" s="77" t="s">
        <v>85</v>
      </c>
      <c r="V2058" s="80" t="s">
        <v>2702</v>
      </c>
      <c r="X2058" s="77" t="s">
        <v>2703</v>
      </c>
      <c r="Y2058" s="78" t="s">
        <v>88</v>
      </c>
      <c r="AB2058" s="77" t="s">
        <v>1521</v>
      </c>
      <c r="AC2058" s="77" t="s">
        <v>90</v>
      </c>
      <c r="AD2058" s="77" t="s">
        <v>1258</v>
      </c>
      <c r="AE2058" s="77" t="s">
        <v>4034</v>
      </c>
    </row>
    <row r="2059" spans="1:32" x14ac:dyDescent="0.3">
      <c r="A2059" s="77" t="s">
        <v>4152</v>
      </c>
      <c r="B2059" s="77" t="s">
        <v>4153</v>
      </c>
      <c r="G2059" s="77" t="s">
        <v>4032</v>
      </c>
      <c r="H2059" s="77" t="s">
        <v>77</v>
      </c>
      <c r="I2059" s="77" t="s">
        <v>1521</v>
      </c>
      <c r="J2059" s="77" t="s">
        <v>79</v>
      </c>
      <c r="K2059" s="77" t="s">
        <v>1522</v>
      </c>
      <c r="L2059" s="77" t="s">
        <v>4154</v>
      </c>
      <c r="M2059" s="77" t="s">
        <v>82</v>
      </c>
      <c r="N2059" s="77" t="s">
        <v>83</v>
      </c>
      <c r="Q2059" s="77" t="s">
        <v>111</v>
      </c>
      <c r="S2059" s="77" t="s">
        <v>111</v>
      </c>
      <c r="U2059" s="77" t="s">
        <v>85</v>
      </c>
      <c r="V2059" s="80" t="s">
        <v>2702</v>
      </c>
      <c r="X2059" s="77" t="s">
        <v>2703</v>
      </c>
      <c r="Y2059" s="78" t="s">
        <v>88</v>
      </c>
      <c r="AB2059" s="77" t="s">
        <v>1521</v>
      </c>
      <c r="AC2059" s="77" t="s">
        <v>90</v>
      </c>
      <c r="AD2059" s="77" t="s">
        <v>1258</v>
      </c>
      <c r="AE2059" s="77" t="s">
        <v>4034</v>
      </c>
    </row>
    <row r="2060" spans="1:32" x14ac:dyDescent="0.3">
      <c r="A2060" s="77" t="s">
        <v>4155</v>
      </c>
      <c r="B2060" s="77" t="s">
        <v>4156</v>
      </c>
      <c r="G2060" s="77" t="s">
        <v>4032</v>
      </c>
      <c r="H2060" s="77" t="s">
        <v>77</v>
      </c>
      <c r="I2060" s="77" t="s">
        <v>1521</v>
      </c>
      <c r="J2060" s="77" t="s">
        <v>79</v>
      </c>
      <c r="K2060" s="77" t="s">
        <v>1522</v>
      </c>
      <c r="L2060" s="77" t="s">
        <v>4157</v>
      </c>
      <c r="M2060" s="77" t="s">
        <v>82</v>
      </c>
      <c r="N2060" s="77" t="s">
        <v>83</v>
      </c>
      <c r="Q2060" s="77" t="s">
        <v>111</v>
      </c>
      <c r="S2060" s="77" t="s">
        <v>111</v>
      </c>
      <c r="U2060" s="77" t="s">
        <v>85</v>
      </c>
      <c r="V2060" s="80" t="s">
        <v>657</v>
      </c>
      <c r="X2060" s="77" t="s">
        <v>658</v>
      </c>
      <c r="Y2060" s="78" t="s">
        <v>88</v>
      </c>
      <c r="AB2060" s="77" t="s">
        <v>1521</v>
      </c>
      <c r="AC2060" s="77" t="s">
        <v>90</v>
      </c>
      <c r="AD2060" s="77" t="s">
        <v>91</v>
      </c>
      <c r="AE2060" s="77" t="s">
        <v>4034</v>
      </c>
    </row>
    <row r="2061" spans="1:32" x14ac:dyDescent="0.3">
      <c r="A2061" s="77" t="s">
        <v>4158</v>
      </c>
      <c r="B2061" s="77" t="s">
        <v>4159</v>
      </c>
      <c r="G2061" s="77" t="s">
        <v>4032</v>
      </c>
      <c r="H2061" s="77" t="s">
        <v>77</v>
      </c>
      <c r="I2061" s="77" t="s">
        <v>1521</v>
      </c>
      <c r="J2061" s="77" t="s">
        <v>79</v>
      </c>
      <c r="K2061" s="77" t="s">
        <v>1522</v>
      </c>
      <c r="L2061" s="77" t="s">
        <v>4160</v>
      </c>
      <c r="M2061" s="77" t="s">
        <v>82</v>
      </c>
      <c r="N2061" s="77" t="s">
        <v>83</v>
      </c>
      <c r="Q2061" s="77" t="s">
        <v>111</v>
      </c>
      <c r="S2061" s="77" t="s">
        <v>111</v>
      </c>
      <c r="U2061" s="77" t="s">
        <v>85</v>
      </c>
      <c r="V2061" s="80" t="s">
        <v>657</v>
      </c>
      <c r="X2061" s="77" t="s">
        <v>658</v>
      </c>
      <c r="Y2061" s="78" t="s">
        <v>88</v>
      </c>
      <c r="AB2061" s="77" t="s">
        <v>1521</v>
      </c>
      <c r="AC2061" s="77" t="s">
        <v>90</v>
      </c>
      <c r="AD2061" s="77" t="s">
        <v>91</v>
      </c>
      <c r="AE2061" s="77" t="s">
        <v>4034</v>
      </c>
    </row>
    <row r="2062" spans="1:32" x14ac:dyDescent="0.3">
      <c r="A2062" s="77" t="s">
        <v>4161</v>
      </c>
      <c r="B2062" s="77" t="s">
        <v>4162</v>
      </c>
      <c r="G2062" s="77" t="s">
        <v>4032</v>
      </c>
      <c r="H2062" s="77" t="s">
        <v>77</v>
      </c>
      <c r="I2062" s="77" t="s">
        <v>1521</v>
      </c>
      <c r="J2062" s="77" t="s">
        <v>79</v>
      </c>
      <c r="K2062" s="77" t="s">
        <v>1522</v>
      </c>
      <c r="L2062" s="77" t="s">
        <v>4163</v>
      </c>
      <c r="M2062" s="77" t="s">
        <v>82</v>
      </c>
      <c r="N2062" s="77" t="s">
        <v>83</v>
      </c>
      <c r="Q2062" s="77" t="s">
        <v>111</v>
      </c>
      <c r="S2062" s="77" t="s">
        <v>111</v>
      </c>
      <c r="U2062" s="77" t="s">
        <v>85</v>
      </c>
      <c r="V2062" s="80" t="s">
        <v>657</v>
      </c>
      <c r="X2062" s="77" t="s">
        <v>658</v>
      </c>
      <c r="Y2062" s="78" t="s">
        <v>88</v>
      </c>
      <c r="AB2062" s="77" t="s">
        <v>1521</v>
      </c>
      <c r="AC2062" s="77" t="s">
        <v>90</v>
      </c>
      <c r="AD2062" s="77" t="s">
        <v>91</v>
      </c>
      <c r="AE2062" s="77" t="s">
        <v>4034</v>
      </c>
    </row>
    <row r="2063" spans="1:32" x14ac:dyDescent="0.3">
      <c r="A2063" s="77" t="s">
        <v>4164</v>
      </c>
      <c r="B2063" s="77" t="s">
        <v>4165</v>
      </c>
      <c r="G2063" s="77" t="s">
        <v>4032</v>
      </c>
      <c r="H2063" s="77" t="s">
        <v>77</v>
      </c>
      <c r="I2063" s="77" t="s">
        <v>1521</v>
      </c>
      <c r="J2063" s="77" t="s">
        <v>79</v>
      </c>
      <c r="K2063" s="77" t="s">
        <v>1522</v>
      </c>
      <c r="L2063" s="77" t="s">
        <v>4166</v>
      </c>
      <c r="M2063" s="77" t="s">
        <v>82</v>
      </c>
      <c r="N2063" s="77" t="s">
        <v>83</v>
      </c>
      <c r="Q2063" s="77" t="s">
        <v>111</v>
      </c>
      <c r="S2063" s="77" t="s">
        <v>111</v>
      </c>
      <c r="U2063" s="77" t="s">
        <v>85</v>
      </c>
      <c r="V2063" s="80" t="s">
        <v>657</v>
      </c>
      <c r="X2063" s="77" t="s">
        <v>658</v>
      </c>
      <c r="Y2063" s="78" t="s">
        <v>88</v>
      </c>
      <c r="AB2063" s="77" t="s">
        <v>1521</v>
      </c>
      <c r="AC2063" s="77" t="s">
        <v>90</v>
      </c>
      <c r="AD2063" s="77" t="s">
        <v>91</v>
      </c>
      <c r="AE2063" s="77" t="s">
        <v>4034</v>
      </c>
    </row>
    <row r="2064" spans="1:32" x14ac:dyDescent="0.3">
      <c r="A2064" s="77" t="s">
        <v>4167</v>
      </c>
      <c r="B2064" s="77" t="s">
        <v>4168</v>
      </c>
      <c r="G2064" s="77" t="s">
        <v>4032</v>
      </c>
      <c r="H2064" s="77" t="s">
        <v>77</v>
      </c>
      <c r="I2064" s="77" t="s">
        <v>1521</v>
      </c>
      <c r="J2064" s="77" t="s">
        <v>79</v>
      </c>
      <c r="K2064" s="77" t="s">
        <v>1522</v>
      </c>
      <c r="L2064" s="77" t="s">
        <v>4169</v>
      </c>
      <c r="M2064" s="77" t="s">
        <v>82</v>
      </c>
      <c r="N2064" s="77" t="s">
        <v>83</v>
      </c>
      <c r="Q2064" s="77" t="s">
        <v>111</v>
      </c>
      <c r="S2064" s="77" t="s">
        <v>111</v>
      </c>
      <c r="U2064" s="77" t="s">
        <v>85</v>
      </c>
      <c r="V2064" s="80" t="s">
        <v>665</v>
      </c>
      <c r="X2064" s="77" t="s">
        <v>666</v>
      </c>
      <c r="Y2064" s="78" t="s">
        <v>88</v>
      </c>
      <c r="AB2064" s="77" t="s">
        <v>1521</v>
      </c>
      <c r="AC2064" s="77" t="s">
        <v>90</v>
      </c>
      <c r="AD2064" s="77" t="s">
        <v>91</v>
      </c>
      <c r="AE2064" s="77" t="s">
        <v>4034</v>
      </c>
    </row>
    <row r="2065" spans="1:31" x14ac:dyDescent="0.3">
      <c r="A2065" s="77" t="s">
        <v>4170</v>
      </c>
      <c r="B2065" s="77" t="s">
        <v>4171</v>
      </c>
      <c r="G2065" s="77" t="s">
        <v>4032</v>
      </c>
      <c r="H2065" s="77" t="s">
        <v>77</v>
      </c>
      <c r="I2065" s="77" t="s">
        <v>1521</v>
      </c>
      <c r="J2065" s="77" t="s">
        <v>79</v>
      </c>
      <c r="K2065" s="77" t="s">
        <v>1522</v>
      </c>
      <c r="L2065" s="77" t="s">
        <v>4172</v>
      </c>
      <c r="M2065" s="77" t="s">
        <v>82</v>
      </c>
      <c r="N2065" s="77" t="s">
        <v>83</v>
      </c>
      <c r="Q2065" s="77" t="s">
        <v>111</v>
      </c>
      <c r="S2065" s="77" t="s">
        <v>111</v>
      </c>
      <c r="U2065" s="77" t="s">
        <v>85</v>
      </c>
      <c r="V2065" s="80" t="s">
        <v>665</v>
      </c>
      <c r="X2065" s="77" t="s">
        <v>666</v>
      </c>
      <c r="Y2065" s="78" t="s">
        <v>88</v>
      </c>
      <c r="AB2065" s="77" t="s">
        <v>1521</v>
      </c>
      <c r="AC2065" s="77" t="s">
        <v>90</v>
      </c>
      <c r="AD2065" s="77" t="s">
        <v>91</v>
      </c>
      <c r="AE2065" s="77" t="s">
        <v>4034</v>
      </c>
    </row>
    <row r="2066" spans="1:31" x14ac:dyDescent="0.3">
      <c r="A2066" s="77" t="s">
        <v>4173</v>
      </c>
      <c r="B2066" s="77" t="s">
        <v>4174</v>
      </c>
      <c r="G2066" s="77" t="s">
        <v>4032</v>
      </c>
      <c r="H2066" s="77" t="s">
        <v>77</v>
      </c>
      <c r="I2066" s="77" t="s">
        <v>1521</v>
      </c>
      <c r="J2066" s="77" t="s">
        <v>79</v>
      </c>
      <c r="K2066" s="77" t="s">
        <v>1522</v>
      </c>
      <c r="L2066" s="77" t="s">
        <v>4175</v>
      </c>
      <c r="M2066" s="77" t="s">
        <v>82</v>
      </c>
      <c r="N2066" s="77" t="s">
        <v>83</v>
      </c>
      <c r="Q2066" s="77" t="s">
        <v>111</v>
      </c>
      <c r="S2066" s="77" t="s">
        <v>111</v>
      </c>
      <c r="U2066" s="77" t="s">
        <v>85</v>
      </c>
      <c r="V2066" s="80" t="s">
        <v>665</v>
      </c>
      <c r="X2066" s="77" t="s">
        <v>666</v>
      </c>
      <c r="Y2066" s="78" t="s">
        <v>88</v>
      </c>
      <c r="AB2066" s="77" t="s">
        <v>1521</v>
      </c>
      <c r="AC2066" s="77" t="s">
        <v>90</v>
      </c>
      <c r="AD2066" s="77" t="s">
        <v>91</v>
      </c>
      <c r="AE2066" s="77" t="s">
        <v>4034</v>
      </c>
    </row>
    <row r="2067" spans="1:31" x14ac:dyDescent="0.3">
      <c r="A2067" s="77" t="s">
        <v>4176</v>
      </c>
      <c r="B2067" s="77" t="s">
        <v>4177</v>
      </c>
      <c r="G2067" s="77" t="s">
        <v>4032</v>
      </c>
      <c r="H2067" s="77" t="s">
        <v>77</v>
      </c>
      <c r="I2067" s="77" t="s">
        <v>1521</v>
      </c>
      <c r="J2067" s="77" t="s">
        <v>79</v>
      </c>
      <c r="K2067" s="77" t="s">
        <v>1522</v>
      </c>
      <c r="L2067" s="77" t="s">
        <v>4178</v>
      </c>
      <c r="M2067" s="77" t="s">
        <v>82</v>
      </c>
      <c r="N2067" s="77" t="s">
        <v>83</v>
      </c>
      <c r="Q2067" s="77" t="s">
        <v>111</v>
      </c>
      <c r="S2067" s="77" t="s">
        <v>111</v>
      </c>
      <c r="U2067" s="77" t="s">
        <v>85</v>
      </c>
      <c r="V2067" s="80" t="s">
        <v>665</v>
      </c>
      <c r="X2067" s="77" t="s">
        <v>666</v>
      </c>
      <c r="Y2067" s="78" t="s">
        <v>88</v>
      </c>
      <c r="AB2067" s="77" t="s">
        <v>1521</v>
      </c>
      <c r="AC2067" s="77" t="s">
        <v>90</v>
      </c>
      <c r="AD2067" s="77" t="s">
        <v>91</v>
      </c>
      <c r="AE2067" s="77" t="s">
        <v>4034</v>
      </c>
    </row>
    <row r="2068" spans="1:31" x14ac:dyDescent="0.3">
      <c r="A2068" s="77" t="s">
        <v>4179</v>
      </c>
      <c r="B2068" s="77" t="s">
        <v>4180</v>
      </c>
      <c r="G2068" s="77" t="s">
        <v>4032</v>
      </c>
      <c r="H2068" s="77" t="s">
        <v>77</v>
      </c>
      <c r="I2068" s="77" t="s">
        <v>1521</v>
      </c>
      <c r="J2068" s="77" t="s">
        <v>79</v>
      </c>
      <c r="K2068" s="77" t="s">
        <v>1522</v>
      </c>
      <c r="L2068" s="77" t="s">
        <v>4181</v>
      </c>
      <c r="M2068" s="77" t="s">
        <v>82</v>
      </c>
      <c r="N2068" s="77" t="s">
        <v>83</v>
      </c>
      <c r="Q2068" s="77" t="s">
        <v>111</v>
      </c>
      <c r="S2068" s="77" t="s">
        <v>111</v>
      </c>
      <c r="U2068" s="77" t="s">
        <v>85</v>
      </c>
      <c r="V2068" s="80" t="s">
        <v>673</v>
      </c>
      <c r="X2068" s="77" t="s">
        <v>674</v>
      </c>
      <c r="Y2068" s="78" t="s">
        <v>101</v>
      </c>
      <c r="AB2068" s="77" t="s">
        <v>1521</v>
      </c>
      <c r="AC2068" s="77" t="s">
        <v>90</v>
      </c>
      <c r="AD2068" s="77" t="s">
        <v>102</v>
      </c>
      <c r="AE2068" s="77" t="s">
        <v>4034</v>
      </c>
    </row>
    <row r="2069" spans="1:31" x14ac:dyDescent="0.3">
      <c r="A2069" s="77" t="s">
        <v>4182</v>
      </c>
      <c r="B2069" s="77" t="s">
        <v>4183</v>
      </c>
      <c r="G2069" s="77" t="s">
        <v>4032</v>
      </c>
      <c r="H2069" s="77" t="s">
        <v>77</v>
      </c>
      <c r="I2069" s="77" t="s">
        <v>1521</v>
      </c>
      <c r="J2069" s="77" t="s">
        <v>79</v>
      </c>
      <c r="K2069" s="77" t="s">
        <v>1522</v>
      </c>
      <c r="L2069" s="77" t="s">
        <v>4184</v>
      </c>
      <c r="M2069" s="77" t="s">
        <v>82</v>
      </c>
      <c r="N2069" s="77" t="s">
        <v>83</v>
      </c>
      <c r="Q2069" s="77" t="s">
        <v>111</v>
      </c>
      <c r="S2069" s="77" t="s">
        <v>111</v>
      </c>
      <c r="U2069" s="77" t="s">
        <v>85</v>
      </c>
      <c r="V2069" s="80" t="s">
        <v>673</v>
      </c>
      <c r="X2069" s="77" t="s">
        <v>674</v>
      </c>
      <c r="Y2069" s="78" t="s">
        <v>101</v>
      </c>
      <c r="AB2069" s="77" t="s">
        <v>1521</v>
      </c>
      <c r="AC2069" s="77" t="s">
        <v>90</v>
      </c>
      <c r="AD2069" s="77" t="s">
        <v>102</v>
      </c>
      <c r="AE2069" s="77" t="s">
        <v>4034</v>
      </c>
    </row>
    <row r="2070" spans="1:31" x14ac:dyDescent="0.3">
      <c r="A2070" s="77" t="s">
        <v>4185</v>
      </c>
      <c r="B2070" s="77" t="s">
        <v>4186</v>
      </c>
      <c r="G2070" s="77" t="s">
        <v>4032</v>
      </c>
      <c r="H2070" s="77" t="s">
        <v>77</v>
      </c>
      <c r="I2070" s="77" t="s">
        <v>1521</v>
      </c>
      <c r="J2070" s="77" t="s">
        <v>79</v>
      </c>
      <c r="K2070" s="77" t="s">
        <v>1522</v>
      </c>
      <c r="L2070" s="77" t="s">
        <v>4187</v>
      </c>
      <c r="M2070" s="77" t="s">
        <v>82</v>
      </c>
      <c r="N2070" s="77" t="s">
        <v>83</v>
      </c>
      <c r="Q2070" s="77" t="s">
        <v>111</v>
      </c>
      <c r="S2070" s="77" t="s">
        <v>111</v>
      </c>
      <c r="U2070" s="77" t="s">
        <v>85</v>
      </c>
      <c r="V2070" s="80" t="s">
        <v>673</v>
      </c>
      <c r="X2070" s="77" t="s">
        <v>674</v>
      </c>
      <c r="Y2070" s="78" t="s">
        <v>101</v>
      </c>
      <c r="AB2070" s="77" t="s">
        <v>1521</v>
      </c>
      <c r="AC2070" s="77" t="s">
        <v>90</v>
      </c>
      <c r="AD2070" s="77" t="s">
        <v>102</v>
      </c>
      <c r="AE2070" s="77" t="s">
        <v>4034</v>
      </c>
    </row>
    <row r="2071" spans="1:31" x14ac:dyDescent="0.3">
      <c r="A2071" s="77" t="s">
        <v>4188</v>
      </c>
      <c r="B2071" s="77" t="s">
        <v>4189</v>
      </c>
      <c r="G2071" s="77" t="s">
        <v>4032</v>
      </c>
      <c r="H2071" s="77" t="s">
        <v>77</v>
      </c>
      <c r="I2071" s="77" t="s">
        <v>1521</v>
      </c>
      <c r="J2071" s="77" t="s">
        <v>79</v>
      </c>
      <c r="K2071" s="77" t="s">
        <v>1522</v>
      </c>
      <c r="L2071" s="77" t="s">
        <v>4190</v>
      </c>
      <c r="M2071" s="77" t="s">
        <v>82</v>
      </c>
      <c r="N2071" s="77" t="s">
        <v>83</v>
      </c>
      <c r="Q2071" s="77" t="s">
        <v>111</v>
      </c>
      <c r="S2071" s="77" t="s">
        <v>111</v>
      </c>
      <c r="U2071" s="77" t="s">
        <v>85</v>
      </c>
      <c r="V2071" s="80" t="s">
        <v>673</v>
      </c>
      <c r="X2071" s="77" t="s">
        <v>674</v>
      </c>
      <c r="Y2071" s="78" t="s">
        <v>101</v>
      </c>
      <c r="AB2071" s="77" t="s">
        <v>1521</v>
      </c>
      <c r="AC2071" s="77" t="s">
        <v>90</v>
      </c>
      <c r="AD2071" s="77" t="s">
        <v>102</v>
      </c>
      <c r="AE2071" s="77" t="s">
        <v>4034</v>
      </c>
    </row>
    <row r="2072" spans="1:31" x14ac:dyDescent="0.3">
      <c r="A2072" s="77" t="s">
        <v>4191</v>
      </c>
      <c r="B2072" s="77" t="s">
        <v>4192</v>
      </c>
      <c r="G2072" s="77" t="s">
        <v>4032</v>
      </c>
      <c r="H2072" s="77" t="s">
        <v>77</v>
      </c>
      <c r="I2072" s="77" t="s">
        <v>1521</v>
      </c>
      <c r="J2072" s="77" t="s">
        <v>79</v>
      </c>
      <c r="K2072" s="77" t="s">
        <v>1522</v>
      </c>
      <c r="L2072" s="77" t="s">
        <v>4193</v>
      </c>
      <c r="M2072" s="77" t="s">
        <v>82</v>
      </c>
      <c r="N2072" s="77" t="s">
        <v>83</v>
      </c>
      <c r="Q2072" s="77" t="s">
        <v>111</v>
      </c>
      <c r="S2072" s="77" t="s">
        <v>111</v>
      </c>
      <c r="U2072" s="77" t="s">
        <v>85</v>
      </c>
      <c r="V2072" s="80" t="s">
        <v>681</v>
      </c>
      <c r="X2072" s="77" t="s">
        <v>682</v>
      </c>
      <c r="Y2072" s="78" t="s">
        <v>101</v>
      </c>
      <c r="AB2072" s="77" t="s">
        <v>1521</v>
      </c>
      <c r="AC2072" s="77" t="s">
        <v>90</v>
      </c>
      <c r="AD2072" s="77" t="s">
        <v>102</v>
      </c>
      <c r="AE2072" s="77" t="s">
        <v>4034</v>
      </c>
    </row>
    <row r="2073" spans="1:31" x14ac:dyDescent="0.3">
      <c r="A2073" s="77" t="s">
        <v>4194</v>
      </c>
      <c r="B2073" s="77" t="s">
        <v>4195</v>
      </c>
      <c r="G2073" s="77" t="s">
        <v>4032</v>
      </c>
      <c r="H2073" s="77" t="s">
        <v>77</v>
      </c>
      <c r="I2073" s="77" t="s">
        <v>1521</v>
      </c>
      <c r="J2073" s="77" t="s">
        <v>79</v>
      </c>
      <c r="K2073" s="77" t="s">
        <v>1522</v>
      </c>
      <c r="L2073" s="77" t="s">
        <v>4196</v>
      </c>
      <c r="M2073" s="77" t="s">
        <v>82</v>
      </c>
      <c r="N2073" s="77" t="s">
        <v>83</v>
      </c>
      <c r="Q2073" s="77" t="s">
        <v>111</v>
      </c>
      <c r="S2073" s="77" t="s">
        <v>111</v>
      </c>
      <c r="U2073" s="77" t="s">
        <v>85</v>
      </c>
      <c r="V2073" s="80" t="s">
        <v>681</v>
      </c>
      <c r="X2073" s="77" t="s">
        <v>682</v>
      </c>
      <c r="Y2073" s="78" t="s">
        <v>101</v>
      </c>
      <c r="AB2073" s="77" t="s">
        <v>1521</v>
      </c>
      <c r="AC2073" s="77" t="s">
        <v>90</v>
      </c>
      <c r="AD2073" s="77" t="s">
        <v>102</v>
      </c>
      <c r="AE2073" s="77" t="s">
        <v>4034</v>
      </c>
    </row>
    <row r="2074" spans="1:31" x14ac:dyDescent="0.3">
      <c r="A2074" s="77" t="s">
        <v>4197</v>
      </c>
      <c r="B2074" s="77" t="s">
        <v>4198</v>
      </c>
      <c r="G2074" s="77" t="s">
        <v>4032</v>
      </c>
      <c r="H2074" s="77" t="s">
        <v>77</v>
      </c>
      <c r="I2074" s="77" t="s">
        <v>1521</v>
      </c>
      <c r="J2074" s="77" t="s">
        <v>79</v>
      </c>
      <c r="K2074" s="77" t="s">
        <v>1522</v>
      </c>
      <c r="L2074" s="77" t="s">
        <v>4199</v>
      </c>
      <c r="M2074" s="77" t="s">
        <v>82</v>
      </c>
      <c r="N2074" s="77" t="s">
        <v>83</v>
      </c>
      <c r="Q2074" s="77" t="s">
        <v>111</v>
      </c>
      <c r="S2074" s="77" t="s">
        <v>111</v>
      </c>
      <c r="U2074" s="77" t="s">
        <v>85</v>
      </c>
      <c r="V2074" s="80" t="s">
        <v>681</v>
      </c>
      <c r="X2074" s="77" t="s">
        <v>682</v>
      </c>
      <c r="Y2074" s="78" t="s">
        <v>101</v>
      </c>
      <c r="AB2074" s="77" t="s">
        <v>1521</v>
      </c>
      <c r="AC2074" s="77" t="s">
        <v>90</v>
      </c>
      <c r="AD2074" s="77" t="s">
        <v>102</v>
      </c>
      <c r="AE2074" s="77" t="s">
        <v>4034</v>
      </c>
    </row>
    <row r="2075" spans="1:31" x14ac:dyDescent="0.3">
      <c r="A2075" s="77" t="s">
        <v>4200</v>
      </c>
      <c r="B2075" s="77" t="s">
        <v>4201</v>
      </c>
      <c r="G2075" s="77" t="s">
        <v>4032</v>
      </c>
      <c r="H2075" s="77" t="s">
        <v>77</v>
      </c>
      <c r="I2075" s="77" t="s">
        <v>1521</v>
      </c>
      <c r="J2075" s="77" t="s">
        <v>79</v>
      </c>
      <c r="K2075" s="77" t="s">
        <v>1522</v>
      </c>
      <c r="L2075" s="77" t="s">
        <v>4202</v>
      </c>
      <c r="M2075" s="77" t="s">
        <v>82</v>
      </c>
      <c r="N2075" s="77" t="s">
        <v>83</v>
      </c>
      <c r="Q2075" s="77" t="s">
        <v>111</v>
      </c>
      <c r="S2075" s="77" t="s">
        <v>111</v>
      </c>
      <c r="U2075" s="77" t="s">
        <v>85</v>
      </c>
      <c r="V2075" s="80" t="s">
        <v>681</v>
      </c>
      <c r="X2075" s="77" t="s">
        <v>682</v>
      </c>
      <c r="Y2075" s="78" t="s">
        <v>101</v>
      </c>
      <c r="AB2075" s="77" t="s">
        <v>1521</v>
      </c>
      <c r="AC2075" s="77" t="s">
        <v>90</v>
      </c>
      <c r="AD2075" s="77" t="s">
        <v>102</v>
      </c>
      <c r="AE2075" s="77" t="s">
        <v>4034</v>
      </c>
    </row>
    <row r="2076" spans="1:31" x14ac:dyDescent="0.3">
      <c r="A2076" s="77" t="s">
        <v>4203</v>
      </c>
      <c r="B2076" s="77" t="s">
        <v>4204</v>
      </c>
      <c r="G2076" s="77" t="s">
        <v>4032</v>
      </c>
      <c r="H2076" s="77" t="s">
        <v>77</v>
      </c>
      <c r="I2076" s="77" t="s">
        <v>1521</v>
      </c>
      <c r="J2076" s="77" t="s">
        <v>79</v>
      </c>
      <c r="K2076" s="77" t="s">
        <v>1522</v>
      </c>
      <c r="L2076" s="77" t="s">
        <v>4205</v>
      </c>
      <c r="M2076" s="77" t="s">
        <v>82</v>
      </c>
      <c r="N2076" s="77" t="s">
        <v>83</v>
      </c>
      <c r="Q2076" s="77" t="s">
        <v>111</v>
      </c>
      <c r="S2076" s="77" t="s">
        <v>111</v>
      </c>
      <c r="U2076" s="77" t="s">
        <v>85</v>
      </c>
      <c r="V2076" s="80" t="s">
        <v>231</v>
      </c>
      <c r="X2076" s="77" t="s">
        <v>232</v>
      </c>
      <c r="Y2076" s="78" t="s">
        <v>88</v>
      </c>
      <c r="AB2076" s="77" t="s">
        <v>1521</v>
      </c>
      <c r="AC2076" s="77" t="s">
        <v>90</v>
      </c>
      <c r="AD2076" s="77" t="s">
        <v>91</v>
      </c>
      <c r="AE2076" s="77" t="s">
        <v>4034</v>
      </c>
    </row>
    <row r="2077" spans="1:31" x14ac:dyDescent="0.3">
      <c r="A2077" s="77" t="s">
        <v>4206</v>
      </c>
      <c r="B2077" s="77" t="s">
        <v>4207</v>
      </c>
      <c r="G2077" s="77" t="s">
        <v>4032</v>
      </c>
      <c r="H2077" s="77" t="s">
        <v>77</v>
      </c>
      <c r="I2077" s="77" t="s">
        <v>1521</v>
      </c>
      <c r="J2077" s="77" t="s">
        <v>79</v>
      </c>
      <c r="K2077" s="77" t="s">
        <v>1522</v>
      </c>
      <c r="L2077" s="77" t="s">
        <v>4208</v>
      </c>
      <c r="M2077" s="77" t="s">
        <v>82</v>
      </c>
      <c r="N2077" s="77" t="s">
        <v>83</v>
      </c>
      <c r="Q2077" s="77" t="s">
        <v>111</v>
      </c>
      <c r="S2077" s="77" t="s">
        <v>111</v>
      </c>
      <c r="U2077" s="77" t="s">
        <v>85</v>
      </c>
      <c r="V2077" s="80" t="s">
        <v>231</v>
      </c>
      <c r="X2077" s="77" t="s">
        <v>232</v>
      </c>
      <c r="Y2077" s="78" t="s">
        <v>88</v>
      </c>
      <c r="AB2077" s="77" t="s">
        <v>1521</v>
      </c>
      <c r="AC2077" s="77" t="s">
        <v>90</v>
      </c>
      <c r="AD2077" s="77" t="s">
        <v>91</v>
      </c>
      <c r="AE2077" s="77" t="s">
        <v>4034</v>
      </c>
    </row>
    <row r="2078" spans="1:31" x14ac:dyDescent="0.3">
      <c r="A2078" s="77" t="s">
        <v>4209</v>
      </c>
      <c r="B2078" s="77" t="s">
        <v>4210</v>
      </c>
      <c r="G2078" s="77" t="s">
        <v>4032</v>
      </c>
      <c r="H2078" s="77" t="s">
        <v>77</v>
      </c>
      <c r="I2078" s="77" t="s">
        <v>1521</v>
      </c>
      <c r="J2078" s="77" t="s">
        <v>79</v>
      </c>
      <c r="K2078" s="77" t="s">
        <v>1522</v>
      </c>
      <c r="L2078" s="77" t="s">
        <v>4211</v>
      </c>
      <c r="M2078" s="77" t="s">
        <v>82</v>
      </c>
      <c r="N2078" s="77" t="s">
        <v>83</v>
      </c>
      <c r="Q2078" s="77" t="s">
        <v>111</v>
      </c>
      <c r="S2078" s="77" t="s">
        <v>111</v>
      </c>
      <c r="U2078" s="77" t="s">
        <v>85</v>
      </c>
      <c r="V2078" s="80" t="s">
        <v>231</v>
      </c>
      <c r="X2078" s="77" t="s">
        <v>232</v>
      </c>
      <c r="Y2078" s="78" t="s">
        <v>88</v>
      </c>
      <c r="AB2078" s="77" t="s">
        <v>1521</v>
      </c>
      <c r="AC2078" s="77" t="s">
        <v>90</v>
      </c>
      <c r="AD2078" s="77" t="s">
        <v>91</v>
      </c>
      <c r="AE2078" s="77" t="s">
        <v>4034</v>
      </c>
    </row>
    <row r="2079" spans="1:31" x14ac:dyDescent="0.3">
      <c r="A2079" s="77" t="s">
        <v>4212</v>
      </c>
      <c r="B2079" s="77" t="s">
        <v>4213</v>
      </c>
      <c r="G2079" s="77" t="s">
        <v>4032</v>
      </c>
      <c r="H2079" s="77" t="s">
        <v>77</v>
      </c>
      <c r="I2079" s="77" t="s">
        <v>1521</v>
      </c>
      <c r="J2079" s="77" t="s">
        <v>79</v>
      </c>
      <c r="K2079" s="77" t="s">
        <v>1522</v>
      </c>
      <c r="L2079" s="77" t="s">
        <v>4214</v>
      </c>
      <c r="M2079" s="77" t="s">
        <v>82</v>
      </c>
      <c r="N2079" s="77" t="s">
        <v>83</v>
      </c>
      <c r="Q2079" s="77" t="s">
        <v>111</v>
      </c>
      <c r="S2079" s="77" t="s">
        <v>111</v>
      </c>
      <c r="U2079" s="77" t="s">
        <v>85</v>
      </c>
      <c r="V2079" s="80" t="s">
        <v>325</v>
      </c>
      <c r="X2079" s="77" t="s">
        <v>326</v>
      </c>
      <c r="Y2079" s="78" t="s">
        <v>101</v>
      </c>
      <c r="AB2079" s="77" t="s">
        <v>1521</v>
      </c>
      <c r="AC2079" s="77" t="s">
        <v>90</v>
      </c>
      <c r="AD2079" s="77" t="s">
        <v>327</v>
      </c>
      <c r="AE2079" s="77" t="s">
        <v>4034</v>
      </c>
    </row>
    <row r="2080" spans="1:31" x14ac:dyDescent="0.3">
      <c r="A2080" s="77" t="s">
        <v>4215</v>
      </c>
      <c r="B2080" s="77" t="s">
        <v>4216</v>
      </c>
      <c r="G2080" s="77" t="s">
        <v>4032</v>
      </c>
      <c r="H2080" s="77" t="s">
        <v>77</v>
      </c>
      <c r="I2080" s="77" t="s">
        <v>1521</v>
      </c>
      <c r="J2080" s="77" t="s">
        <v>79</v>
      </c>
      <c r="K2080" s="77" t="s">
        <v>1522</v>
      </c>
      <c r="L2080" s="77" t="s">
        <v>4217</v>
      </c>
      <c r="M2080" s="77" t="s">
        <v>82</v>
      </c>
      <c r="N2080" s="77" t="s">
        <v>83</v>
      </c>
      <c r="Q2080" s="77" t="s">
        <v>111</v>
      </c>
      <c r="S2080" s="77" t="s">
        <v>111</v>
      </c>
      <c r="U2080" s="77" t="s">
        <v>85</v>
      </c>
      <c r="V2080" s="80" t="s">
        <v>2702</v>
      </c>
      <c r="X2080" s="77" t="s">
        <v>2703</v>
      </c>
      <c r="Y2080" s="78" t="s">
        <v>88</v>
      </c>
      <c r="AB2080" s="77" t="s">
        <v>1521</v>
      </c>
      <c r="AC2080" s="77" t="s">
        <v>90</v>
      </c>
      <c r="AD2080" s="77" t="s">
        <v>1258</v>
      </c>
      <c r="AE2080" s="77" t="s">
        <v>4034</v>
      </c>
    </row>
    <row r="2081" spans="1:32" hidden="1" x14ac:dyDescent="0.3">
      <c r="A2081" s="77" t="s">
        <v>4218</v>
      </c>
      <c r="B2081" s="77" t="s">
        <v>4219</v>
      </c>
      <c r="G2081" s="77" t="s">
        <v>4032</v>
      </c>
      <c r="H2081" s="77" t="s">
        <v>77</v>
      </c>
      <c r="I2081" s="77" t="s">
        <v>1521</v>
      </c>
      <c r="J2081" s="77" t="s">
        <v>79</v>
      </c>
      <c r="K2081" s="77" t="s">
        <v>1522</v>
      </c>
      <c r="L2081" s="77" t="s">
        <v>4220</v>
      </c>
      <c r="M2081" s="77" t="s">
        <v>82</v>
      </c>
      <c r="N2081" s="77" t="s">
        <v>83</v>
      </c>
      <c r="Q2081" s="77" t="s">
        <v>111</v>
      </c>
      <c r="S2081" s="77" t="s">
        <v>111</v>
      </c>
      <c r="U2081" s="77" t="s">
        <v>85</v>
      </c>
      <c r="V2081" s="77" t="s">
        <v>2702</v>
      </c>
      <c r="W2081" s="79">
        <v>46200.348341087963</v>
      </c>
      <c r="X2081" s="77" t="s">
        <v>2703</v>
      </c>
      <c r="Y2081" s="78" t="s">
        <v>88</v>
      </c>
      <c r="AA2081" s="77" t="s">
        <v>3036</v>
      </c>
      <c r="AB2081" s="77" t="s">
        <v>1521</v>
      </c>
      <c r="AC2081" s="77" t="s">
        <v>114</v>
      </c>
      <c r="AD2081" s="77" t="s">
        <v>1258</v>
      </c>
      <c r="AE2081" s="77" t="s">
        <v>4034</v>
      </c>
      <c r="AF2081" s="77" t="s">
        <v>2706</v>
      </c>
    </row>
    <row r="2082" spans="1:32" x14ac:dyDescent="0.3">
      <c r="A2082" s="77" t="s">
        <v>4221</v>
      </c>
      <c r="B2082" s="77" t="s">
        <v>4222</v>
      </c>
      <c r="G2082" s="77" t="s">
        <v>4032</v>
      </c>
      <c r="H2082" s="77" t="s">
        <v>77</v>
      </c>
      <c r="I2082" s="77" t="s">
        <v>1521</v>
      </c>
      <c r="J2082" s="77" t="s">
        <v>79</v>
      </c>
      <c r="K2082" s="77" t="s">
        <v>1522</v>
      </c>
      <c r="L2082" s="77" t="s">
        <v>4223</v>
      </c>
      <c r="M2082" s="77" t="s">
        <v>82</v>
      </c>
      <c r="N2082" s="77" t="s">
        <v>83</v>
      </c>
      <c r="Q2082" s="77" t="s">
        <v>111</v>
      </c>
      <c r="S2082" s="77" t="s">
        <v>111</v>
      </c>
      <c r="U2082" s="77" t="s">
        <v>85</v>
      </c>
      <c r="V2082" s="80" t="s">
        <v>2702</v>
      </c>
      <c r="X2082" s="77" t="s">
        <v>2703</v>
      </c>
      <c r="Y2082" s="78" t="s">
        <v>88</v>
      </c>
      <c r="AB2082" s="77" t="s">
        <v>1521</v>
      </c>
      <c r="AC2082" s="77" t="s">
        <v>90</v>
      </c>
      <c r="AD2082" s="77" t="s">
        <v>1258</v>
      </c>
      <c r="AE2082" s="77" t="s">
        <v>4034</v>
      </c>
    </row>
    <row r="2083" spans="1:32" x14ac:dyDescent="0.3">
      <c r="A2083" s="77" t="s">
        <v>4224</v>
      </c>
      <c r="B2083" s="77" t="s">
        <v>4225</v>
      </c>
      <c r="G2083" s="77" t="s">
        <v>4032</v>
      </c>
      <c r="H2083" s="77" t="s">
        <v>77</v>
      </c>
      <c r="I2083" s="77" t="s">
        <v>1521</v>
      </c>
      <c r="J2083" s="77" t="s">
        <v>79</v>
      </c>
      <c r="K2083" s="77" t="s">
        <v>1522</v>
      </c>
      <c r="L2083" s="77" t="s">
        <v>4226</v>
      </c>
      <c r="M2083" s="77" t="s">
        <v>82</v>
      </c>
      <c r="N2083" s="77" t="s">
        <v>83</v>
      </c>
      <c r="Q2083" s="77" t="s">
        <v>111</v>
      </c>
      <c r="S2083" s="77" t="s">
        <v>111</v>
      </c>
      <c r="U2083" s="77" t="s">
        <v>85</v>
      </c>
      <c r="V2083" s="80" t="s">
        <v>2702</v>
      </c>
      <c r="X2083" s="77" t="s">
        <v>2703</v>
      </c>
      <c r="Y2083" s="78" t="s">
        <v>88</v>
      </c>
      <c r="AB2083" s="77" t="s">
        <v>1521</v>
      </c>
      <c r="AC2083" s="77" t="s">
        <v>90</v>
      </c>
      <c r="AD2083" s="77" t="s">
        <v>1258</v>
      </c>
      <c r="AE2083" s="77" t="s">
        <v>4034</v>
      </c>
    </row>
    <row r="2084" spans="1:32" hidden="1" x14ac:dyDescent="0.3">
      <c r="A2084" s="77" t="s">
        <v>4227</v>
      </c>
      <c r="B2084" s="77" t="s">
        <v>4228</v>
      </c>
      <c r="G2084" s="77" t="s">
        <v>4032</v>
      </c>
      <c r="H2084" s="77" t="s">
        <v>77</v>
      </c>
      <c r="I2084" s="77" t="s">
        <v>1521</v>
      </c>
      <c r="J2084" s="77" t="s">
        <v>79</v>
      </c>
      <c r="K2084" s="77" t="s">
        <v>1522</v>
      </c>
      <c r="L2084" s="77" t="s">
        <v>4229</v>
      </c>
      <c r="M2084" s="77" t="s">
        <v>82</v>
      </c>
      <c r="N2084" s="77" t="s">
        <v>83</v>
      </c>
      <c r="Q2084" s="77" t="s">
        <v>111</v>
      </c>
      <c r="S2084" s="77" t="s">
        <v>111</v>
      </c>
      <c r="U2084" s="77" t="s">
        <v>85</v>
      </c>
      <c r="V2084" s="77" t="s">
        <v>2702</v>
      </c>
      <c r="W2084" s="79">
        <v>46200.349484803242</v>
      </c>
      <c r="X2084" s="77" t="s">
        <v>2703</v>
      </c>
      <c r="Y2084" s="78" t="s">
        <v>88</v>
      </c>
      <c r="AA2084" s="77" t="s">
        <v>3036</v>
      </c>
      <c r="AB2084" s="77" t="s">
        <v>1521</v>
      </c>
      <c r="AC2084" s="77" t="s">
        <v>114</v>
      </c>
      <c r="AD2084" s="77" t="s">
        <v>1258</v>
      </c>
      <c r="AE2084" s="77" t="s">
        <v>4034</v>
      </c>
      <c r="AF2084" s="77" t="s">
        <v>2706</v>
      </c>
    </row>
    <row r="2085" spans="1:32" x14ac:dyDescent="0.3">
      <c r="A2085" s="77" t="s">
        <v>4230</v>
      </c>
      <c r="B2085" s="77" t="s">
        <v>4231</v>
      </c>
      <c r="G2085" s="77" t="s">
        <v>4032</v>
      </c>
      <c r="H2085" s="77" t="s">
        <v>77</v>
      </c>
      <c r="I2085" s="77" t="s">
        <v>1521</v>
      </c>
      <c r="J2085" s="77" t="s">
        <v>79</v>
      </c>
      <c r="K2085" s="77" t="s">
        <v>1522</v>
      </c>
      <c r="L2085" s="77" t="s">
        <v>4232</v>
      </c>
      <c r="M2085" s="77" t="s">
        <v>82</v>
      </c>
      <c r="N2085" s="77" t="s">
        <v>83</v>
      </c>
      <c r="Q2085" s="77" t="s">
        <v>111</v>
      </c>
      <c r="S2085" s="77" t="s">
        <v>111</v>
      </c>
      <c r="U2085" s="77" t="s">
        <v>85</v>
      </c>
      <c r="V2085" s="80" t="s">
        <v>2702</v>
      </c>
      <c r="X2085" s="77" t="s">
        <v>2703</v>
      </c>
      <c r="Y2085" s="78" t="s">
        <v>88</v>
      </c>
      <c r="AB2085" s="77" t="s">
        <v>1521</v>
      </c>
      <c r="AC2085" s="77" t="s">
        <v>90</v>
      </c>
      <c r="AD2085" s="77" t="s">
        <v>1258</v>
      </c>
      <c r="AE2085" s="77" t="s">
        <v>4034</v>
      </c>
    </row>
    <row r="2086" spans="1:32" hidden="1" x14ac:dyDescent="0.3">
      <c r="A2086" s="77" t="s">
        <v>4233</v>
      </c>
      <c r="B2086" s="77" t="s">
        <v>4234</v>
      </c>
      <c r="G2086" s="77" t="s">
        <v>4032</v>
      </c>
      <c r="H2086" s="77" t="s">
        <v>77</v>
      </c>
      <c r="I2086" s="77" t="s">
        <v>1521</v>
      </c>
      <c r="J2086" s="77" t="s">
        <v>79</v>
      </c>
      <c r="K2086" s="77" t="s">
        <v>1522</v>
      </c>
      <c r="L2086" s="77" t="s">
        <v>4235</v>
      </c>
      <c r="M2086" s="77" t="s">
        <v>82</v>
      </c>
      <c r="N2086" s="77" t="s">
        <v>83</v>
      </c>
      <c r="Q2086" s="77" t="s">
        <v>111</v>
      </c>
      <c r="S2086" s="77" t="s">
        <v>111</v>
      </c>
      <c r="U2086" s="77" t="s">
        <v>85</v>
      </c>
      <c r="V2086" s="77" t="s">
        <v>2702</v>
      </c>
      <c r="W2086" s="79">
        <v>46207.477562465276</v>
      </c>
      <c r="X2086" s="77" t="s">
        <v>2703</v>
      </c>
      <c r="Y2086" s="78" t="s">
        <v>88</v>
      </c>
      <c r="AA2086" s="77" t="s">
        <v>3036</v>
      </c>
      <c r="AB2086" s="77" t="s">
        <v>1521</v>
      </c>
      <c r="AC2086" s="77" t="s">
        <v>114</v>
      </c>
      <c r="AD2086" s="77" t="s">
        <v>1258</v>
      </c>
      <c r="AE2086" s="77" t="s">
        <v>4034</v>
      </c>
      <c r="AF2086" s="77" t="s">
        <v>2706</v>
      </c>
    </row>
    <row r="2087" spans="1:32" x14ac:dyDescent="0.3">
      <c r="A2087" s="77" t="s">
        <v>4236</v>
      </c>
      <c r="B2087" s="77" t="s">
        <v>4237</v>
      </c>
      <c r="G2087" s="77" t="s">
        <v>4032</v>
      </c>
      <c r="H2087" s="77" t="s">
        <v>77</v>
      </c>
      <c r="I2087" s="77" t="s">
        <v>1521</v>
      </c>
      <c r="J2087" s="77" t="s">
        <v>79</v>
      </c>
      <c r="K2087" s="77" t="s">
        <v>1522</v>
      </c>
      <c r="L2087" s="77" t="s">
        <v>4238</v>
      </c>
      <c r="M2087" s="77" t="s">
        <v>82</v>
      </c>
      <c r="N2087" s="77" t="s">
        <v>83</v>
      </c>
      <c r="Q2087" s="77" t="s">
        <v>111</v>
      </c>
      <c r="S2087" s="77" t="s">
        <v>111</v>
      </c>
      <c r="U2087" s="77" t="s">
        <v>85</v>
      </c>
      <c r="V2087" s="80" t="s">
        <v>2702</v>
      </c>
      <c r="X2087" s="77" t="s">
        <v>2703</v>
      </c>
      <c r="Y2087" s="78" t="s">
        <v>88</v>
      </c>
      <c r="AB2087" s="77" t="s">
        <v>1521</v>
      </c>
      <c r="AC2087" s="77" t="s">
        <v>90</v>
      </c>
      <c r="AD2087" s="77" t="s">
        <v>1258</v>
      </c>
      <c r="AE2087" s="77" t="s">
        <v>4034</v>
      </c>
    </row>
    <row r="2088" spans="1:32" hidden="1" x14ac:dyDescent="0.3">
      <c r="A2088" s="77" t="s">
        <v>4239</v>
      </c>
      <c r="B2088" s="77" t="s">
        <v>4240</v>
      </c>
      <c r="G2088" s="77" t="s">
        <v>4032</v>
      </c>
      <c r="H2088" s="77" t="s">
        <v>77</v>
      </c>
      <c r="I2088" s="77" t="s">
        <v>1521</v>
      </c>
      <c r="J2088" s="77" t="s">
        <v>79</v>
      </c>
      <c r="K2088" s="77" t="s">
        <v>1522</v>
      </c>
      <c r="L2088" s="77" t="s">
        <v>4241</v>
      </c>
      <c r="M2088" s="77" t="s">
        <v>82</v>
      </c>
      <c r="N2088" s="77" t="s">
        <v>83</v>
      </c>
      <c r="Q2088" s="77" t="s">
        <v>111</v>
      </c>
      <c r="S2088" s="77" t="s">
        <v>111</v>
      </c>
      <c r="U2088" s="77" t="s">
        <v>85</v>
      </c>
      <c r="V2088" s="77" t="s">
        <v>2702</v>
      </c>
      <c r="W2088" s="79">
        <v>46200.350623298611</v>
      </c>
      <c r="X2088" s="77" t="s">
        <v>2703</v>
      </c>
      <c r="Y2088" s="78" t="s">
        <v>88</v>
      </c>
      <c r="AA2088" s="77" t="s">
        <v>3036</v>
      </c>
      <c r="AB2088" s="77" t="s">
        <v>1521</v>
      </c>
      <c r="AC2088" s="77" t="s">
        <v>114</v>
      </c>
      <c r="AD2088" s="77" t="s">
        <v>1258</v>
      </c>
      <c r="AE2088" s="77" t="s">
        <v>4034</v>
      </c>
      <c r="AF2088" s="77" t="s">
        <v>2706</v>
      </c>
    </row>
    <row r="2089" spans="1:32" x14ac:dyDescent="0.3">
      <c r="A2089" s="77" t="s">
        <v>4242</v>
      </c>
      <c r="B2089" s="77" t="s">
        <v>4243</v>
      </c>
      <c r="G2089" s="77" t="s">
        <v>4032</v>
      </c>
      <c r="H2089" s="77" t="s">
        <v>77</v>
      </c>
      <c r="I2089" s="77" t="s">
        <v>1521</v>
      </c>
      <c r="J2089" s="77" t="s">
        <v>79</v>
      </c>
      <c r="K2089" s="77" t="s">
        <v>1522</v>
      </c>
      <c r="L2089" s="77" t="s">
        <v>4244</v>
      </c>
      <c r="M2089" s="77" t="s">
        <v>82</v>
      </c>
      <c r="N2089" s="77" t="s">
        <v>83</v>
      </c>
      <c r="Q2089" s="77" t="s">
        <v>111</v>
      </c>
      <c r="S2089" s="77" t="s">
        <v>111</v>
      </c>
      <c r="U2089" s="77" t="s">
        <v>85</v>
      </c>
      <c r="V2089" s="80" t="s">
        <v>2702</v>
      </c>
      <c r="X2089" s="77" t="s">
        <v>2703</v>
      </c>
      <c r="Y2089" s="78" t="s">
        <v>88</v>
      </c>
      <c r="AB2089" s="77" t="s">
        <v>1521</v>
      </c>
      <c r="AC2089" s="77" t="s">
        <v>90</v>
      </c>
      <c r="AD2089" s="77" t="s">
        <v>1258</v>
      </c>
      <c r="AE2089" s="77" t="s">
        <v>4034</v>
      </c>
    </row>
    <row r="2090" spans="1:32" x14ac:dyDescent="0.3">
      <c r="A2090" s="77" t="s">
        <v>4245</v>
      </c>
      <c r="B2090" s="77" t="s">
        <v>4246</v>
      </c>
      <c r="G2090" s="77" t="s">
        <v>4032</v>
      </c>
      <c r="H2090" s="77" t="s">
        <v>77</v>
      </c>
      <c r="I2090" s="77" t="s">
        <v>1521</v>
      </c>
      <c r="J2090" s="77" t="s">
        <v>79</v>
      </c>
      <c r="K2090" s="77" t="s">
        <v>1522</v>
      </c>
      <c r="L2090" s="77" t="s">
        <v>4247</v>
      </c>
      <c r="M2090" s="77" t="s">
        <v>82</v>
      </c>
      <c r="N2090" s="77" t="s">
        <v>83</v>
      </c>
      <c r="Q2090" s="77" t="s">
        <v>111</v>
      </c>
      <c r="S2090" s="77" t="s">
        <v>111</v>
      </c>
      <c r="U2090" s="77" t="s">
        <v>85</v>
      </c>
      <c r="V2090" s="80" t="s">
        <v>2702</v>
      </c>
      <c r="X2090" s="77" t="s">
        <v>2703</v>
      </c>
      <c r="Y2090" s="78" t="s">
        <v>88</v>
      </c>
      <c r="AB2090" s="77" t="s">
        <v>1521</v>
      </c>
      <c r="AC2090" s="77" t="s">
        <v>90</v>
      </c>
      <c r="AD2090" s="77" t="s">
        <v>1258</v>
      </c>
      <c r="AE2090" s="77" t="s">
        <v>4034</v>
      </c>
    </row>
    <row r="2091" spans="1:32" x14ac:dyDescent="0.3">
      <c r="A2091" s="77" t="s">
        <v>4248</v>
      </c>
      <c r="B2091" s="77" t="s">
        <v>4249</v>
      </c>
      <c r="G2091" s="77" t="s">
        <v>4032</v>
      </c>
      <c r="H2091" s="77" t="s">
        <v>77</v>
      </c>
      <c r="I2091" s="77" t="s">
        <v>1521</v>
      </c>
      <c r="J2091" s="77" t="s">
        <v>79</v>
      </c>
      <c r="K2091" s="77" t="s">
        <v>1522</v>
      </c>
      <c r="L2091" s="77" t="s">
        <v>4250</v>
      </c>
      <c r="M2091" s="77" t="s">
        <v>82</v>
      </c>
      <c r="N2091" s="77" t="s">
        <v>83</v>
      </c>
      <c r="Q2091" s="77" t="s">
        <v>111</v>
      </c>
      <c r="S2091" s="77" t="s">
        <v>111</v>
      </c>
      <c r="U2091" s="77" t="s">
        <v>85</v>
      </c>
      <c r="V2091" s="80" t="s">
        <v>2702</v>
      </c>
      <c r="X2091" s="77" t="s">
        <v>2703</v>
      </c>
      <c r="Y2091" s="78" t="s">
        <v>88</v>
      </c>
      <c r="AB2091" s="77" t="s">
        <v>1521</v>
      </c>
      <c r="AC2091" s="77" t="s">
        <v>90</v>
      </c>
      <c r="AD2091" s="77" t="s">
        <v>1258</v>
      </c>
      <c r="AE2091" s="77" t="s">
        <v>4034</v>
      </c>
    </row>
    <row r="2092" spans="1:32" x14ac:dyDescent="0.3">
      <c r="A2092" s="77" t="s">
        <v>4251</v>
      </c>
      <c r="B2092" s="77" t="s">
        <v>4252</v>
      </c>
      <c r="G2092" s="77" t="s">
        <v>4032</v>
      </c>
      <c r="H2092" s="77" t="s">
        <v>77</v>
      </c>
      <c r="I2092" s="77" t="s">
        <v>1521</v>
      </c>
      <c r="J2092" s="77" t="s">
        <v>79</v>
      </c>
      <c r="K2092" s="77" t="s">
        <v>1522</v>
      </c>
      <c r="L2092" s="77" t="s">
        <v>4253</v>
      </c>
      <c r="M2092" s="77" t="s">
        <v>82</v>
      </c>
      <c r="N2092" s="77" t="s">
        <v>83</v>
      </c>
      <c r="Q2092" s="77" t="s">
        <v>111</v>
      </c>
      <c r="S2092" s="77" t="s">
        <v>111</v>
      </c>
      <c r="U2092" s="77" t="s">
        <v>85</v>
      </c>
      <c r="V2092" s="80" t="s">
        <v>2702</v>
      </c>
      <c r="X2092" s="77" t="s">
        <v>2703</v>
      </c>
      <c r="Y2092" s="78" t="s">
        <v>88</v>
      </c>
      <c r="AB2092" s="77" t="s">
        <v>1521</v>
      </c>
      <c r="AC2092" s="77" t="s">
        <v>90</v>
      </c>
      <c r="AD2092" s="77" t="s">
        <v>1258</v>
      </c>
      <c r="AE2092" s="77" t="s">
        <v>4034</v>
      </c>
    </row>
    <row r="2093" spans="1:32" x14ac:dyDescent="0.3">
      <c r="A2093" s="77" t="s">
        <v>4254</v>
      </c>
      <c r="B2093" s="77" t="s">
        <v>4255</v>
      </c>
      <c r="G2093" s="77" t="s">
        <v>4032</v>
      </c>
      <c r="H2093" s="77" t="s">
        <v>77</v>
      </c>
      <c r="I2093" s="77" t="s">
        <v>1521</v>
      </c>
      <c r="J2093" s="77" t="s">
        <v>79</v>
      </c>
      <c r="K2093" s="77" t="s">
        <v>1522</v>
      </c>
      <c r="L2093" s="77" t="s">
        <v>4256</v>
      </c>
      <c r="M2093" s="77" t="s">
        <v>82</v>
      </c>
      <c r="N2093" s="77" t="s">
        <v>83</v>
      </c>
      <c r="Q2093" s="77" t="s">
        <v>111</v>
      </c>
      <c r="S2093" s="77" t="s">
        <v>111</v>
      </c>
      <c r="U2093" s="77" t="s">
        <v>85</v>
      </c>
      <c r="V2093" s="80" t="s">
        <v>2702</v>
      </c>
      <c r="X2093" s="77" t="s">
        <v>2703</v>
      </c>
      <c r="Y2093" s="78" t="s">
        <v>88</v>
      </c>
      <c r="AB2093" s="77" t="s">
        <v>1521</v>
      </c>
      <c r="AC2093" s="77" t="s">
        <v>90</v>
      </c>
      <c r="AD2093" s="77" t="s">
        <v>1258</v>
      </c>
      <c r="AE2093" s="77" t="s">
        <v>4034</v>
      </c>
    </row>
    <row r="2094" spans="1:32" x14ac:dyDescent="0.3">
      <c r="A2094" s="77" t="s">
        <v>4257</v>
      </c>
      <c r="B2094" s="77" t="s">
        <v>4258</v>
      </c>
      <c r="G2094" s="77" t="s">
        <v>4032</v>
      </c>
      <c r="H2094" s="77" t="s">
        <v>77</v>
      </c>
      <c r="I2094" s="77" t="s">
        <v>1521</v>
      </c>
      <c r="J2094" s="77" t="s">
        <v>79</v>
      </c>
      <c r="K2094" s="77" t="s">
        <v>1522</v>
      </c>
      <c r="L2094" s="77" t="s">
        <v>4259</v>
      </c>
      <c r="M2094" s="77" t="s">
        <v>82</v>
      </c>
      <c r="N2094" s="77" t="s">
        <v>83</v>
      </c>
      <c r="Q2094" s="77" t="s">
        <v>111</v>
      </c>
      <c r="S2094" s="77" t="s">
        <v>111</v>
      </c>
      <c r="U2094" s="77" t="s">
        <v>85</v>
      </c>
      <c r="V2094" s="80" t="s">
        <v>2702</v>
      </c>
      <c r="X2094" s="77" t="s">
        <v>2703</v>
      </c>
      <c r="Y2094" s="78" t="s">
        <v>88</v>
      </c>
      <c r="AB2094" s="77" t="s">
        <v>1521</v>
      </c>
      <c r="AC2094" s="77" t="s">
        <v>90</v>
      </c>
      <c r="AD2094" s="77" t="s">
        <v>1258</v>
      </c>
      <c r="AE2094" s="77" t="s">
        <v>4034</v>
      </c>
    </row>
    <row r="2095" spans="1:32" x14ac:dyDescent="0.3">
      <c r="A2095" s="77" t="s">
        <v>4260</v>
      </c>
      <c r="B2095" s="77" t="s">
        <v>4261</v>
      </c>
      <c r="G2095" s="77" t="s">
        <v>4032</v>
      </c>
      <c r="H2095" s="77" t="s">
        <v>77</v>
      </c>
      <c r="I2095" s="77" t="s">
        <v>1521</v>
      </c>
      <c r="J2095" s="77" t="s">
        <v>79</v>
      </c>
      <c r="K2095" s="77" t="s">
        <v>1522</v>
      </c>
      <c r="L2095" s="77" t="s">
        <v>4262</v>
      </c>
      <c r="M2095" s="77" t="s">
        <v>82</v>
      </c>
      <c r="N2095" s="77" t="s">
        <v>83</v>
      </c>
      <c r="Q2095" s="77" t="s">
        <v>111</v>
      </c>
      <c r="S2095" s="77" t="s">
        <v>111</v>
      </c>
      <c r="U2095" s="77" t="s">
        <v>85</v>
      </c>
      <c r="V2095" s="80" t="s">
        <v>2702</v>
      </c>
      <c r="X2095" s="77" t="s">
        <v>2703</v>
      </c>
      <c r="Y2095" s="78" t="s">
        <v>88</v>
      </c>
      <c r="AB2095" s="77" t="s">
        <v>1521</v>
      </c>
      <c r="AC2095" s="77" t="s">
        <v>90</v>
      </c>
      <c r="AD2095" s="77" t="s">
        <v>1258</v>
      </c>
      <c r="AE2095" s="77" t="s">
        <v>4034</v>
      </c>
    </row>
    <row r="2096" spans="1:32" x14ac:dyDescent="0.3">
      <c r="A2096" s="77" t="s">
        <v>4263</v>
      </c>
      <c r="B2096" s="77" t="s">
        <v>4264</v>
      </c>
      <c r="G2096" s="77" t="s">
        <v>4032</v>
      </c>
      <c r="H2096" s="77" t="s">
        <v>77</v>
      </c>
      <c r="I2096" s="77" t="s">
        <v>1521</v>
      </c>
      <c r="J2096" s="77" t="s">
        <v>79</v>
      </c>
      <c r="K2096" s="77" t="s">
        <v>1522</v>
      </c>
      <c r="L2096" s="77" t="s">
        <v>4265</v>
      </c>
      <c r="M2096" s="77" t="s">
        <v>82</v>
      </c>
      <c r="N2096" s="77" t="s">
        <v>83</v>
      </c>
      <c r="Q2096" s="77" t="s">
        <v>111</v>
      </c>
      <c r="S2096" s="77" t="s">
        <v>111</v>
      </c>
      <c r="U2096" s="77" t="s">
        <v>85</v>
      </c>
      <c r="V2096" s="80" t="s">
        <v>2702</v>
      </c>
      <c r="X2096" s="77" t="s">
        <v>2703</v>
      </c>
      <c r="Y2096" s="78" t="s">
        <v>88</v>
      </c>
      <c r="AB2096" s="77" t="s">
        <v>1521</v>
      </c>
      <c r="AC2096" s="77" t="s">
        <v>90</v>
      </c>
      <c r="AD2096" s="77" t="s">
        <v>1258</v>
      </c>
      <c r="AE2096" s="77" t="s">
        <v>4034</v>
      </c>
    </row>
    <row r="2097" spans="1:32" x14ac:dyDescent="0.3">
      <c r="A2097" s="77" t="s">
        <v>4266</v>
      </c>
      <c r="B2097" s="77" t="s">
        <v>4267</v>
      </c>
      <c r="G2097" s="77" t="s">
        <v>4032</v>
      </c>
      <c r="H2097" s="77" t="s">
        <v>77</v>
      </c>
      <c r="I2097" s="77" t="s">
        <v>1521</v>
      </c>
      <c r="J2097" s="77" t="s">
        <v>79</v>
      </c>
      <c r="K2097" s="77" t="s">
        <v>1522</v>
      </c>
      <c r="L2097" s="77" t="s">
        <v>4268</v>
      </c>
      <c r="M2097" s="77" t="s">
        <v>82</v>
      </c>
      <c r="N2097" s="77" t="s">
        <v>83</v>
      </c>
      <c r="Q2097" s="77" t="s">
        <v>111</v>
      </c>
      <c r="S2097" s="77" t="s">
        <v>111</v>
      </c>
      <c r="U2097" s="77" t="s">
        <v>85</v>
      </c>
      <c r="V2097" s="80" t="s">
        <v>2702</v>
      </c>
      <c r="X2097" s="77" t="s">
        <v>2703</v>
      </c>
      <c r="Y2097" s="78" t="s">
        <v>88</v>
      </c>
      <c r="AB2097" s="77" t="s">
        <v>1521</v>
      </c>
      <c r="AC2097" s="77" t="s">
        <v>90</v>
      </c>
      <c r="AD2097" s="77" t="s">
        <v>1258</v>
      </c>
      <c r="AE2097" s="77" t="s">
        <v>4034</v>
      </c>
    </row>
    <row r="2098" spans="1:32" x14ac:dyDescent="0.3">
      <c r="A2098" s="77" t="s">
        <v>4269</v>
      </c>
      <c r="B2098" s="77" t="s">
        <v>4270</v>
      </c>
      <c r="G2098" s="77" t="s">
        <v>4032</v>
      </c>
      <c r="H2098" s="77" t="s">
        <v>77</v>
      </c>
      <c r="I2098" s="77" t="s">
        <v>1521</v>
      </c>
      <c r="J2098" s="77" t="s">
        <v>79</v>
      </c>
      <c r="K2098" s="77" t="s">
        <v>1522</v>
      </c>
      <c r="L2098" s="77" t="s">
        <v>4271</v>
      </c>
      <c r="M2098" s="77" t="s">
        <v>82</v>
      </c>
      <c r="N2098" s="77" t="s">
        <v>83</v>
      </c>
      <c r="Q2098" s="77" t="s">
        <v>111</v>
      </c>
      <c r="S2098" s="77" t="s">
        <v>111</v>
      </c>
      <c r="U2098" s="77" t="s">
        <v>85</v>
      </c>
      <c r="V2098" s="80" t="s">
        <v>2702</v>
      </c>
      <c r="X2098" s="77" t="s">
        <v>2703</v>
      </c>
      <c r="Y2098" s="78" t="s">
        <v>88</v>
      </c>
      <c r="AB2098" s="77" t="s">
        <v>1521</v>
      </c>
      <c r="AC2098" s="77" t="s">
        <v>90</v>
      </c>
      <c r="AD2098" s="77" t="s">
        <v>1258</v>
      </c>
      <c r="AE2098" s="77" t="s">
        <v>4034</v>
      </c>
    </row>
    <row r="2099" spans="1:32" x14ac:dyDescent="0.3">
      <c r="A2099" s="77" t="s">
        <v>4272</v>
      </c>
      <c r="B2099" s="77" t="s">
        <v>4273</v>
      </c>
      <c r="G2099" s="77" t="s">
        <v>4032</v>
      </c>
      <c r="H2099" s="77" t="s">
        <v>77</v>
      </c>
      <c r="I2099" s="77" t="s">
        <v>1521</v>
      </c>
      <c r="J2099" s="77" t="s">
        <v>79</v>
      </c>
      <c r="K2099" s="77" t="s">
        <v>1522</v>
      </c>
      <c r="L2099" s="77" t="s">
        <v>4274</v>
      </c>
      <c r="M2099" s="77" t="s">
        <v>82</v>
      </c>
      <c r="N2099" s="77" t="s">
        <v>83</v>
      </c>
      <c r="Q2099" s="77" t="s">
        <v>111</v>
      </c>
      <c r="S2099" s="77" t="s">
        <v>111</v>
      </c>
      <c r="U2099" s="77" t="s">
        <v>85</v>
      </c>
      <c r="V2099" s="80" t="s">
        <v>2702</v>
      </c>
      <c r="X2099" s="77" t="s">
        <v>2703</v>
      </c>
      <c r="Y2099" s="78" t="s">
        <v>88</v>
      </c>
      <c r="AB2099" s="77" t="s">
        <v>1521</v>
      </c>
      <c r="AC2099" s="77" t="s">
        <v>90</v>
      </c>
      <c r="AD2099" s="77" t="s">
        <v>1258</v>
      </c>
      <c r="AE2099" s="77" t="s">
        <v>4034</v>
      </c>
    </row>
    <row r="2100" spans="1:32" x14ac:dyDescent="0.3">
      <c r="A2100" s="77" t="s">
        <v>4275</v>
      </c>
      <c r="B2100" s="77" t="s">
        <v>4276</v>
      </c>
      <c r="G2100" s="77" t="s">
        <v>4032</v>
      </c>
      <c r="H2100" s="77" t="s">
        <v>77</v>
      </c>
      <c r="I2100" s="77" t="s">
        <v>1521</v>
      </c>
      <c r="J2100" s="77" t="s">
        <v>79</v>
      </c>
      <c r="K2100" s="77" t="s">
        <v>1522</v>
      </c>
      <c r="L2100" s="77" t="s">
        <v>4277</v>
      </c>
      <c r="M2100" s="77" t="s">
        <v>82</v>
      </c>
      <c r="N2100" s="77" t="s">
        <v>83</v>
      </c>
      <c r="Q2100" s="77" t="s">
        <v>111</v>
      </c>
      <c r="S2100" s="77" t="s">
        <v>111</v>
      </c>
      <c r="U2100" s="77" t="s">
        <v>85</v>
      </c>
      <c r="V2100" s="80" t="s">
        <v>2702</v>
      </c>
      <c r="X2100" s="77" t="s">
        <v>2703</v>
      </c>
      <c r="Y2100" s="78" t="s">
        <v>88</v>
      </c>
      <c r="AB2100" s="77" t="s">
        <v>1521</v>
      </c>
      <c r="AC2100" s="77" t="s">
        <v>90</v>
      </c>
      <c r="AD2100" s="77" t="s">
        <v>1258</v>
      </c>
      <c r="AE2100" s="77" t="s">
        <v>4034</v>
      </c>
    </row>
    <row r="2101" spans="1:32" x14ac:dyDescent="0.3">
      <c r="A2101" s="77" t="s">
        <v>4278</v>
      </c>
      <c r="B2101" s="77" t="s">
        <v>4279</v>
      </c>
      <c r="G2101" s="77" t="s">
        <v>4032</v>
      </c>
      <c r="H2101" s="77" t="s">
        <v>77</v>
      </c>
      <c r="I2101" s="77" t="s">
        <v>1521</v>
      </c>
      <c r="J2101" s="77" t="s">
        <v>79</v>
      </c>
      <c r="K2101" s="77" t="s">
        <v>1522</v>
      </c>
      <c r="L2101" s="77" t="s">
        <v>4280</v>
      </c>
      <c r="M2101" s="77" t="s">
        <v>82</v>
      </c>
      <c r="N2101" s="77" t="s">
        <v>83</v>
      </c>
      <c r="Q2101" s="77" t="s">
        <v>111</v>
      </c>
      <c r="S2101" s="77" t="s">
        <v>111</v>
      </c>
      <c r="U2101" s="77" t="s">
        <v>85</v>
      </c>
      <c r="V2101" s="80" t="s">
        <v>2702</v>
      </c>
      <c r="X2101" s="77" t="s">
        <v>2703</v>
      </c>
      <c r="Y2101" s="78" t="s">
        <v>88</v>
      </c>
      <c r="AB2101" s="77" t="s">
        <v>1521</v>
      </c>
      <c r="AC2101" s="77" t="s">
        <v>90</v>
      </c>
      <c r="AD2101" s="77" t="s">
        <v>1258</v>
      </c>
      <c r="AE2101" s="77" t="s">
        <v>4034</v>
      </c>
    </row>
    <row r="2102" spans="1:32" x14ac:dyDescent="0.3">
      <c r="A2102" s="77" t="s">
        <v>4281</v>
      </c>
      <c r="B2102" s="77" t="s">
        <v>4282</v>
      </c>
      <c r="G2102" s="77" t="s">
        <v>4032</v>
      </c>
      <c r="H2102" s="77" t="s">
        <v>77</v>
      </c>
      <c r="I2102" s="77" t="s">
        <v>1521</v>
      </c>
      <c r="J2102" s="77" t="s">
        <v>79</v>
      </c>
      <c r="K2102" s="77" t="s">
        <v>1522</v>
      </c>
      <c r="L2102" s="77" t="s">
        <v>4283</v>
      </c>
      <c r="M2102" s="77" t="s">
        <v>82</v>
      </c>
      <c r="N2102" s="77" t="s">
        <v>83</v>
      </c>
      <c r="Q2102" s="77" t="s">
        <v>111</v>
      </c>
      <c r="S2102" s="77" t="s">
        <v>111</v>
      </c>
      <c r="U2102" s="77" t="s">
        <v>85</v>
      </c>
      <c r="V2102" s="80" t="s">
        <v>2702</v>
      </c>
      <c r="X2102" s="77" t="s">
        <v>2703</v>
      </c>
      <c r="Y2102" s="78" t="s">
        <v>88</v>
      </c>
      <c r="AB2102" s="77" t="s">
        <v>1521</v>
      </c>
      <c r="AC2102" s="77" t="s">
        <v>90</v>
      </c>
      <c r="AD2102" s="77" t="s">
        <v>1258</v>
      </c>
      <c r="AE2102" s="77" t="s">
        <v>4034</v>
      </c>
    </row>
    <row r="2103" spans="1:32" x14ac:dyDescent="0.3">
      <c r="A2103" s="77" t="s">
        <v>4284</v>
      </c>
      <c r="B2103" s="77" t="s">
        <v>4285</v>
      </c>
      <c r="G2103" s="77" t="s">
        <v>4032</v>
      </c>
      <c r="H2103" s="77" t="s">
        <v>77</v>
      </c>
      <c r="I2103" s="77" t="s">
        <v>1521</v>
      </c>
      <c r="J2103" s="77" t="s">
        <v>79</v>
      </c>
      <c r="K2103" s="77" t="s">
        <v>1522</v>
      </c>
      <c r="L2103" s="77" t="s">
        <v>4286</v>
      </c>
      <c r="M2103" s="77" t="s">
        <v>82</v>
      </c>
      <c r="N2103" s="77" t="s">
        <v>83</v>
      </c>
      <c r="Q2103" s="77" t="s">
        <v>111</v>
      </c>
      <c r="S2103" s="77" t="s">
        <v>111</v>
      </c>
      <c r="U2103" s="77" t="s">
        <v>85</v>
      </c>
      <c r="V2103" s="80" t="s">
        <v>2702</v>
      </c>
      <c r="X2103" s="77" t="s">
        <v>2703</v>
      </c>
      <c r="Y2103" s="78" t="s">
        <v>88</v>
      </c>
      <c r="AB2103" s="77" t="s">
        <v>1521</v>
      </c>
      <c r="AC2103" s="77" t="s">
        <v>90</v>
      </c>
      <c r="AD2103" s="77" t="s">
        <v>1258</v>
      </c>
      <c r="AE2103" s="77" t="s">
        <v>4034</v>
      </c>
    </row>
    <row r="2104" spans="1:32" hidden="1" x14ac:dyDescent="0.3">
      <c r="A2104" s="77" t="s">
        <v>4287</v>
      </c>
      <c r="B2104" s="77" t="s">
        <v>4288</v>
      </c>
      <c r="G2104" s="77" t="s">
        <v>4032</v>
      </c>
      <c r="H2104" s="77" t="s">
        <v>77</v>
      </c>
      <c r="I2104" s="77" t="s">
        <v>1521</v>
      </c>
      <c r="J2104" s="77" t="s">
        <v>79</v>
      </c>
      <c r="K2104" s="77" t="s">
        <v>1522</v>
      </c>
      <c r="L2104" s="77" t="s">
        <v>4289</v>
      </c>
      <c r="M2104" s="77" t="s">
        <v>82</v>
      </c>
      <c r="N2104" s="77" t="s">
        <v>83</v>
      </c>
      <c r="Q2104" s="77" t="s">
        <v>111</v>
      </c>
      <c r="S2104" s="77" t="s">
        <v>111</v>
      </c>
      <c r="U2104" s="77" t="s">
        <v>85</v>
      </c>
      <c r="V2104" s="77" t="s">
        <v>2702</v>
      </c>
      <c r="W2104" s="79">
        <v>46200.360530127313</v>
      </c>
      <c r="X2104" s="77" t="s">
        <v>2703</v>
      </c>
      <c r="Y2104" s="78" t="s">
        <v>88</v>
      </c>
      <c r="AA2104" s="77" t="s">
        <v>3036</v>
      </c>
      <c r="AB2104" s="77" t="s">
        <v>1521</v>
      </c>
      <c r="AC2104" s="77" t="s">
        <v>114</v>
      </c>
      <c r="AD2104" s="77" t="s">
        <v>1258</v>
      </c>
      <c r="AE2104" s="77" t="s">
        <v>4034</v>
      </c>
      <c r="AF2104" s="77" t="s">
        <v>2706</v>
      </c>
    </row>
    <row r="2105" spans="1:32" x14ac:dyDescent="0.3">
      <c r="A2105" s="77" t="s">
        <v>4290</v>
      </c>
      <c r="B2105" s="77" t="s">
        <v>4291</v>
      </c>
      <c r="G2105" s="77" t="s">
        <v>4032</v>
      </c>
      <c r="H2105" s="77" t="s">
        <v>77</v>
      </c>
      <c r="I2105" s="77" t="s">
        <v>1521</v>
      </c>
      <c r="J2105" s="77" t="s">
        <v>79</v>
      </c>
      <c r="K2105" s="77" t="s">
        <v>1522</v>
      </c>
      <c r="L2105" s="77" t="s">
        <v>4292</v>
      </c>
      <c r="M2105" s="77" t="s">
        <v>82</v>
      </c>
      <c r="N2105" s="77" t="s">
        <v>83</v>
      </c>
      <c r="Q2105" s="77" t="s">
        <v>111</v>
      </c>
      <c r="S2105" s="77" t="s">
        <v>111</v>
      </c>
      <c r="U2105" s="77" t="s">
        <v>85</v>
      </c>
      <c r="V2105" s="80" t="s">
        <v>896</v>
      </c>
      <c r="X2105" s="77" t="s">
        <v>897</v>
      </c>
      <c r="Y2105" s="78" t="s">
        <v>88</v>
      </c>
      <c r="AB2105" s="77" t="s">
        <v>1521</v>
      </c>
      <c r="AC2105" s="77" t="s">
        <v>90</v>
      </c>
      <c r="AD2105" s="77" t="s">
        <v>91</v>
      </c>
      <c r="AE2105" s="77" t="s">
        <v>4034</v>
      </c>
    </row>
    <row r="2106" spans="1:32" x14ac:dyDescent="0.3">
      <c r="A2106" s="77" t="s">
        <v>4293</v>
      </c>
      <c r="B2106" s="77" t="s">
        <v>4294</v>
      </c>
      <c r="G2106" s="77" t="s">
        <v>4032</v>
      </c>
      <c r="H2106" s="77" t="s">
        <v>77</v>
      </c>
      <c r="I2106" s="77" t="s">
        <v>1521</v>
      </c>
      <c r="J2106" s="77" t="s">
        <v>79</v>
      </c>
      <c r="K2106" s="77" t="s">
        <v>1522</v>
      </c>
      <c r="L2106" s="77" t="s">
        <v>4295</v>
      </c>
      <c r="M2106" s="77" t="s">
        <v>82</v>
      </c>
      <c r="N2106" s="77" t="s">
        <v>83</v>
      </c>
      <c r="Q2106" s="77" t="s">
        <v>111</v>
      </c>
      <c r="S2106" s="77" t="s">
        <v>111</v>
      </c>
      <c r="U2106" s="77" t="s">
        <v>85</v>
      </c>
      <c r="V2106" s="80" t="s">
        <v>896</v>
      </c>
      <c r="X2106" s="77" t="s">
        <v>897</v>
      </c>
      <c r="Y2106" s="78" t="s">
        <v>88</v>
      </c>
      <c r="AB2106" s="77" t="s">
        <v>1521</v>
      </c>
      <c r="AC2106" s="77" t="s">
        <v>90</v>
      </c>
      <c r="AD2106" s="77" t="s">
        <v>91</v>
      </c>
      <c r="AE2106" s="77" t="s">
        <v>4034</v>
      </c>
    </row>
    <row r="2107" spans="1:32" x14ac:dyDescent="0.3">
      <c r="A2107" s="77" t="s">
        <v>4296</v>
      </c>
      <c r="B2107" s="77" t="s">
        <v>4297</v>
      </c>
      <c r="G2107" s="77" t="s">
        <v>4032</v>
      </c>
      <c r="H2107" s="77" t="s">
        <v>77</v>
      </c>
      <c r="I2107" s="77" t="s">
        <v>1521</v>
      </c>
      <c r="J2107" s="77" t="s">
        <v>79</v>
      </c>
      <c r="K2107" s="77" t="s">
        <v>1522</v>
      </c>
      <c r="L2107" s="77" t="s">
        <v>4298</v>
      </c>
      <c r="M2107" s="77" t="s">
        <v>82</v>
      </c>
      <c r="N2107" s="77" t="s">
        <v>83</v>
      </c>
      <c r="Q2107" s="77" t="s">
        <v>111</v>
      </c>
      <c r="S2107" s="77" t="s">
        <v>111</v>
      </c>
      <c r="U2107" s="77" t="s">
        <v>85</v>
      </c>
      <c r="V2107" s="80" t="s">
        <v>896</v>
      </c>
      <c r="X2107" s="77" t="s">
        <v>897</v>
      </c>
      <c r="Y2107" s="78" t="s">
        <v>88</v>
      </c>
      <c r="AB2107" s="77" t="s">
        <v>1521</v>
      </c>
      <c r="AC2107" s="77" t="s">
        <v>90</v>
      </c>
      <c r="AD2107" s="77" t="s">
        <v>91</v>
      </c>
      <c r="AE2107" s="77" t="s">
        <v>4034</v>
      </c>
    </row>
    <row r="2108" spans="1:32" x14ac:dyDescent="0.3">
      <c r="A2108" s="77" t="s">
        <v>4299</v>
      </c>
      <c r="B2108" s="77" t="s">
        <v>4300</v>
      </c>
      <c r="G2108" s="77" t="s">
        <v>4032</v>
      </c>
      <c r="H2108" s="77" t="s">
        <v>77</v>
      </c>
      <c r="I2108" s="77" t="s">
        <v>1521</v>
      </c>
      <c r="J2108" s="77" t="s">
        <v>79</v>
      </c>
      <c r="K2108" s="77" t="s">
        <v>1522</v>
      </c>
      <c r="L2108" s="77" t="s">
        <v>4301</v>
      </c>
      <c r="M2108" s="77" t="s">
        <v>82</v>
      </c>
      <c r="N2108" s="77" t="s">
        <v>83</v>
      </c>
      <c r="Q2108" s="77" t="s">
        <v>111</v>
      </c>
      <c r="S2108" s="77" t="s">
        <v>111</v>
      </c>
      <c r="U2108" s="77" t="s">
        <v>85</v>
      </c>
      <c r="V2108" s="80" t="s">
        <v>272</v>
      </c>
      <c r="X2108" s="77" t="s">
        <v>273</v>
      </c>
      <c r="Y2108" s="78" t="s">
        <v>101</v>
      </c>
      <c r="AB2108" s="77" t="s">
        <v>1521</v>
      </c>
      <c r="AC2108" s="77" t="s">
        <v>90</v>
      </c>
      <c r="AD2108" s="77" t="s">
        <v>274</v>
      </c>
      <c r="AE2108" s="77" t="s">
        <v>4034</v>
      </c>
    </row>
    <row r="2109" spans="1:32" x14ac:dyDescent="0.3">
      <c r="A2109" s="77" t="s">
        <v>4302</v>
      </c>
      <c r="B2109" s="77" t="s">
        <v>4303</v>
      </c>
      <c r="G2109" s="77" t="s">
        <v>4032</v>
      </c>
      <c r="H2109" s="77" t="s">
        <v>77</v>
      </c>
      <c r="I2109" s="77" t="s">
        <v>1521</v>
      </c>
      <c r="J2109" s="77" t="s">
        <v>79</v>
      </c>
      <c r="K2109" s="77" t="s">
        <v>1522</v>
      </c>
      <c r="L2109" s="77" t="s">
        <v>4304</v>
      </c>
      <c r="M2109" s="77" t="s">
        <v>82</v>
      </c>
      <c r="N2109" s="77" t="s">
        <v>83</v>
      </c>
      <c r="Q2109" s="77" t="s">
        <v>111</v>
      </c>
      <c r="S2109" s="77" t="s">
        <v>111</v>
      </c>
      <c r="U2109" s="77" t="s">
        <v>85</v>
      </c>
      <c r="V2109" s="80" t="s">
        <v>272</v>
      </c>
      <c r="X2109" s="77" t="s">
        <v>273</v>
      </c>
      <c r="Y2109" s="78" t="s">
        <v>101</v>
      </c>
      <c r="AB2109" s="77" t="s">
        <v>1521</v>
      </c>
      <c r="AC2109" s="77" t="s">
        <v>90</v>
      </c>
      <c r="AD2109" s="77" t="s">
        <v>274</v>
      </c>
      <c r="AE2109" s="77" t="s">
        <v>4034</v>
      </c>
    </row>
    <row r="2110" spans="1:32" x14ac:dyDescent="0.3">
      <c r="A2110" s="77" t="s">
        <v>4305</v>
      </c>
      <c r="B2110" s="77" t="s">
        <v>4306</v>
      </c>
      <c r="G2110" s="77" t="s">
        <v>4032</v>
      </c>
      <c r="H2110" s="77" t="s">
        <v>77</v>
      </c>
      <c r="I2110" s="77" t="s">
        <v>1521</v>
      </c>
      <c r="J2110" s="77" t="s">
        <v>79</v>
      </c>
      <c r="K2110" s="77" t="s">
        <v>1522</v>
      </c>
      <c r="L2110" s="77" t="s">
        <v>4307</v>
      </c>
      <c r="M2110" s="77" t="s">
        <v>82</v>
      </c>
      <c r="N2110" s="77" t="s">
        <v>83</v>
      </c>
      <c r="Q2110" s="77" t="s">
        <v>111</v>
      </c>
      <c r="S2110" s="77" t="s">
        <v>111</v>
      </c>
      <c r="U2110" s="77" t="s">
        <v>85</v>
      </c>
      <c r="V2110" s="80" t="s">
        <v>272</v>
      </c>
      <c r="X2110" s="77" t="s">
        <v>273</v>
      </c>
      <c r="Y2110" s="78" t="s">
        <v>101</v>
      </c>
      <c r="AB2110" s="77" t="s">
        <v>1521</v>
      </c>
      <c r="AC2110" s="77" t="s">
        <v>90</v>
      </c>
      <c r="AD2110" s="77" t="s">
        <v>274</v>
      </c>
      <c r="AE2110" s="77" t="s">
        <v>4034</v>
      </c>
    </row>
    <row r="2111" spans="1:32" x14ac:dyDescent="0.3">
      <c r="A2111" s="77" t="s">
        <v>4308</v>
      </c>
      <c r="B2111" s="77" t="s">
        <v>4309</v>
      </c>
      <c r="G2111" s="77" t="s">
        <v>4032</v>
      </c>
      <c r="H2111" s="77" t="s">
        <v>77</v>
      </c>
      <c r="I2111" s="77" t="s">
        <v>1521</v>
      </c>
      <c r="J2111" s="77" t="s">
        <v>79</v>
      </c>
      <c r="K2111" s="77" t="s">
        <v>1522</v>
      </c>
      <c r="L2111" s="77" t="s">
        <v>4310</v>
      </c>
      <c r="M2111" s="77" t="s">
        <v>82</v>
      </c>
      <c r="N2111" s="77" t="s">
        <v>83</v>
      </c>
      <c r="Q2111" s="77" t="s">
        <v>111</v>
      </c>
      <c r="S2111" s="77" t="s">
        <v>111</v>
      </c>
      <c r="U2111" s="77" t="s">
        <v>85</v>
      </c>
      <c r="V2111" s="80" t="s">
        <v>272</v>
      </c>
      <c r="X2111" s="77" t="s">
        <v>273</v>
      </c>
      <c r="Y2111" s="78" t="s">
        <v>101</v>
      </c>
      <c r="AB2111" s="77" t="s">
        <v>1521</v>
      </c>
      <c r="AC2111" s="77" t="s">
        <v>90</v>
      </c>
      <c r="AD2111" s="77" t="s">
        <v>274</v>
      </c>
      <c r="AE2111" s="77" t="s">
        <v>4034</v>
      </c>
    </row>
    <row r="2112" spans="1:32" x14ac:dyDescent="0.3">
      <c r="A2112" s="77" t="s">
        <v>4311</v>
      </c>
      <c r="B2112" s="77" t="s">
        <v>4312</v>
      </c>
      <c r="G2112" s="77" t="s">
        <v>4032</v>
      </c>
      <c r="H2112" s="77" t="s">
        <v>77</v>
      </c>
      <c r="I2112" s="77" t="s">
        <v>1521</v>
      </c>
      <c r="J2112" s="77" t="s">
        <v>79</v>
      </c>
      <c r="K2112" s="77" t="s">
        <v>1522</v>
      </c>
      <c r="L2112" s="77" t="s">
        <v>4313</v>
      </c>
      <c r="M2112" s="77" t="s">
        <v>82</v>
      </c>
      <c r="N2112" s="77" t="s">
        <v>83</v>
      </c>
      <c r="Q2112" s="77" t="s">
        <v>111</v>
      </c>
      <c r="S2112" s="77" t="s">
        <v>111</v>
      </c>
      <c r="U2112" s="77" t="s">
        <v>85</v>
      </c>
      <c r="V2112" s="80" t="s">
        <v>272</v>
      </c>
      <c r="X2112" s="77" t="s">
        <v>273</v>
      </c>
      <c r="Y2112" s="78" t="s">
        <v>101</v>
      </c>
      <c r="AB2112" s="77" t="s">
        <v>1521</v>
      </c>
      <c r="AC2112" s="77" t="s">
        <v>90</v>
      </c>
      <c r="AD2112" s="77" t="s">
        <v>274</v>
      </c>
      <c r="AE2112" s="77" t="s">
        <v>4034</v>
      </c>
    </row>
    <row r="2113" spans="1:31" x14ac:dyDescent="0.3">
      <c r="A2113" s="77" t="s">
        <v>4314</v>
      </c>
      <c r="B2113" s="77" t="s">
        <v>4315</v>
      </c>
      <c r="G2113" s="77" t="s">
        <v>4032</v>
      </c>
      <c r="H2113" s="77" t="s">
        <v>77</v>
      </c>
      <c r="I2113" s="77" t="s">
        <v>1521</v>
      </c>
      <c r="J2113" s="77" t="s">
        <v>79</v>
      </c>
      <c r="K2113" s="77" t="s">
        <v>1522</v>
      </c>
      <c r="L2113" s="77" t="s">
        <v>4316</v>
      </c>
      <c r="M2113" s="77" t="s">
        <v>82</v>
      </c>
      <c r="N2113" s="77" t="s">
        <v>83</v>
      </c>
      <c r="Q2113" s="77" t="s">
        <v>111</v>
      </c>
      <c r="S2113" s="77" t="s">
        <v>111</v>
      </c>
      <c r="U2113" s="77" t="s">
        <v>85</v>
      </c>
      <c r="V2113" s="80" t="s">
        <v>272</v>
      </c>
      <c r="X2113" s="77" t="s">
        <v>273</v>
      </c>
      <c r="Y2113" s="78" t="s">
        <v>101</v>
      </c>
      <c r="AB2113" s="77" t="s">
        <v>1521</v>
      </c>
      <c r="AC2113" s="77" t="s">
        <v>90</v>
      </c>
      <c r="AD2113" s="77" t="s">
        <v>274</v>
      </c>
      <c r="AE2113" s="77" t="s">
        <v>4034</v>
      </c>
    </row>
    <row r="2114" spans="1:31" x14ac:dyDescent="0.3">
      <c r="A2114" s="77" t="s">
        <v>2941</v>
      </c>
      <c r="B2114" s="77" t="s">
        <v>2942</v>
      </c>
      <c r="G2114" s="77" t="s">
        <v>2943</v>
      </c>
      <c r="H2114" s="77" t="s">
        <v>77</v>
      </c>
      <c r="I2114" s="77" t="s">
        <v>2944</v>
      </c>
      <c r="J2114" s="77" t="s">
        <v>79</v>
      </c>
      <c r="K2114" s="77" t="s">
        <v>2945</v>
      </c>
      <c r="L2114" s="77" t="s">
        <v>2946</v>
      </c>
      <c r="M2114" s="77" t="s">
        <v>82</v>
      </c>
      <c r="N2114" s="77" t="s">
        <v>83</v>
      </c>
      <c r="Q2114" s="77" t="s">
        <v>188</v>
      </c>
      <c r="T2114" s="77" t="s">
        <v>1666</v>
      </c>
      <c r="U2114" s="77" t="s">
        <v>85</v>
      </c>
      <c r="V2114" s="80" t="s">
        <v>665</v>
      </c>
      <c r="X2114" s="77" t="s">
        <v>666</v>
      </c>
      <c r="Y2114" s="78" t="s">
        <v>88</v>
      </c>
      <c r="AA2114" s="77" t="s">
        <v>2947</v>
      </c>
      <c r="AB2114" s="77" t="s">
        <v>2944</v>
      </c>
      <c r="AC2114" s="77" t="s">
        <v>90</v>
      </c>
      <c r="AD2114" s="77" t="s">
        <v>91</v>
      </c>
      <c r="AE2114" s="77" t="s">
        <v>2948</v>
      </c>
    </row>
    <row r="2115" spans="1:31" x14ac:dyDescent="0.3">
      <c r="A2115" s="77" t="s">
        <v>2949</v>
      </c>
      <c r="B2115" s="77" t="s">
        <v>2950</v>
      </c>
      <c r="G2115" s="77" t="s">
        <v>2943</v>
      </c>
      <c r="H2115" s="77" t="s">
        <v>77</v>
      </c>
      <c r="I2115" s="77" t="s">
        <v>2944</v>
      </c>
      <c r="J2115" s="77" t="s">
        <v>79</v>
      </c>
      <c r="K2115" s="77" t="s">
        <v>2945</v>
      </c>
      <c r="L2115" s="77" t="s">
        <v>2946</v>
      </c>
      <c r="M2115" s="77" t="s">
        <v>82</v>
      </c>
      <c r="N2115" s="77" t="s">
        <v>83</v>
      </c>
      <c r="Q2115" s="77" t="s">
        <v>188</v>
      </c>
      <c r="T2115" s="77" t="s">
        <v>1666</v>
      </c>
      <c r="U2115" s="77" t="s">
        <v>85</v>
      </c>
      <c r="V2115" s="80" t="s">
        <v>665</v>
      </c>
      <c r="X2115" s="77" t="s">
        <v>666</v>
      </c>
      <c r="Y2115" s="78" t="s">
        <v>88</v>
      </c>
      <c r="AA2115" s="77" t="s">
        <v>2947</v>
      </c>
      <c r="AB2115" s="77" t="s">
        <v>2944</v>
      </c>
      <c r="AC2115" s="77" t="s">
        <v>90</v>
      </c>
      <c r="AD2115" s="77" t="s">
        <v>91</v>
      </c>
      <c r="AE2115" s="77" t="s">
        <v>2948</v>
      </c>
    </row>
    <row r="2116" spans="1:31" x14ac:dyDescent="0.3">
      <c r="A2116" s="77" t="s">
        <v>2951</v>
      </c>
      <c r="B2116" s="77" t="s">
        <v>2952</v>
      </c>
      <c r="G2116" s="77" t="s">
        <v>2943</v>
      </c>
      <c r="H2116" s="77" t="s">
        <v>77</v>
      </c>
      <c r="I2116" s="77" t="s">
        <v>2944</v>
      </c>
      <c r="J2116" s="77" t="s">
        <v>79</v>
      </c>
      <c r="K2116" s="77" t="s">
        <v>2945</v>
      </c>
      <c r="L2116" s="77" t="s">
        <v>2946</v>
      </c>
      <c r="M2116" s="77" t="s">
        <v>82</v>
      </c>
      <c r="N2116" s="77" t="s">
        <v>83</v>
      </c>
      <c r="Q2116" s="77" t="s">
        <v>188</v>
      </c>
      <c r="T2116" s="77" t="s">
        <v>1666</v>
      </c>
      <c r="U2116" s="77" t="s">
        <v>85</v>
      </c>
      <c r="V2116" s="80" t="s">
        <v>665</v>
      </c>
      <c r="X2116" s="77" t="s">
        <v>666</v>
      </c>
      <c r="Y2116" s="78" t="s">
        <v>88</v>
      </c>
      <c r="AA2116" s="77" t="s">
        <v>2947</v>
      </c>
      <c r="AB2116" s="77" t="s">
        <v>2944</v>
      </c>
      <c r="AC2116" s="77" t="s">
        <v>90</v>
      </c>
      <c r="AD2116" s="77" t="s">
        <v>91</v>
      </c>
      <c r="AE2116" s="77" t="s">
        <v>2948</v>
      </c>
    </row>
    <row r="2117" spans="1:31" x14ac:dyDescent="0.3">
      <c r="A2117" s="77" t="s">
        <v>2953</v>
      </c>
      <c r="B2117" s="77" t="s">
        <v>2954</v>
      </c>
      <c r="G2117" s="77" t="s">
        <v>2943</v>
      </c>
      <c r="H2117" s="77" t="s">
        <v>77</v>
      </c>
      <c r="I2117" s="77" t="s">
        <v>2944</v>
      </c>
      <c r="J2117" s="77" t="s">
        <v>79</v>
      </c>
      <c r="K2117" s="77" t="s">
        <v>2945</v>
      </c>
      <c r="L2117" s="77" t="s">
        <v>2946</v>
      </c>
      <c r="M2117" s="77" t="s">
        <v>82</v>
      </c>
      <c r="N2117" s="77" t="s">
        <v>83</v>
      </c>
      <c r="Q2117" s="77" t="s">
        <v>188</v>
      </c>
      <c r="T2117" s="77" t="s">
        <v>1666</v>
      </c>
      <c r="U2117" s="77" t="s">
        <v>85</v>
      </c>
      <c r="V2117" s="80" t="s">
        <v>665</v>
      </c>
      <c r="X2117" s="77" t="s">
        <v>666</v>
      </c>
      <c r="Y2117" s="78" t="s">
        <v>88</v>
      </c>
      <c r="AA2117" s="77" t="s">
        <v>2947</v>
      </c>
      <c r="AB2117" s="77" t="s">
        <v>2944</v>
      </c>
      <c r="AC2117" s="77" t="s">
        <v>90</v>
      </c>
      <c r="AD2117" s="77" t="s">
        <v>91</v>
      </c>
      <c r="AE2117" s="77" t="s">
        <v>2948</v>
      </c>
    </row>
    <row r="2118" spans="1:31" x14ac:dyDescent="0.3">
      <c r="A2118" s="77" t="s">
        <v>2955</v>
      </c>
      <c r="B2118" s="77" t="s">
        <v>2956</v>
      </c>
      <c r="G2118" s="77" t="s">
        <v>2943</v>
      </c>
      <c r="H2118" s="77" t="s">
        <v>77</v>
      </c>
      <c r="I2118" s="77" t="s">
        <v>2944</v>
      </c>
      <c r="J2118" s="77" t="s">
        <v>79</v>
      </c>
      <c r="K2118" s="77" t="s">
        <v>2945</v>
      </c>
      <c r="L2118" s="77" t="s">
        <v>2957</v>
      </c>
      <c r="M2118" s="77" t="s">
        <v>82</v>
      </c>
      <c r="N2118" s="77" t="s">
        <v>83</v>
      </c>
      <c r="Q2118" s="77" t="s">
        <v>188</v>
      </c>
      <c r="T2118" s="77" t="s">
        <v>1666</v>
      </c>
      <c r="U2118" s="77" t="s">
        <v>85</v>
      </c>
      <c r="V2118" s="80" t="s">
        <v>673</v>
      </c>
      <c r="X2118" s="77" t="s">
        <v>674</v>
      </c>
      <c r="Y2118" s="78" t="s">
        <v>101</v>
      </c>
      <c r="AA2118" s="77" t="s">
        <v>2947</v>
      </c>
      <c r="AB2118" s="77" t="s">
        <v>2944</v>
      </c>
      <c r="AC2118" s="77" t="s">
        <v>90</v>
      </c>
      <c r="AD2118" s="77" t="s">
        <v>102</v>
      </c>
      <c r="AE2118" s="77" t="s">
        <v>2948</v>
      </c>
    </row>
    <row r="2119" spans="1:31" x14ac:dyDescent="0.3">
      <c r="A2119" s="77" t="s">
        <v>2958</v>
      </c>
      <c r="B2119" s="77" t="s">
        <v>2959</v>
      </c>
      <c r="G2119" s="77" t="s">
        <v>2943</v>
      </c>
      <c r="H2119" s="77" t="s">
        <v>77</v>
      </c>
      <c r="I2119" s="77" t="s">
        <v>2944</v>
      </c>
      <c r="J2119" s="77" t="s">
        <v>79</v>
      </c>
      <c r="K2119" s="77" t="s">
        <v>2945</v>
      </c>
      <c r="L2119" s="77" t="s">
        <v>2957</v>
      </c>
      <c r="M2119" s="77" t="s">
        <v>82</v>
      </c>
      <c r="N2119" s="77" t="s">
        <v>83</v>
      </c>
      <c r="Q2119" s="77" t="s">
        <v>188</v>
      </c>
      <c r="T2119" s="77" t="s">
        <v>1666</v>
      </c>
      <c r="U2119" s="77" t="s">
        <v>85</v>
      </c>
      <c r="V2119" s="80" t="s">
        <v>673</v>
      </c>
      <c r="X2119" s="77" t="s">
        <v>674</v>
      </c>
      <c r="Y2119" s="78" t="s">
        <v>101</v>
      </c>
      <c r="AA2119" s="77" t="s">
        <v>2947</v>
      </c>
      <c r="AB2119" s="77" t="s">
        <v>2944</v>
      </c>
      <c r="AC2119" s="77" t="s">
        <v>90</v>
      </c>
      <c r="AD2119" s="77" t="s">
        <v>102</v>
      </c>
      <c r="AE2119" s="77" t="s">
        <v>2948</v>
      </c>
    </row>
    <row r="2120" spans="1:31" x14ac:dyDescent="0.3">
      <c r="A2120" s="77" t="s">
        <v>2960</v>
      </c>
      <c r="B2120" s="77" t="s">
        <v>2961</v>
      </c>
      <c r="G2120" s="77" t="s">
        <v>2943</v>
      </c>
      <c r="H2120" s="77" t="s">
        <v>77</v>
      </c>
      <c r="I2120" s="77" t="s">
        <v>2944</v>
      </c>
      <c r="J2120" s="77" t="s">
        <v>79</v>
      </c>
      <c r="K2120" s="77" t="s">
        <v>2945</v>
      </c>
      <c r="L2120" s="77" t="s">
        <v>2957</v>
      </c>
      <c r="M2120" s="77" t="s">
        <v>82</v>
      </c>
      <c r="N2120" s="77" t="s">
        <v>83</v>
      </c>
      <c r="Q2120" s="77" t="s">
        <v>188</v>
      </c>
      <c r="T2120" s="77" t="s">
        <v>1666</v>
      </c>
      <c r="U2120" s="77" t="s">
        <v>85</v>
      </c>
      <c r="V2120" s="80" t="s">
        <v>673</v>
      </c>
      <c r="X2120" s="77" t="s">
        <v>674</v>
      </c>
      <c r="Y2120" s="78" t="s">
        <v>101</v>
      </c>
      <c r="AA2120" s="77" t="s">
        <v>2947</v>
      </c>
      <c r="AB2120" s="77" t="s">
        <v>2944</v>
      </c>
      <c r="AC2120" s="77" t="s">
        <v>90</v>
      </c>
      <c r="AD2120" s="77" t="s">
        <v>102</v>
      </c>
      <c r="AE2120" s="77" t="s">
        <v>2948</v>
      </c>
    </row>
    <row r="2121" spans="1:31" x14ac:dyDescent="0.3">
      <c r="A2121" s="77" t="s">
        <v>2962</v>
      </c>
      <c r="B2121" s="77" t="s">
        <v>2963</v>
      </c>
      <c r="G2121" s="77" t="s">
        <v>2943</v>
      </c>
      <c r="H2121" s="77" t="s">
        <v>77</v>
      </c>
      <c r="I2121" s="77" t="s">
        <v>2944</v>
      </c>
      <c r="J2121" s="77" t="s">
        <v>79</v>
      </c>
      <c r="K2121" s="77" t="s">
        <v>2945</v>
      </c>
      <c r="L2121" s="77" t="s">
        <v>2957</v>
      </c>
      <c r="M2121" s="77" t="s">
        <v>82</v>
      </c>
      <c r="N2121" s="77" t="s">
        <v>83</v>
      </c>
      <c r="Q2121" s="77" t="s">
        <v>188</v>
      </c>
      <c r="T2121" s="77" t="s">
        <v>1666</v>
      </c>
      <c r="U2121" s="77" t="s">
        <v>85</v>
      </c>
      <c r="V2121" s="80" t="s">
        <v>673</v>
      </c>
      <c r="X2121" s="77" t="s">
        <v>674</v>
      </c>
      <c r="Y2121" s="78" t="s">
        <v>101</v>
      </c>
      <c r="AA2121" s="77" t="s">
        <v>2947</v>
      </c>
      <c r="AB2121" s="77" t="s">
        <v>2944</v>
      </c>
      <c r="AC2121" s="77" t="s">
        <v>90</v>
      </c>
      <c r="AD2121" s="77" t="s">
        <v>102</v>
      </c>
      <c r="AE2121" s="77" t="s">
        <v>2948</v>
      </c>
    </row>
    <row r="2122" spans="1:31" x14ac:dyDescent="0.3">
      <c r="A2122" s="77" t="s">
        <v>2964</v>
      </c>
      <c r="B2122" s="77" t="s">
        <v>2965</v>
      </c>
      <c r="G2122" s="77" t="s">
        <v>2943</v>
      </c>
      <c r="H2122" s="77" t="s">
        <v>77</v>
      </c>
      <c r="I2122" s="77" t="s">
        <v>2944</v>
      </c>
      <c r="J2122" s="77" t="s">
        <v>79</v>
      </c>
      <c r="K2122" s="77" t="s">
        <v>2945</v>
      </c>
      <c r="L2122" s="77" t="s">
        <v>2966</v>
      </c>
      <c r="M2122" s="77" t="s">
        <v>82</v>
      </c>
      <c r="N2122" s="77" t="s">
        <v>83</v>
      </c>
      <c r="Q2122" s="77" t="s">
        <v>188</v>
      </c>
      <c r="T2122" s="77" t="s">
        <v>1666</v>
      </c>
      <c r="U2122" s="77" t="s">
        <v>85</v>
      </c>
      <c r="V2122" s="80" t="s">
        <v>681</v>
      </c>
      <c r="X2122" s="77" t="s">
        <v>682</v>
      </c>
      <c r="Y2122" s="78" t="s">
        <v>101</v>
      </c>
      <c r="AA2122" s="77" t="s">
        <v>2947</v>
      </c>
      <c r="AB2122" s="77" t="s">
        <v>2944</v>
      </c>
      <c r="AC2122" s="77" t="s">
        <v>90</v>
      </c>
      <c r="AD2122" s="77" t="s">
        <v>102</v>
      </c>
      <c r="AE2122" s="77" t="s">
        <v>2948</v>
      </c>
    </row>
    <row r="2123" spans="1:31" x14ac:dyDescent="0.3">
      <c r="A2123" s="77" t="s">
        <v>2967</v>
      </c>
      <c r="B2123" s="77" t="s">
        <v>2968</v>
      </c>
      <c r="G2123" s="77" t="s">
        <v>2943</v>
      </c>
      <c r="H2123" s="77" t="s">
        <v>77</v>
      </c>
      <c r="I2123" s="77" t="s">
        <v>2944</v>
      </c>
      <c r="J2123" s="77" t="s">
        <v>79</v>
      </c>
      <c r="K2123" s="77" t="s">
        <v>2945</v>
      </c>
      <c r="L2123" s="77" t="s">
        <v>2966</v>
      </c>
      <c r="M2123" s="77" t="s">
        <v>82</v>
      </c>
      <c r="N2123" s="77" t="s">
        <v>83</v>
      </c>
      <c r="Q2123" s="77" t="s">
        <v>188</v>
      </c>
      <c r="T2123" s="77" t="s">
        <v>1666</v>
      </c>
      <c r="U2123" s="77" t="s">
        <v>85</v>
      </c>
      <c r="V2123" s="80" t="s">
        <v>681</v>
      </c>
      <c r="X2123" s="77" t="s">
        <v>682</v>
      </c>
      <c r="Y2123" s="78" t="s">
        <v>101</v>
      </c>
      <c r="AA2123" s="77" t="s">
        <v>2947</v>
      </c>
      <c r="AB2123" s="77" t="s">
        <v>2944</v>
      </c>
      <c r="AC2123" s="77" t="s">
        <v>90</v>
      </c>
      <c r="AD2123" s="77" t="s">
        <v>102</v>
      </c>
      <c r="AE2123" s="77" t="s">
        <v>2948</v>
      </c>
    </row>
    <row r="2124" spans="1:31" x14ac:dyDescent="0.3">
      <c r="A2124" s="77" t="s">
        <v>2969</v>
      </c>
      <c r="B2124" s="77" t="s">
        <v>2970</v>
      </c>
      <c r="G2124" s="77" t="s">
        <v>2943</v>
      </c>
      <c r="H2124" s="77" t="s">
        <v>77</v>
      </c>
      <c r="I2124" s="77" t="s">
        <v>2944</v>
      </c>
      <c r="J2124" s="77" t="s">
        <v>79</v>
      </c>
      <c r="K2124" s="77" t="s">
        <v>2945</v>
      </c>
      <c r="L2124" s="77" t="s">
        <v>2966</v>
      </c>
      <c r="M2124" s="77" t="s">
        <v>82</v>
      </c>
      <c r="N2124" s="77" t="s">
        <v>83</v>
      </c>
      <c r="Q2124" s="77" t="s">
        <v>188</v>
      </c>
      <c r="T2124" s="77" t="s">
        <v>1666</v>
      </c>
      <c r="U2124" s="77" t="s">
        <v>85</v>
      </c>
      <c r="V2124" s="80" t="s">
        <v>681</v>
      </c>
      <c r="X2124" s="77" t="s">
        <v>682</v>
      </c>
      <c r="Y2124" s="78" t="s">
        <v>101</v>
      </c>
      <c r="AA2124" s="77" t="s">
        <v>2947</v>
      </c>
      <c r="AB2124" s="77" t="s">
        <v>2944</v>
      </c>
      <c r="AC2124" s="77" t="s">
        <v>90</v>
      </c>
      <c r="AD2124" s="77" t="s">
        <v>102</v>
      </c>
      <c r="AE2124" s="77" t="s">
        <v>2948</v>
      </c>
    </row>
    <row r="2125" spans="1:31" x14ac:dyDescent="0.3">
      <c r="A2125" s="77" t="s">
        <v>2971</v>
      </c>
      <c r="B2125" s="77" t="s">
        <v>2972</v>
      </c>
      <c r="G2125" s="77" t="s">
        <v>2943</v>
      </c>
      <c r="H2125" s="77" t="s">
        <v>77</v>
      </c>
      <c r="I2125" s="77" t="s">
        <v>2944</v>
      </c>
      <c r="J2125" s="77" t="s">
        <v>79</v>
      </c>
      <c r="K2125" s="77" t="s">
        <v>2945</v>
      </c>
      <c r="L2125" s="77" t="s">
        <v>2966</v>
      </c>
      <c r="M2125" s="77" t="s">
        <v>82</v>
      </c>
      <c r="N2125" s="77" t="s">
        <v>83</v>
      </c>
      <c r="Q2125" s="77" t="s">
        <v>188</v>
      </c>
      <c r="T2125" s="77" t="s">
        <v>1666</v>
      </c>
      <c r="U2125" s="77" t="s">
        <v>85</v>
      </c>
      <c r="V2125" s="80" t="s">
        <v>681</v>
      </c>
      <c r="X2125" s="77" t="s">
        <v>682</v>
      </c>
      <c r="Y2125" s="78" t="s">
        <v>101</v>
      </c>
      <c r="AA2125" s="77" t="s">
        <v>2947</v>
      </c>
      <c r="AB2125" s="77" t="s">
        <v>2944</v>
      </c>
      <c r="AC2125" s="77" t="s">
        <v>90</v>
      </c>
      <c r="AD2125" s="77" t="s">
        <v>102</v>
      </c>
      <c r="AE2125" s="77" t="s">
        <v>2948</v>
      </c>
    </row>
    <row r="2126" spans="1:31" x14ac:dyDescent="0.3">
      <c r="A2126" s="77" t="s">
        <v>2973</v>
      </c>
      <c r="B2126" s="77" t="s">
        <v>2974</v>
      </c>
      <c r="G2126" s="77" t="s">
        <v>2943</v>
      </c>
      <c r="H2126" s="77" t="s">
        <v>77</v>
      </c>
      <c r="I2126" s="77" t="s">
        <v>2944</v>
      </c>
      <c r="J2126" s="77" t="s">
        <v>79</v>
      </c>
      <c r="K2126" s="77" t="s">
        <v>2945</v>
      </c>
      <c r="L2126" s="77" t="s">
        <v>2096</v>
      </c>
      <c r="M2126" s="77" t="s">
        <v>82</v>
      </c>
      <c r="N2126" s="77" t="s">
        <v>83</v>
      </c>
      <c r="Q2126" s="77" t="s">
        <v>188</v>
      </c>
      <c r="T2126" s="77" t="s">
        <v>1666</v>
      </c>
      <c r="U2126" s="77" t="s">
        <v>85</v>
      </c>
      <c r="V2126" s="80" t="s">
        <v>231</v>
      </c>
      <c r="X2126" s="77" t="s">
        <v>232</v>
      </c>
      <c r="Y2126" s="78" t="s">
        <v>88</v>
      </c>
      <c r="AA2126" s="77" t="s">
        <v>2947</v>
      </c>
      <c r="AB2126" s="77" t="s">
        <v>2944</v>
      </c>
      <c r="AC2126" s="77" t="s">
        <v>90</v>
      </c>
      <c r="AD2126" s="77" t="s">
        <v>91</v>
      </c>
      <c r="AE2126" s="77" t="s">
        <v>2948</v>
      </c>
    </row>
    <row r="2127" spans="1:31" x14ac:dyDescent="0.3">
      <c r="A2127" s="77" t="s">
        <v>2975</v>
      </c>
      <c r="B2127" s="77" t="s">
        <v>2976</v>
      </c>
      <c r="G2127" s="77" t="s">
        <v>2943</v>
      </c>
      <c r="H2127" s="77" t="s">
        <v>77</v>
      </c>
      <c r="I2127" s="77" t="s">
        <v>2944</v>
      </c>
      <c r="J2127" s="77" t="s">
        <v>79</v>
      </c>
      <c r="K2127" s="77" t="s">
        <v>2945</v>
      </c>
      <c r="L2127" s="77" t="s">
        <v>2114</v>
      </c>
      <c r="M2127" s="77" t="s">
        <v>82</v>
      </c>
      <c r="N2127" s="77" t="s">
        <v>83</v>
      </c>
      <c r="Q2127" s="77" t="s">
        <v>188</v>
      </c>
      <c r="T2127" s="77" t="s">
        <v>1666</v>
      </c>
      <c r="U2127" s="77" t="s">
        <v>85</v>
      </c>
      <c r="V2127" s="80" t="s">
        <v>231</v>
      </c>
      <c r="X2127" s="77" t="s">
        <v>232</v>
      </c>
      <c r="Y2127" s="78" t="s">
        <v>88</v>
      </c>
      <c r="AA2127" s="77" t="s">
        <v>2947</v>
      </c>
      <c r="AB2127" s="77" t="s">
        <v>2944</v>
      </c>
      <c r="AC2127" s="77" t="s">
        <v>90</v>
      </c>
      <c r="AD2127" s="77" t="s">
        <v>91</v>
      </c>
      <c r="AE2127" s="77" t="s">
        <v>2948</v>
      </c>
    </row>
    <row r="2128" spans="1:31" x14ac:dyDescent="0.3">
      <c r="A2128" s="77" t="s">
        <v>2977</v>
      </c>
      <c r="B2128" s="77" t="s">
        <v>2978</v>
      </c>
      <c r="G2128" s="77" t="s">
        <v>2943</v>
      </c>
      <c r="H2128" s="77" t="s">
        <v>77</v>
      </c>
      <c r="I2128" s="77" t="s">
        <v>2944</v>
      </c>
      <c r="J2128" s="77" t="s">
        <v>79</v>
      </c>
      <c r="K2128" s="77" t="s">
        <v>2945</v>
      </c>
      <c r="L2128" s="77" t="s">
        <v>2096</v>
      </c>
      <c r="M2128" s="77" t="s">
        <v>82</v>
      </c>
      <c r="N2128" s="77" t="s">
        <v>83</v>
      </c>
      <c r="Q2128" s="77" t="s">
        <v>188</v>
      </c>
      <c r="T2128" s="77" t="s">
        <v>1666</v>
      </c>
      <c r="U2128" s="77" t="s">
        <v>85</v>
      </c>
      <c r="V2128" s="80" t="s">
        <v>231</v>
      </c>
      <c r="X2128" s="77" t="s">
        <v>232</v>
      </c>
      <c r="Y2128" s="78" t="s">
        <v>88</v>
      </c>
      <c r="AA2128" s="77" t="s">
        <v>2947</v>
      </c>
      <c r="AB2128" s="77" t="s">
        <v>2944</v>
      </c>
      <c r="AC2128" s="77" t="s">
        <v>90</v>
      </c>
      <c r="AD2128" s="77" t="s">
        <v>91</v>
      </c>
      <c r="AE2128" s="77" t="s">
        <v>2948</v>
      </c>
    </row>
    <row r="2129" spans="1:31" x14ac:dyDescent="0.3">
      <c r="A2129" s="77" t="s">
        <v>2979</v>
      </c>
      <c r="B2129" s="77" t="s">
        <v>2980</v>
      </c>
      <c r="G2129" s="77" t="s">
        <v>2943</v>
      </c>
      <c r="H2129" s="77" t="s">
        <v>77</v>
      </c>
      <c r="I2129" s="77" t="s">
        <v>2944</v>
      </c>
      <c r="J2129" s="77" t="s">
        <v>79</v>
      </c>
      <c r="K2129" s="77" t="s">
        <v>2945</v>
      </c>
      <c r="L2129" s="77" t="s">
        <v>2114</v>
      </c>
      <c r="M2129" s="77" t="s">
        <v>82</v>
      </c>
      <c r="N2129" s="77" t="s">
        <v>83</v>
      </c>
      <c r="Q2129" s="77" t="s">
        <v>188</v>
      </c>
      <c r="T2129" s="77" t="s">
        <v>1666</v>
      </c>
      <c r="U2129" s="77" t="s">
        <v>85</v>
      </c>
      <c r="V2129" s="80" t="s">
        <v>231</v>
      </c>
      <c r="X2129" s="77" t="s">
        <v>232</v>
      </c>
      <c r="Y2129" s="78" t="s">
        <v>88</v>
      </c>
      <c r="AA2129" s="77" t="s">
        <v>2947</v>
      </c>
      <c r="AB2129" s="77" t="s">
        <v>2944</v>
      </c>
      <c r="AC2129" s="77" t="s">
        <v>90</v>
      </c>
      <c r="AD2129" s="77" t="s">
        <v>91</v>
      </c>
      <c r="AE2129" s="77" t="s">
        <v>2948</v>
      </c>
    </row>
    <row r="2130" spans="1:31" x14ac:dyDescent="0.3">
      <c r="A2130" s="77" t="s">
        <v>2981</v>
      </c>
      <c r="B2130" s="77" t="s">
        <v>2982</v>
      </c>
      <c r="G2130" s="77" t="s">
        <v>2943</v>
      </c>
      <c r="H2130" s="77" t="s">
        <v>77</v>
      </c>
      <c r="I2130" s="77" t="s">
        <v>2944</v>
      </c>
      <c r="J2130" s="77" t="s">
        <v>79</v>
      </c>
      <c r="K2130" s="77" t="s">
        <v>2945</v>
      </c>
      <c r="L2130" s="77" t="s">
        <v>2096</v>
      </c>
      <c r="M2130" s="77" t="s">
        <v>82</v>
      </c>
      <c r="N2130" s="77" t="s">
        <v>83</v>
      </c>
      <c r="Q2130" s="77" t="s">
        <v>188</v>
      </c>
      <c r="T2130" s="77" t="s">
        <v>1666</v>
      </c>
      <c r="U2130" s="77" t="s">
        <v>85</v>
      </c>
      <c r="V2130" s="80" t="s">
        <v>231</v>
      </c>
      <c r="X2130" s="77" t="s">
        <v>232</v>
      </c>
      <c r="Y2130" s="78" t="s">
        <v>88</v>
      </c>
      <c r="AA2130" s="77" t="s">
        <v>2947</v>
      </c>
      <c r="AB2130" s="77" t="s">
        <v>2944</v>
      </c>
      <c r="AC2130" s="77" t="s">
        <v>90</v>
      </c>
      <c r="AD2130" s="77" t="s">
        <v>91</v>
      </c>
      <c r="AE2130" s="77" t="s">
        <v>2948</v>
      </c>
    </row>
    <row r="2131" spans="1:31" x14ac:dyDescent="0.3">
      <c r="A2131" s="77" t="s">
        <v>2983</v>
      </c>
      <c r="B2131" s="77" t="s">
        <v>2984</v>
      </c>
      <c r="G2131" s="77" t="s">
        <v>2943</v>
      </c>
      <c r="H2131" s="77" t="s">
        <v>77</v>
      </c>
      <c r="I2131" s="77" t="s">
        <v>2944</v>
      </c>
      <c r="J2131" s="77" t="s">
        <v>79</v>
      </c>
      <c r="K2131" s="77" t="s">
        <v>2945</v>
      </c>
      <c r="L2131" s="77" t="s">
        <v>2114</v>
      </c>
      <c r="M2131" s="77" t="s">
        <v>82</v>
      </c>
      <c r="N2131" s="77" t="s">
        <v>83</v>
      </c>
      <c r="Q2131" s="77" t="s">
        <v>188</v>
      </c>
      <c r="T2131" s="77" t="s">
        <v>1666</v>
      </c>
      <c r="U2131" s="77" t="s">
        <v>85</v>
      </c>
      <c r="V2131" s="80" t="s">
        <v>231</v>
      </c>
      <c r="X2131" s="77" t="s">
        <v>232</v>
      </c>
      <c r="Y2131" s="78" t="s">
        <v>88</v>
      </c>
      <c r="AA2131" s="77" t="s">
        <v>2947</v>
      </c>
      <c r="AB2131" s="77" t="s">
        <v>2944</v>
      </c>
      <c r="AC2131" s="77" t="s">
        <v>90</v>
      </c>
      <c r="AD2131" s="77" t="s">
        <v>91</v>
      </c>
      <c r="AE2131" s="77" t="s">
        <v>2948</v>
      </c>
    </row>
    <row r="2132" spans="1:31" x14ac:dyDescent="0.3">
      <c r="A2132" s="77" t="s">
        <v>2985</v>
      </c>
      <c r="B2132" s="77" t="s">
        <v>2986</v>
      </c>
      <c r="G2132" s="77" t="s">
        <v>2943</v>
      </c>
      <c r="H2132" s="77" t="s">
        <v>77</v>
      </c>
      <c r="I2132" s="77" t="s">
        <v>2944</v>
      </c>
      <c r="J2132" s="77" t="s">
        <v>79</v>
      </c>
      <c r="K2132" s="77" t="s">
        <v>2945</v>
      </c>
      <c r="L2132" s="77" t="s">
        <v>2987</v>
      </c>
      <c r="M2132" s="77" t="s">
        <v>82</v>
      </c>
      <c r="N2132" s="77" t="s">
        <v>83</v>
      </c>
      <c r="Q2132" s="77" t="s">
        <v>188</v>
      </c>
      <c r="T2132" s="77" t="s">
        <v>1666</v>
      </c>
      <c r="U2132" s="77" t="s">
        <v>85</v>
      </c>
      <c r="V2132" s="80" t="s">
        <v>211</v>
      </c>
      <c r="X2132" s="77" t="s">
        <v>212</v>
      </c>
      <c r="Y2132" s="78" t="s">
        <v>88</v>
      </c>
      <c r="AA2132" s="77" t="s">
        <v>2947</v>
      </c>
      <c r="AB2132" s="77" t="s">
        <v>2944</v>
      </c>
      <c r="AC2132" s="77" t="s">
        <v>90</v>
      </c>
      <c r="AD2132" s="77" t="s">
        <v>91</v>
      </c>
      <c r="AE2132" s="77" t="s">
        <v>2948</v>
      </c>
    </row>
    <row r="2133" spans="1:31" x14ac:dyDescent="0.3">
      <c r="A2133" s="77" t="s">
        <v>2988</v>
      </c>
      <c r="B2133" s="77" t="s">
        <v>2989</v>
      </c>
      <c r="G2133" s="77" t="s">
        <v>2943</v>
      </c>
      <c r="H2133" s="77" t="s">
        <v>77</v>
      </c>
      <c r="I2133" s="77" t="s">
        <v>2944</v>
      </c>
      <c r="J2133" s="77" t="s">
        <v>79</v>
      </c>
      <c r="K2133" s="77" t="s">
        <v>2945</v>
      </c>
      <c r="L2133" s="77" t="s">
        <v>2990</v>
      </c>
      <c r="M2133" s="77" t="s">
        <v>82</v>
      </c>
      <c r="N2133" s="77" t="s">
        <v>83</v>
      </c>
      <c r="Q2133" s="77" t="s">
        <v>188</v>
      </c>
      <c r="T2133" s="77" t="s">
        <v>1666</v>
      </c>
      <c r="U2133" s="77" t="s">
        <v>85</v>
      </c>
      <c r="V2133" s="80" t="s">
        <v>216</v>
      </c>
      <c r="X2133" s="77" t="s">
        <v>217</v>
      </c>
      <c r="Y2133" s="78" t="s">
        <v>88</v>
      </c>
      <c r="AA2133" s="77" t="s">
        <v>2947</v>
      </c>
      <c r="AB2133" s="77" t="s">
        <v>2944</v>
      </c>
      <c r="AC2133" s="77" t="s">
        <v>90</v>
      </c>
      <c r="AD2133" s="77" t="s">
        <v>91</v>
      </c>
      <c r="AE2133" s="77" t="s">
        <v>2948</v>
      </c>
    </row>
    <row r="2134" spans="1:31" x14ac:dyDescent="0.3">
      <c r="A2134" s="77" t="s">
        <v>2991</v>
      </c>
      <c r="B2134" s="77" t="s">
        <v>2992</v>
      </c>
      <c r="G2134" s="77" t="s">
        <v>2943</v>
      </c>
      <c r="H2134" s="77" t="s">
        <v>77</v>
      </c>
      <c r="I2134" s="77" t="s">
        <v>2944</v>
      </c>
      <c r="J2134" s="77" t="s">
        <v>79</v>
      </c>
      <c r="K2134" s="77" t="s">
        <v>2945</v>
      </c>
      <c r="L2134" s="77" t="s">
        <v>2993</v>
      </c>
      <c r="M2134" s="77" t="s">
        <v>82</v>
      </c>
      <c r="N2134" s="77" t="s">
        <v>83</v>
      </c>
      <c r="Q2134" s="77" t="s">
        <v>188</v>
      </c>
      <c r="T2134" s="77" t="s">
        <v>1666</v>
      </c>
      <c r="U2134" s="77" t="s">
        <v>85</v>
      </c>
      <c r="V2134" s="80" t="s">
        <v>221</v>
      </c>
      <c r="X2134" s="77" t="s">
        <v>222</v>
      </c>
      <c r="Y2134" s="78" t="s">
        <v>101</v>
      </c>
      <c r="AA2134" s="77" t="s">
        <v>2947</v>
      </c>
      <c r="AB2134" s="77" t="s">
        <v>2944</v>
      </c>
      <c r="AC2134" s="77" t="s">
        <v>90</v>
      </c>
      <c r="AD2134" s="77" t="s">
        <v>102</v>
      </c>
      <c r="AE2134" s="77" t="s">
        <v>2948</v>
      </c>
    </row>
    <row r="2135" spans="1:31" x14ac:dyDescent="0.3">
      <c r="A2135" s="77" t="s">
        <v>2994</v>
      </c>
      <c r="B2135" s="77" t="s">
        <v>2995</v>
      </c>
      <c r="G2135" s="77" t="s">
        <v>2943</v>
      </c>
      <c r="H2135" s="77" t="s">
        <v>77</v>
      </c>
      <c r="I2135" s="77" t="s">
        <v>2944</v>
      </c>
      <c r="J2135" s="77" t="s">
        <v>79</v>
      </c>
      <c r="K2135" s="77" t="s">
        <v>2945</v>
      </c>
      <c r="L2135" s="77" t="s">
        <v>2996</v>
      </c>
      <c r="M2135" s="77" t="s">
        <v>82</v>
      </c>
      <c r="N2135" s="77" t="s">
        <v>83</v>
      </c>
      <c r="Q2135" s="77" t="s">
        <v>188</v>
      </c>
      <c r="T2135" s="77" t="s">
        <v>1666</v>
      </c>
      <c r="U2135" s="77" t="s">
        <v>85</v>
      </c>
      <c r="V2135" s="80" t="s">
        <v>226</v>
      </c>
      <c r="X2135" s="77" t="s">
        <v>227</v>
      </c>
      <c r="Y2135" s="78" t="s">
        <v>101</v>
      </c>
      <c r="AA2135" s="77" t="s">
        <v>2947</v>
      </c>
      <c r="AB2135" s="77" t="s">
        <v>2944</v>
      </c>
      <c r="AC2135" s="77" t="s">
        <v>90</v>
      </c>
      <c r="AD2135" s="77" t="s">
        <v>102</v>
      </c>
      <c r="AE2135" s="77" t="s">
        <v>2948</v>
      </c>
    </row>
    <row r="2136" spans="1:31" x14ac:dyDescent="0.3">
      <c r="A2136" s="77" t="s">
        <v>2997</v>
      </c>
      <c r="B2136" s="77" t="s">
        <v>2998</v>
      </c>
      <c r="G2136" s="77" t="s">
        <v>2943</v>
      </c>
      <c r="H2136" s="77" t="s">
        <v>77</v>
      </c>
      <c r="I2136" s="77" t="s">
        <v>2944</v>
      </c>
      <c r="J2136" s="77" t="s">
        <v>79</v>
      </c>
      <c r="K2136" s="77" t="s">
        <v>2945</v>
      </c>
      <c r="L2136" s="77" t="s">
        <v>2117</v>
      </c>
      <c r="M2136" s="77" t="s">
        <v>82</v>
      </c>
      <c r="N2136" s="77" t="s">
        <v>83</v>
      </c>
      <c r="Q2136" s="77" t="s">
        <v>188</v>
      </c>
      <c r="T2136" s="77" t="s">
        <v>1666</v>
      </c>
      <c r="U2136" s="77" t="s">
        <v>85</v>
      </c>
      <c r="V2136" s="80" t="s">
        <v>365</v>
      </c>
      <c r="X2136" s="77" t="s">
        <v>366</v>
      </c>
      <c r="Y2136" s="78" t="s">
        <v>88</v>
      </c>
      <c r="AA2136" s="77" t="s">
        <v>2947</v>
      </c>
      <c r="AB2136" s="77" t="s">
        <v>2944</v>
      </c>
      <c r="AC2136" s="77" t="s">
        <v>90</v>
      </c>
      <c r="AD2136" s="77" t="s">
        <v>91</v>
      </c>
      <c r="AE2136" s="77" t="s">
        <v>2948</v>
      </c>
    </row>
    <row r="2137" spans="1:31" x14ac:dyDescent="0.3">
      <c r="A2137" s="77" t="s">
        <v>2999</v>
      </c>
      <c r="B2137" s="77" t="s">
        <v>3000</v>
      </c>
      <c r="G2137" s="77" t="s">
        <v>2943</v>
      </c>
      <c r="H2137" s="77" t="s">
        <v>77</v>
      </c>
      <c r="I2137" s="77" t="s">
        <v>2944</v>
      </c>
      <c r="J2137" s="77" t="s">
        <v>79</v>
      </c>
      <c r="K2137" s="77" t="s">
        <v>2945</v>
      </c>
      <c r="L2137" s="77" t="s">
        <v>2126</v>
      </c>
      <c r="M2137" s="77" t="s">
        <v>82</v>
      </c>
      <c r="N2137" s="77" t="s">
        <v>83</v>
      </c>
      <c r="Q2137" s="77" t="s">
        <v>188</v>
      </c>
      <c r="T2137" s="77" t="s">
        <v>1666</v>
      </c>
      <c r="U2137" s="77" t="s">
        <v>85</v>
      </c>
      <c r="V2137" s="80" t="s">
        <v>370</v>
      </c>
      <c r="X2137" s="77" t="s">
        <v>371</v>
      </c>
      <c r="Y2137" s="78" t="s">
        <v>88</v>
      </c>
      <c r="AA2137" s="77" t="s">
        <v>2947</v>
      </c>
      <c r="AB2137" s="77" t="s">
        <v>2944</v>
      </c>
      <c r="AC2137" s="77" t="s">
        <v>90</v>
      </c>
      <c r="AD2137" s="77" t="s">
        <v>91</v>
      </c>
      <c r="AE2137" s="77" t="s">
        <v>2948</v>
      </c>
    </row>
    <row r="2138" spans="1:31" x14ac:dyDescent="0.3">
      <c r="A2138" s="77" t="s">
        <v>3001</v>
      </c>
      <c r="B2138" s="77" t="s">
        <v>3002</v>
      </c>
      <c r="G2138" s="77" t="s">
        <v>2943</v>
      </c>
      <c r="H2138" s="77" t="s">
        <v>77</v>
      </c>
      <c r="I2138" s="77" t="s">
        <v>2944</v>
      </c>
      <c r="J2138" s="77" t="s">
        <v>79</v>
      </c>
      <c r="K2138" s="77" t="s">
        <v>2945</v>
      </c>
      <c r="L2138" s="77" t="s">
        <v>2135</v>
      </c>
      <c r="M2138" s="77" t="s">
        <v>82</v>
      </c>
      <c r="N2138" s="77" t="s">
        <v>83</v>
      </c>
      <c r="Q2138" s="77" t="s">
        <v>188</v>
      </c>
      <c r="T2138" s="77" t="s">
        <v>1666</v>
      </c>
      <c r="U2138" s="77" t="s">
        <v>85</v>
      </c>
      <c r="V2138" s="80" t="s">
        <v>375</v>
      </c>
      <c r="X2138" s="77" t="s">
        <v>376</v>
      </c>
      <c r="Y2138" s="78" t="s">
        <v>101</v>
      </c>
      <c r="AA2138" s="77" t="s">
        <v>2947</v>
      </c>
      <c r="AB2138" s="77" t="s">
        <v>2944</v>
      </c>
      <c r="AC2138" s="77" t="s">
        <v>90</v>
      </c>
      <c r="AD2138" s="77" t="s">
        <v>102</v>
      </c>
      <c r="AE2138" s="77" t="s">
        <v>2948</v>
      </c>
    </row>
    <row r="2139" spans="1:31" x14ac:dyDescent="0.3">
      <c r="A2139" s="77" t="s">
        <v>3003</v>
      </c>
      <c r="B2139" s="77" t="s">
        <v>3004</v>
      </c>
      <c r="G2139" s="77" t="s">
        <v>2943</v>
      </c>
      <c r="H2139" s="77" t="s">
        <v>77</v>
      </c>
      <c r="I2139" s="77" t="s">
        <v>2944</v>
      </c>
      <c r="J2139" s="77" t="s">
        <v>79</v>
      </c>
      <c r="K2139" s="77" t="s">
        <v>2945</v>
      </c>
      <c r="L2139" s="77" t="s">
        <v>2144</v>
      </c>
      <c r="M2139" s="77" t="s">
        <v>82</v>
      </c>
      <c r="N2139" s="77" t="s">
        <v>83</v>
      </c>
      <c r="Q2139" s="77" t="s">
        <v>188</v>
      </c>
      <c r="T2139" s="77" t="s">
        <v>1666</v>
      </c>
      <c r="U2139" s="77" t="s">
        <v>85</v>
      </c>
      <c r="V2139" s="80" t="s">
        <v>380</v>
      </c>
      <c r="X2139" s="77" t="s">
        <v>381</v>
      </c>
      <c r="Y2139" s="78" t="s">
        <v>101</v>
      </c>
      <c r="AA2139" s="77" t="s">
        <v>2947</v>
      </c>
      <c r="AB2139" s="77" t="s">
        <v>2944</v>
      </c>
      <c r="AC2139" s="77" t="s">
        <v>90</v>
      </c>
      <c r="AD2139" s="77" t="s">
        <v>102</v>
      </c>
      <c r="AE2139" s="77" t="s">
        <v>2948</v>
      </c>
    </row>
    <row r="2140" spans="1:31" x14ac:dyDescent="0.3">
      <c r="A2140" s="77" t="s">
        <v>3005</v>
      </c>
      <c r="B2140" s="77" t="s">
        <v>3006</v>
      </c>
      <c r="G2140" s="77" t="s">
        <v>2943</v>
      </c>
      <c r="H2140" s="77" t="s">
        <v>77</v>
      </c>
      <c r="I2140" s="77" t="s">
        <v>2944</v>
      </c>
      <c r="J2140" s="77" t="s">
        <v>79</v>
      </c>
      <c r="K2140" s="77" t="s">
        <v>2945</v>
      </c>
      <c r="L2140" s="77" t="s">
        <v>2153</v>
      </c>
      <c r="M2140" s="77" t="s">
        <v>82</v>
      </c>
      <c r="N2140" s="77" t="s">
        <v>83</v>
      </c>
      <c r="Q2140" s="77" t="s">
        <v>188</v>
      </c>
      <c r="T2140" s="77" t="s">
        <v>1666</v>
      </c>
      <c r="U2140" s="77" t="s">
        <v>85</v>
      </c>
      <c r="V2140" s="80" t="s">
        <v>189</v>
      </c>
      <c r="X2140" s="77" t="s">
        <v>190</v>
      </c>
      <c r="Y2140" s="78" t="s">
        <v>88</v>
      </c>
      <c r="AA2140" s="77" t="s">
        <v>2947</v>
      </c>
      <c r="AB2140" s="77" t="s">
        <v>2944</v>
      </c>
      <c r="AC2140" s="77" t="s">
        <v>90</v>
      </c>
      <c r="AD2140" s="77" t="s">
        <v>91</v>
      </c>
      <c r="AE2140" s="77" t="s">
        <v>2948</v>
      </c>
    </row>
    <row r="2141" spans="1:31" x14ac:dyDescent="0.3">
      <c r="A2141" s="77" t="s">
        <v>3007</v>
      </c>
      <c r="B2141" s="77" t="s">
        <v>3008</v>
      </c>
      <c r="G2141" s="77" t="s">
        <v>2943</v>
      </c>
      <c r="H2141" s="77" t="s">
        <v>77</v>
      </c>
      <c r="I2141" s="77" t="s">
        <v>2944</v>
      </c>
      <c r="J2141" s="77" t="s">
        <v>79</v>
      </c>
      <c r="K2141" s="77" t="s">
        <v>2945</v>
      </c>
      <c r="L2141" s="77" t="s">
        <v>2166</v>
      </c>
      <c r="M2141" s="77" t="s">
        <v>82</v>
      </c>
      <c r="N2141" s="77" t="s">
        <v>83</v>
      </c>
      <c r="Q2141" s="77" t="s">
        <v>188</v>
      </c>
      <c r="T2141" s="77" t="s">
        <v>1666</v>
      </c>
      <c r="U2141" s="77" t="s">
        <v>85</v>
      </c>
      <c r="V2141" s="80" t="s">
        <v>196</v>
      </c>
      <c r="X2141" s="77" t="s">
        <v>197</v>
      </c>
      <c r="Y2141" s="78" t="s">
        <v>88</v>
      </c>
      <c r="AA2141" s="77" t="s">
        <v>2947</v>
      </c>
      <c r="AB2141" s="77" t="s">
        <v>2944</v>
      </c>
      <c r="AC2141" s="77" t="s">
        <v>90</v>
      </c>
      <c r="AD2141" s="77" t="s">
        <v>91</v>
      </c>
      <c r="AE2141" s="77" t="s">
        <v>2948</v>
      </c>
    </row>
    <row r="2142" spans="1:31" x14ac:dyDescent="0.3">
      <c r="A2142" s="77" t="s">
        <v>3009</v>
      </c>
      <c r="B2142" s="77" t="s">
        <v>3010</v>
      </c>
      <c r="G2142" s="77" t="s">
        <v>2943</v>
      </c>
      <c r="H2142" s="77" t="s">
        <v>77</v>
      </c>
      <c r="I2142" s="77" t="s">
        <v>2944</v>
      </c>
      <c r="J2142" s="77" t="s">
        <v>79</v>
      </c>
      <c r="K2142" s="77" t="s">
        <v>2945</v>
      </c>
      <c r="L2142" s="77" t="s">
        <v>2179</v>
      </c>
      <c r="M2142" s="77" t="s">
        <v>82</v>
      </c>
      <c r="N2142" s="77" t="s">
        <v>83</v>
      </c>
      <c r="Q2142" s="77" t="s">
        <v>188</v>
      </c>
      <c r="T2142" s="77" t="s">
        <v>1666</v>
      </c>
      <c r="U2142" s="77" t="s">
        <v>85</v>
      </c>
      <c r="V2142" s="80" t="s">
        <v>201</v>
      </c>
      <c r="X2142" s="77" t="s">
        <v>202</v>
      </c>
      <c r="Y2142" s="78" t="s">
        <v>101</v>
      </c>
      <c r="AA2142" s="77" t="s">
        <v>2947</v>
      </c>
      <c r="AB2142" s="77" t="s">
        <v>2944</v>
      </c>
      <c r="AC2142" s="77" t="s">
        <v>90</v>
      </c>
      <c r="AD2142" s="77" t="s">
        <v>102</v>
      </c>
      <c r="AE2142" s="77" t="s">
        <v>2948</v>
      </c>
    </row>
    <row r="2143" spans="1:31" x14ac:dyDescent="0.3">
      <c r="A2143" s="77" t="s">
        <v>3011</v>
      </c>
      <c r="B2143" s="77" t="s">
        <v>3012</v>
      </c>
      <c r="G2143" s="77" t="s">
        <v>2943</v>
      </c>
      <c r="H2143" s="77" t="s">
        <v>77</v>
      </c>
      <c r="I2143" s="77" t="s">
        <v>2944</v>
      </c>
      <c r="J2143" s="77" t="s">
        <v>79</v>
      </c>
      <c r="K2143" s="77" t="s">
        <v>2945</v>
      </c>
      <c r="L2143" s="77" t="s">
        <v>2192</v>
      </c>
      <c r="M2143" s="77" t="s">
        <v>82</v>
      </c>
      <c r="N2143" s="77" t="s">
        <v>83</v>
      </c>
      <c r="Q2143" s="77" t="s">
        <v>188</v>
      </c>
      <c r="T2143" s="77" t="s">
        <v>1666</v>
      </c>
      <c r="U2143" s="77" t="s">
        <v>85</v>
      </c>
      <c r="V2143" s="80" t="s">
        <v>206</v>
      </c>
      <c r="X2143" s="77" t="s">
        <v>207</v>
      </c>
      <c r="Y2143" s="78" t="s">
        <v>101</v>
      </c>
      <c r="AA2143" s="77" t="s">
        <v>2947</v>
      </c>
      <c r="AB2143" s="77" t="s">
        <v>2944</v>
      </c>
      <c r="AC2143" s="77" t="s">
        <v>90</v>
      </c>
      <c r="AD2143" s="77" t="s">
        <v>102</v>
      </c>
      <c r="AE2143" s="77" t="s">
        <v>2948</v>
      </c>
    </row>
    <row r="2144" spans="1:31" x14ac:dyDescent="0.3">
      <c r="A2144" s="77" t="s">
        <v>3013</v>
      </c>
      <c r="B2144" s="77" t="s">
        <v>3014</v>
      </c>
      <c r="G2144" s="77" t="s">
        <v>2943</v>
      </c>
      <c r="H2144" s="77" t="s">
        <v>77</v>
      </c>
      <c r="I2144" s="77" t="s">
        <v>2944</v>
      </c>
      <c r="J2144" s="77" t="s">
        <v>79</v>
      </c>
      <c r="K2144" s="77" t="s">
        <v>2945</v>
      </c>
      <c r="L2144" s="77" t="s">
        <v>3015</v>
      </c>
      <c r="M2144" s="77" t="s">
        <v>82</v>
      </c>
      <c r="N2144" s="77" t="s">
        <v>83</v>
      </c>
      <c r="Q2144" s="77" t="s">
        <v>188</v>
      </c>
      <c r="T2144" s="77" t="s">
        <v>1666</v>
      </c>
      <c r="U2144" s="77" t="s">
        <v>85</v>
      </c>
      <c r="V2144" s="80" t="s">
        <v>105</v>
      </c>
      <c r="X2144" s="77" t="s">
        <v>106</v>
      </c>
      <c r="Y2144" s="78" t="s">
        <v>101</v>
      </c>
      <c r="AA2144" s="77" t="s">
        <v>2947</v>
      </c>
      <c r="AB2144" s="77" t="s">
        <v>2944</v>
      </c>
      <c r="AC2144" s="77" t="s">
        <v>90</v>
      </c>
      <c r="AD2144" s="77" t="s">
        <v>102</v>
      </c>
      <c r="AE2144" s="77" t="s">
        <v>2948</v>
      </c>
    </row>
    <row r="2145" spans="1:31" x14ac:dyDescent="0.3">
      <c r="A2145" s="77" t="s">
        <v>3016</v>
      </c>
      <c r="B2145" s="77" t="s">
        <v>3017</v>
      </c>
      <c r="G2145" s="77" t="s">
        <v>2943</v>
      </c>
      <c r="H2145" s="77" t="s">
        <v>77</v>
      </c>
      <c r="I2145" s="77" t="s">
        <v>2944</v>
      </c>
      <c r="J2145" s="77" t="s">
        <v>79</v>
      </c>
      <c r="K2145" s="77" t="s">
        <v>2945</v>
      </c>
      <c r="L2145" s="77" t="s">
        <v>3018</v>
      </c>
      <c r="M2145" s="77" t="s">
        <v>82</v>
      </c>
      <c r="N2145" s="77" t="s">
        <v>83</v>
      </c>
      <c r="Q2145" s="77" t="s">
        <v>188</v>
      </c>
      <c r="T2145" s="77" t="s">
        <v>1666</v>
      </c>
      <c r="U2145" s="77" t="s">
        <v>85</v>
      </c>
      <c r="V2145" s="80" t="s">
        <v>105</v>
      </c>
      <c r="X2145" s="77" t="s">
        <v>106</v>
      </c>
      <c r="Y2145" s="78" t="s">
        <v>101</v>
      </c>
      <c r="AA2145" s="77" t="s">
        <v>2947</v>
      </c>
      <c r="AB2145" s="77" t="s">
        <v>2944</v>
      </c>
      <c r="AC2145" s="77" t="s">
        <v>90</v>
      </c>
      <c r="AD2145" s="77" t="s">
        <v>102</v>
      </c>
      <c r="AE2145" s="77" t="s">
        <v>2948</v>
      </c>
    </row>
    <row r="2146" spans="1:31" x14ac:dyDescent="0.3">
      <c r="A2146" s="77" t="s">
        <v>3019</v>
      </c>
      <c r="B2146" s="77" t="s">
        <v>3020</v>
      </c>
      <c r="G2146" s="77" t="s">
        <v>2943</v>
      </c>
      <c r="H2146" s="77" t="s">
        <v>77</v>
      </c>
      <c r="I2146" s="77" t="s">
        <v>2944</v>
      </c>
      <c r="J2146" s="77" t="s">
        <v>79</v>
      </c>
      <c r="K2146" s="77" t="s">
        <v>2945</v>
      </c>
      <c r="L2146" s="77" t="s">
        <v>3018</v>
      </c>
      <c r="M2146" s="77" t="s">
        <v>82</v>
      </c>
      <c r="N2146" s="77" t="s">
        <v>83</v>
      </c>
      <c r="Q2146" s="77" t="s">
        <v>188</v>
      </c>
      <c r="T2146" s="77" t="s">
        <v>1666</v>
      </c>
      <c r="U2146" s="77" t="s">
        <v>85</v>
      </c>
      <c r="V2146" s="80" t="s">
        <v>105</v>
      </c>
      <c r="X2146" s="77" t="s">
        <v>106</v>
      </c>
      <c r="Y2146" s="78" t="s">
        <v>101</v>
      </c>
      <c r="AA2146" s="77" t="s">
        <v>2947</v>
      </c>
      <c r="AB2146" s="77" t="s">
        <v>2944</v>
      </c>
      <c r="AC2146" s="77" t="s">
        <v>90</v>
      </c>
      <c r="AD2146" s="77" t="s">
        <v>102</v>
      </c>
      <c r="AE2146" s="77" t="s">
        <v>2948</v>
      </c>
    </row>
    <row r="2147" spans="1:31" x14ac:dyDescent="0.3">
      <c r="A2147" s="77" t="s">
        <v>3021</v>
      </c>
      <c r="B2147" s="77" t="s">
        <v>3022</v>
      </c>
      <c r="G2147" s="77" t="s">
        <v>2943</v>
      </c>
      <c r="H2147" s="77" t="s">
        <v>77</v>
      </c>
      <c r="I2147" s="77" t="s">
        <v>2944</v>
      </c>
      <c r="J2147" s="77" t="s">
        <v>79</v>
      </c>
      <c r="K2147" s="77" t="s">
        <v>2945</v>
      </c>
      <c r="L2147" s="77" t="s">
        <v>3018</v>
      </c>
      <c r="M2147" s="77" t="s">
        <v>82</v>
      </c>
      <c r="N2147" s="77" t="s">
        <v>83</v>
      </c>
      <c r="Q2147" s="77" t="s">
        <v>188</v>
      </c>
      <c r="T2147" s="77" t="s">
        <v>1666</v>
      </c>
      <c r="U2147" s="77" t="s">
        <v>85</v>
      </c>
      <c r="V2147" s="80" t="s">
        <v>105</v>
      </c>
      <c r="X2147" s="77" t="s">
        <v>106</v>
      </c>
      <c r="Y2147" s="78" t="s">
        <v>101</v>
      </c>
      <c r="AA2147" s="77" t="s">
        <v>2947</v>
      </c>
      <c r="AB2147" s="77" t="s">
        <v>2944</v>
      </c>
      <c r="AC2147" s="77" t="s">
        <v>90</v>
      </c>
      <c r="AD2147" s="77" t="s">
        <v>102</v>
      </c>
      <c r="AE2147" s="77" t="s">
        <v>2948</v>
      </c>
    </row>
    <row r="2148" spans="1:31" x14ac:dyDescent="0.3">
      <c r="A2148" s="77" t="s">
        <v>3023</v>
      </c>
      <c r="B2148" s="77" t="s">
        <v>3024</v>
      </c>
      <c r="G2148" s="77" t="s">
        <v>2943</v>
      </c>
      <c r="H2148" s="77" t="s">
        <v>77</v>
      </c>
      <c r="I2148" s="77" t="s">
        <v>2944</v>
      </c>
      <c r="J2148" s="77" t="s">
        <v>79</v>
      </c>
      <c r="K2148" s="77" t="s">
        <v>2945</v>
      </c>
      <c r="L2148" s="77" t="s">
        <v>3025</v>
      </c>
      <c r="M2148" s="77" t="s">
        <v>82</v>
      </c>
      <c r="N2148" s="77" t="s">
        <v>83</v>
      </c>
      <c r="Q2148" s="77" t="s">
        <v>188</v>
      </c>
      <c r="T2148" s="77" t="s">
        <v>1666</v>
      </c>
      <c r="U2148" s="77" t="s">
        <v>85</v>
      </c>
      <c r="V2148" s="80" t="s">
        <v>105</v>
      </c>
      <c r="X2148" s="77" t="s">
        <v>106</v>
      </c>
      <c r="Y2148" s="78" t="s">
        <v>101</v>
      </c>
      <c r="AA2148" s="77" t="s">
        <v>2947</v>
      </c>
      <c r="AB2148" s="77" t="s">
        <v>2944</v>
      </c>
      <c r="AC2148" s="77" t="s">
        <v>90</v>
      </c>
      <c r="AD2148" s="77" t="s">
        <v>102</v>
      </c>
      <c r="AE2148" s="77" t="s">
        <v>2948</v>
      </c>
    </row>
    <row r="2149" spans="1:31" x14ac:dyDescent="0.3">
      <c r="A2149" s="77" t="s">
        <v>3026</v>
      </c>
      <c r="B2149" s="77" t="s">
        <v>3027</v>
      </c>
      <c r="G2149" s="77" t="s">
        <v>2943</v>
      </c>
      <c r="H2149" s="77" t="s">
        <v>77</v>
      </c>
      <c r="I2149" s="77" t="s">
        <v>2944</v>
      </c>
      <c r="J2149" s="77" t="s">
        <v>79</v>
      </c>
      <c r="K2149" s="77" t="s">
        <v>2945</v>
      </c>
      <c r="L2149" s="77" t="s">
        <v>3025</v>
      </c>
      <c r="M2149" s="77" t="s">
        <v>82</v>
      </c>
      <c r="N2149" s="77" t="s">
        <v>83</v>
      </c>
      <c r="Q2149" s="77" t="s">
        <v>188</v>
      </c>
      <c r="T2149" s="77" t="s">
        <v>1666</v>
      </c>
      <c r="U2149" s="77" t="s">
        <v>85</v>
      </c>
      <c r="V2149" s="80" t="s">
        <v>105</v>
      </c>
      <c r="X2149" s="77" t="s">
        <v>106</v>
      </c>
      <c r="Y2149" s="78" t="s">
        <v>101</v>
      </c>
      <c r="AA2149" s="77" t="s">
        <v>2947</v>
      </c>
      <c r="AB2149" s="77" t="s">
        <v>2944</v>
      </c>
      <c r="AC2149" s="77" t="s">
        <v>90</v>
      </c>
      <c r="AD2149" s="77" t="s">
        <v>102</v>
      </c>
      <c r="AE2149" s="77" t="s">
        <v>2948</v>
      </c>
    </row>
    <row r="2150" spans="1:31" x14ac:dyDescent="0.3">
      <c r="A2150" s="77" t="s">
        <v>3028</v>
      </c>
      <c r="B2150" s="77" t="s">
        <v>3029</v>
      </c>
      <c r="G2150" s="77" t="s">
        <v>2943</v>
      </c>
      <c r="H2150" s="77" t="s">
        <v>77</v>
      </c>
      <c r="I2150" s="77" t="s">
        <v>2944</v>
      </c>
      <c r="J2150" s="77" t="s">
        <v>79</v>
      </c>
      <c r="K2150" s="77" t="s">
        <v>2945</v>
      </c>
      <c r="L2150" s="77" t="s">
        <v>2265</v>
      </c>
      <c r="M2150" s="77" t="s">
        <v>82</v>
      </c>
      <c r="N2150" s="77" t="s">
        <v>83</v>
      </c>
      <c r="Q2150" s="77" t="s">
        <v>188</v>
      </c>
      <c r="T2150" s="77" t="s">
        <v>1666</v>
      </c>
      <c r="U2150" s="77" t="s">
        <v>85</v>
      </c>
      <c r="V2150" s="80" t="s">
        <v>325</v>
      </c>
      <c r="X2150" s="77" t="s">
        <v>326</v>
      </c>
      <c r="Y2150" s="78" t="s">
        <v>101</v>
      </c>
      <c r="AA2150" s="77" t="s">
        <v>2947</v>
      </c>
      <c r="AB2150" s="77" t="s">
        <v>2944</v>
      </c>
      <c r="AC2150" s="77" t="s">
        <v>90</v>
      </c>
      <c r="AD2150" s="77" t="s">
        <v>327</v>
      </c>
      <c r="AE2150" s="77" t="s">
        <v>2948</v>
      </c>
    </row>
    <row r="2151" spans="1:31" x14ac:dyDescent="0.3">
      <c r="A2151" s="77" t="s">
        <v>3030</v>
      </c>
      <c r="B2151" s="77" t="s">
        <v>3031</v>
      </c>
      <c r="G2151" s="77" t="s">
        <v>2943</v>
      </c>
      <c r="H2151" s="77" t="s">
        <v>77</v>
      </c>
      <c r="I2151" s="77" t="s">
        <v>2944</v>
      </c>
      <c r="J2151" s="77" t="s">
        <v>79</v>
      </c>
      <c r="K2151" s="77" t="s">
        <v>2945</v>
      </c>
      <c r="L2151" s="77" t="s">
        <v>2416</v>
      </c>
      <c r="M2151" s="77" t="s">
        <v>82</v>
      </c>
      <c r="N2151" s="77" t="s">
        <v>83</v>
      </c>
      <c r="Q2151" s="77" t="s">
        <v>188</v>
      </c>
      <c r="T2151" s="77" t="s">
        <v>1666</v>
      </c>
      <c r="U2151" s="77" t="s">
        <v>85</v>
      </c>
      <c r="V2151" s="80" t="s">
        <v>896</v>
      </c>
      <c r="X2151" s="77" t="s">
        <v>897</v>
      </c>
      <c r="Y2151" s="78" t="s">
        <v>88</v>
      </c>
      <c r="AA2151" s="77" t="s">
        <v>2947</v>
      </c>
      <c r="AB2151" s="77" t="s">
        <v>2944</v>
      </c>
      <c r="AC2151" s="77" t="s">
        <v>90</v>
      </c>
      <c r="AD2151" s="77" t="s">
        <v>91</v>
      </c>
      <c r="AE2151" s="77" t="s">
        <v>2948</v>
      </c>
    </row>
    <row r="2152" spans="1:31" x14ac:dyDescent="0.3">
      <c r="A2152" s="77" t="s">
        <v>3032</v>
      </c>
      <c r="B2152" s="77" t="s">
        <v>3033</v>
      </c>
      <c r="G2152" s="77" t="s">
        <v>2943</v>
      </c>
      <c r="H2152" s="77" t="s">
        <v>77</v>
      </c>
      <c r="I2152" s="77" t="s">
        <v>2944</v>
      </c>
      <c r="J2152" s="77" t="s">
        <v>79</v>
      </c>
      <c r="K2152" s="77" t="s">
        <v>2945</v>
      </c>
      <c r="L2152" s="77" t="s">
        <v>1662</v>
      </c>
      <c r="M2152" s="77" t="s">
        <v>82</v>
      </c>
      <c r="N2152" s="77" t="s">
        <v>83</v>
      </c>
      <c r="Q2152" s="77" t="s">
        <v>188</v>
      </c>
      <c r="T2152" s="77" t="s">
        <v>1666</v>
      </c>
      <c r="U2152" s="77" t="s">
        <v>85</v>
      </c>
      <c r="V2152" s="80" t="s">
        <v>272</v>
      </c>
      <c r="X2152" s="77" t="s">
        <v>273</v>
      </c>
      <c r="Y2152" s="78" t="s">
        <v>101</v>
      </c>
      <c r="AA2152" s="77" t="s">
        <v>2947</v>
      </c>
      <c r="AB2152" s="77" t="s">
        <v>2944</v>
      </c>
      <c r="AC2152" s="77" t="s">
        <v>90</v>
      </c>
      <c r="AD2152" s="77" t="s">
        <v>274</v>
      </c>
      <c r="AE2152" s="77" t="s">
        <v>2948</v>
      </c>
    </row>
    <row r="2153" spans="1:31" x14ac:dyDescent="0.3">
      <c r="A2153" s="77" t="s">
        <v>3034</v>
      </c>
      <c r="B2153" s="77" t="s">
        <v>3035</v>
      </c>
      <c r="G2153" s="77" t="s">
        <v>2943</v>
      </c>
      <c r="H2153" s="77" t="s">
        <v>77</v>
      </c>
      <c r="I2153" s="77" t="s">
        <v>2944</v>
      </c>
      <c r="J2153" s="77" t="s">
        <v>79</v>
      </c>
      <c r="K2153" s="77" t="s">
        <v>2945</v>
      </c>
      <c r="L2153" s="77" t="s">
        <v>2445</v>
      </c>
      <c r="M2153" s="77" t="s">
        <v>82</v>
      </c>
      <c r="N2153" s="77" t="s">
        <v>83</v>
      </c>
      <c r="Q2153" s="77" t="s">
        <v>188</v>
      </c>
      <c r="T2153" s="77" t="s">
        <v>1666</v>
      </c>
      <c r="U2153" s="77" t="s">
        <v>85</v>
      </c>
      <c r="V2153" s="80" t="s">
        <v>272</v>
      </c>
      <c r="X2153" s="77" t="s">
        <v>273</v>
      </c>
      <c r="Y2153" s="78" t="s">
        <v>101</v>
      </c>
      <c r="AA2153" s="77" t="s">
        <v>2947</v>
      </c>
      <c r="AB2153" s="77" t="s">
        <v>2944</v>
      </c>
      <c r="AC2153" s="77" t="s">
        <v>90</v>
      </c>
      <c r="AD2153" s="77" t="s">
        <v>274</v>
      </c>
      <c r="AE2153" s="77" t="s">
        <v>2948</v>
      </c>
    </row>
    <row r="2154" spans="1:31" x14ac:dyDescent="0.3">
      <c r="A2154" s="77" t="s">
        <v>3925</v>
      </c>
      <c r="B2154" s="77" t="s">
        <v>2942</v>
      </c>
      <c r="G2154" s="77" t="s">
        <v>3926</v>
      </c>
      <c r="H2154" s="77" t="s">
        <v>77</v>
      </c>
      <c r="I2154" s="77" t="s">
        <v>2944</v>
      </c>
      <c r="J2154" s="77" t="s">
        <v>3039</v>
      </c>
      <c r="K2154" s="77" t="s">
        <v>2945</v>
      </c>
      <c r="L2154" s="77" t="s">
        <v>2946</v>
      </c>
      <c r="M2154" s="77" t="s">
        <v>82</v>
      </c>
      <c r="N2154" s="77" t="s">
        <v>83</v>
      </c>
      <c r="Q2154" s="77" t="s">
        <v>1279</v>
      </c>
      <c r="T2154" s="77" t="s">
        <v>1666</v>
      </c>
      <c r="U2154" s="77" t="s">
        <v>85</v>
      </c>
      <c r="V2154" s="80" t="s">
        <v>665</v>
      </c>
      <c r="X2154" s="77" t="s">
        <v>666</v>
      </c>
      <c r="Y2154" s="78" t="s">
        <v>88</v>
      </c>
      <c r="AA2154" s="77" t="s">
        <v>3927</v>
      </c>
      <c r="AB2154" s="77" t="s">
        <v>2944</v>
      </c>
      <c r="AC2154" s="77" t="s">
        <v>90</v>
      </c>
      <c r="AD2154" s="77" t="s">
        <v>91</v>
      </c>
      <c r="AE2154" s="77" t="s">
        <v>3928</v>
      </c>
    </row>
    <row r="2155" spans="1:31" x14ac:dyDescent="0.3">
      <c r="A2155" s="77" t="s">
        <v>3929</v>
      </c>
      <c r="B2155" s="77" t="s">
        <v>2950</v>
      </c>
      <c r="G2155" s="77" t="s">
        <v>3926</v>
      </c>
      <c r="H2155" s="77" t="s">
        <v>77</v>
      </c>
      <c r="I2155" s="77" t="s">
        <v>2944</v>
      </c>
      <c r="J2155" s="77" t="s">
        <v>3039</v>
      </c>
      <c r="K2155" s="77" t="s">
        <v>2945</v>
      </c>
      <c r="L2155" s="77" t="s">
        <v>2946</v>
      </c>
      <c r="M2155" s="77" t="s">
        <v>82</v>
      </c>
      <c r="N2155" s="77" t="s">
        <v>83</v>
      </c>
      <c r="Q2155" s="77" t="s">
        <v>1279</v>
      </c>
      <c r="T2155" s="77" t="s">
        <v>1666</v>
      </c>
      <c r="U2155" s="77" t="s">
        <v>85</v>
      </c>
      <c r="V2155" s="80" t="s">
        <v>665</v>
      </c>
      <c r="X2155" s="77" t="s">
        <v>666</v>
      </c>
      <c r="Y2155" s="78" t="s">
        <v>88</v>
      </c>
      <c r="AA2155" s="77" t="s">
        <v>3927</v>
      </c>
      <c r="AB2155" s="77" t="s">
        <v>2944</v>
      </c>
      <c r="AC2155" s="77" t="s">
        <v>90</v>
      </c>
      <c r="AD2155" s="77" t="s">
        <v>91</v>
      </c>
      <c r="AE2155" s="77" t="s">
        <v>3928</v>
      </c>
    </row>
    <row r="2156" spans="1:31" x14ac:dyDescent="0.3">
      <c r="A2156" s="77" t="s">
        <v>3930</v>
      </c>
      <c r="B2156" s="77" t="s">
        <v>2952</v>
      </c>
      <c r="G2156" s="77" t="s">
        <v>3926</v>
      </c>
      <c r="H2156" s="77" t="s">
        <v>77</v>
      </c>
      <c r="I2156" s="77" t="s">
        <v>2944</v>
      </c>
      <c r="J2156" s="77" t="s">
        <v>3039</v>
      </c>
      <c r="K2156" s="77" t="s">
        <v>2945</v>
      </c>
      <c r="L2156" s="77" t="s">
        <v>2946</v>
      </c>
      <c r="M2156" s="77" t="s">
        <v>82</v>
      </c>
      <c r="N2156" s="77" t="s">
        <v>83</v>
      </c>
      <c r="Q2156" s="77" t="s">
        <v>1279</v>
      </c>
      <c r="T2156" s="77" t="s">
        <v>1666</v>
      </c>
      <c r="U2156" s="77" t="s">
        <v>85</v>
      </c>
      <c r="V2156" s="80" t="s">
        <v>665</v>
      </c>
      <c r="X2156" s="77" t="s">
        <v>666</v>
      </c>
      <c r="Y2156" s="78" t="s">
        <v>88</v>
      </c>
      <c r="AA2156" s="77" t="s">
        <v>3927</v>
      </c>
      <c r="AB2156" s="77" t="s">
        <v>2944</v>
      </c>
      <c r="AC2156" s="77" t="s">
        <v>90</v>
      </c>
      <c r="AD2156" s="77" t="s">
        <v>91</v>
      </c>
      <c r="AE2156" s="77" t="s">
        <v>3928</v>
      </c>
    </row>
    <row r="2157" spans="1:31" x14ac:dyDescent="0.3">
      <c r="A2157" s="77" t="s">
        <v>3931</v>
      </c>
      <c r="B2157" s="77" t="s">
        <v>2954</v>
      </c>
      <c r="G2157" s="77" t="s">
        <v>3926</v>
      </c>
      <c r="H2157" s="77" t="s">
        <v>77</v>
      </c>
      <c r="I2157" s="77" t="s">
        <v>2944</v>
      </c>
      <c r="J2157" s="77" t="s">
        <v>3039</v>
      </c>
      <c r="K2157" s="77" t="s">
        <v>2945</v>
      </c>
      <c r="L2157" s="77" t="s">
        <v>2946</v>
      </c>
      <c r="M2157" s="77" t="s">
        <v>82</v>
      </c>
      <c r="N2157" s="77" t="s">
        <v>83</v>
      </c>
      <c r="Q2157" s="77" t="s">
        <v>1279</v>
      </c>
      <c r="T2157" s="77" t="s">
        <v>1666</v>
      </c>
      <c r="U2157" s="77" t="s">
        <v>85</v>
      </c>
      <c r="V2157" s="80" t="s">
        <v>665</v>
      </c>
      <c r="X2157" s="77" t="s">
        <v>666</v>
      </c>
      <c r="Y2157" s="78" t="s">
        <v>88</v>
      </c>
      <c r="AA2157" s="77" t="s">
        <v>3927</v>
      </c>
      <c r="AB2157" s="77" t="s">
        <v>2944</v>
      </c>
      <c r="AC2157" s="77" t="s">
        <v>90</v>
      </c>
      <c r="AD2157" s="77" t="s">
        <v>91</v>
      </c>
      <c r="AE2157" s="77" t="s">
        <v>3928</v>
      </c>
    </row>
    <row r="2158" spans="1:31" x14ac:dyDescent="0.3">
      <c r="A2158" s="77" t="s">
        <v>3932</v>
      </c>
      <c r="B2158" s="77" t="s">
        <v>2956</v>
      </c>
      <c r="G2158" s="77" t="s">
        <v>3926</v>
      </c>
      <c r="H2158" s="77" t="s">
        <v>77</v>
      </c>
      <c r="I2158" s="77" t="s">
        <v>2944</v>
      </c>
      <c r="J2158" s="77" t="s">
        <v>3039</v>
      </c>
      <c r="K2158" s="77" t="s">
        <v>2945</v>
      </c>
      <c r="L2158" s="77" t="s">
        <v>2957</v>
      </c>
      <c r="M2158" s="77" t="s">
        <v>82</v>
      </c>
      <c r="N2158" s="77" t="s">
        <v>83</v>
      </c>
      <c r="Q2158" s="77" t="s">
        <v>1279</v>
      </c>
      <c r="T2158" s="77" t="s">
        <v>1666</v>
      </c>
      <c r="U2158" s="77" t="s">
        <v>85</v>
      </c>
      <c r="V2158" s="80" t="s">
        <v>673</v>
      </c>
      <c r="X2158" s="77" t="s">
        <v>674</v>
      </c>
      <c r="Y2158" s="78" t="s">
        <v>101</v>
      </c>
      <c r="AA2158" s="77" t="s">
        <v>3927</v>
      </c>
      <c r="AB2158" s="77" t="s">
        <v>2944</v>
      </c>
      <c r="AC2158" s="77" t="s">
        <v>90</v>
      </c>
      <c r="AD2158" s="77" t="s">
        <v>102</v>
      </c>
      <c r="AE2158" s="77" t="s">
        <v>3928</v>
      </c>
    </row>
    <row r="2159" spans="1:31" x14ac:dyDescent="0.3">
      <c r="A2159" s="77" t="s">
        <v>3933</v>
      </c>
      <c r="B2159" s="77" t="s">
        <v>2959</v>
      </c>
      <c r="G2159" s="77" t="s">
        <v>3926</v>
      </c>
      <c r="H2159" s="77" t="s">
        <v>77</v>
      </c>
      <c r="I2159" s="77" t="s">
        <v>2944</v>
      </c>
      <c r="J2159" s="77" t="s">
        <v>3039</v>
      </c>
      <c r="K2159" s="77" t="s">
        <v>2945</v>
      </c>
      <c r="L2159" s="77" t="s">
        <v>2957</v>
      </c>
      <c r="M2159" s="77" t="s">
        <v>82</v>
      </c>
      <c r="N2159" s="77" t="s">
        <v>83</v>
      </c>
      <c r="Q2159" s="77" t="s">
        <v>1279</v>
      </c>
      <c r="T2159" s="77" t="s">
        <v>1666</v>
      </c>
      <c r="U2159" s="77" t="s">
        <v>85</v>
      </c>
      <c r="V2159" s="80" t="s">
        <v>673</v>
      </c>
      <c r="X2159" s="77" t="s">
        <v>674</v>
      </c>
      <c r="Y2159" s="78" t="s">
        <v>101</v>
      </c>
      <c r="AA2159" s="77" t="s">
        <v>3927</v>
      </c>
      <c r="AB2159" s="77" t="s">
        <v>2944</v>
      </c>
      <c r="AC2159" s="77" t="s">
        <v>90</v>
      </c>
      <c r="AD2159" s="77" t="s">
        <v>102</v>
      </c>
      <c r="AE2159" s="77" t="s">
        <v>3928</v>
      </c>
    </row>
    <row r="2160" spans="1:31" x14ac:dyDescent="0.3">
      <c r="A2160" s="77" t="s">
        <v>3934</v>
      </c>
      <c r="B2160" s="77" t="s">
        <v>2961</v>
      </c>
      <c r="G2160" s="77" t="s">
        <v>3926</v>
      </c>
      <c r="H2160" s="77" t="s">
        <v>77</v>
      </c>
      <c r="I2160" s="77" t="s">
        <v>2944</v>
      </c>
      <c r="J2160" s="77" t="s">
        <v>3039</v>
      </c>
      <c r="K2160" s="77" t="s">
        <v>2945</v>
      </c>
      <c r="L2160" s="77" t="s">
        <v>2957</v>
      </c>
      <c r="M2160" s="77" t="s">
        <v>82</v>
      </c>
      <c r="N2160" s="77" t="s">
        <v>83</v>
      </c>
      <c r="Q2160" s="77" t="s">
        <v>1279</v>
      </c>
      <c r="T2160" s="77" t="s">
        <v>1666</v>
      </c>
      <c r="U2160" s="77" t="s">
        <v>85</v>
      </c>
      <c r="V2160" s="80" t="s">
        <v>673</v>
      </c>
      <c r="X2160" s="77" t="s">
        <v>674</v>
      </c>
      <c r="Y2160" s="78" t="s">
        <v>101</v>
      </c>
      <c r="AA2160" s="77" t="s">
        <v>3927</v>
      </c>
      <c r="AB2160" s="77" t="s">
        <v>2944</v>
      </c>
      <c r="AC2160" s="77" t="s">
        <v>90</v>
      </c>
      <c r="AD2160" s="77" t="s">
        <v>102</v>
      </c>
      <c r="AE2160" s="77" t="s">
        <v>3928</v>
      </c>
    </row>
    <row r="2161" spans="1:31" x14ac:dyDescent="0.3">
      <c r="A2161" s="77" t="s">
        <v>3935</v>
      </c>
      <c r="B2161" s="77" t="s">
        <v>2963</v>
      </c>
      <c r="G2161" s="77" t="s">
        <v>3926</v>
      </c>
      <c r="H2161" s="77" t="s">
        <v>77</v>
      </c>
      <c r="I2161" s="77" t="s">
        <v>2944</v>
      </c>
      <c r="J2161" s="77" t="s">
        <v>3039</v>
      </c>
      <c r="K2161" s="77" t="s">
        <v>2945</v>
      </c>
      <c r="L2161" s="77" t="s">
        <v>2957</v>
      </c>
      <c r="M2161" s="77" t="s">
        <v>82</v>
      </c>
      <c r="N2161" s="77" t="s">
        <v>83</v>
      </c>
      <c r="Q2161" s="77" t="s">
        <v>1279</v>
      </c>
      <c r="T2161" s="77" t="s">
        <v>1666</v>
      </c>
      <c r="U2161" s="77" t="s">
        <v>85</v>
      </c>
      <c r="V2161" s="80" t="s">
        <v>673</v>
      </c>
      <c r="X2161" s="77" t="s">
        <v>674</v>
      </c>
      <c r="Y2161" s="78" t="s">
        <v>101</v>
      </c>
      <c r="AA2161" s="77" t="s">
        <v>3927</v>
      </c>
      <c r="AB2161" s="77" t="s">
        <v>2944</v>
      </c>
      <c r="AC2161" s="77" t="s">
        <v>90</v>
      </c>
      <c r="AD2161" s="77" t="s">
        <v>102</v>
      </c>
      <c r="AE2161" s="77" t="s">
        <v>3928</v>
      </c>
    </row>
    <row r="2162" spans="1:31" x14ac:dyDescent="0.3">
      <c r="A2162" s="77" t="s">
        <v>3936</v>
      </c>
      <c r="B2162" s="77" t="s">
        <v>2965</v>
      </c>
      <c r="G2162" s="77" t="s">
        <v>3926</v>
      </c>
      <c r="H2162" s="77" t="s">
        <v>77</v>
      </c>
      <c r="I2162" s="77" t="s">
        <v>2944</v>
      </c>
      <c r="J2162" s="77" t="s">
        <v>3039</v>
      </c>
      <c r="K2162" s="77" t="s">
        <v>2945</v>
      </c>
      <c r="L2162" s="77" t="s">
        <v>2966</v>
      </c>
      <c r="M2162" s="77" t="s">
        <v>82</v>
      </c>
      <c r="N2162" s="77" t="s">
        <v>83</v>
      </c>
      <c r="Q2162" s="77" t="s">
        <v>1279</v>
      </c>
      <c r="T2162" s="77" t="s">
        <v>1666</v>
      </c>
      <c r="U2162" s="77" t="s">
        <v>85</v>
      </c>
      <c r="V2162" s="80" t="s">
        <v>681</v>
      </c>
      <c r="X2162" s="77" t="s">
        <v>682</v>
      </c>
      <c r="Y2162" s="78" t="s">
        <v>101</v>
      </c>
      <c r="AA2162" s="77" t="s">
        <v>3927</v>
      </c>
      <c r="AB2162" s="77" t="s">
        <v>2944</v>
      </c>
      <c r="AC2162" s="77" t="s">
        <v>90</v>
      </c>
      <c r="AD2162" s="77" t="s">
        <v>102</v>
      </c>
      <c r="AE2162" s="77" t="s">
        <v>3928</v>
      </c>
    </row>
    <row r="2163" spans="1:31" x14ac:dyDescent="0.3">
      <c r="A2163" s="77" t="s">
        <v>3937</v>
      </c>
      <c r="B2163" s="77" t="s">
        <v>2968</v>
      </c>
      <c r="G2163" s="77" t="s">
        <v>3926</v>
      </c>
      <c r="H2163" s="77" t="s">
        <v>77</v>
      </c>
      <c r="I2163" s="77" t="s">
        <v>2944</v>
      </c>
      <c r="J2163" s="77" t="s">
        <v>3039</v>
      </c>
      <c r="K2163" s="77" t="s">
        <v>2945</v>
      </c>
      <c r="L2163" s="77" t="s">
        <v>2966</v>
      </c>
      <c r="M2163" s="77" t="s">
        <v>82</v>
      </c>
      <c r="N2163" s="77" t="s">
        <v>83</v>
      </c>
      <c r="Q2163" s="77" t="s">
        <v>1279</v>
      </c>
      <c r="T2163" s="77" t="s">
        <v>1666</v>
      </c>
      <c r="U2163" s="77" t="s">
        <v>85</v>
      </c>
      <c r="V2163" s="80" t="s">
        <v>681</v>
      </c>
      <c r="X2163" s="77" t="s">
        <v>682</v>
      </c>
      <c r="Y2163" s="78" t="s">
        <v>101</v>
      </c>
      <c r="AA2163" s="77" t="s">
        <v>3927</v>
      </c>
      <c r="AB2163" s="77" t="s">
        <v>2944</v>
      </c>
      <c r="AC2163" s="77" t="s">
        <v>90</v>
      </c>
      <c r="AD2163" s="77" t="s">
        <v>102</v>
      </c>
      <c r="AE2163" s="77" t="s">
        <v>3928</v>
      </c>
    </row>
    <row r="2164" spans="1:31" x14ac:dyDescent="0.3">
      <c r="A2164" s="77" t="s">
        <v>3938</v>
      </c>
      <c r="B2164" s="77" t="s">
        <v>2970</v>
      </c>
      <c r="G2164" s="77" t="s">
        <v>3926</v>
      </c>
      <c r="H2164" s="77" t="s">
        <v>77</v>
      </c>
      <c r="I2164" s="77" t="s">
        <v>2944</v>
      </c>
      <c r="J2164" s="77" t="s">
        <v>3039</v>
      </c>
      <c r="K2164" s="77" t="s">
        <v>2945</v>
      </c>
      <c r="L2164" s="77" t="s">
        <v>2966</v>
      </c>
      <c r="M2164" s="77" t="s">
        <v>82</v>
      </c>
      <c r="N2164" s="77" t="s">
        <v>83</v>
      </c>
      <c r="Q2164" s="77" t="s">
        <v>1279</v>
      </c>
      <c r="T2164" s="77" t="s">
        <v>1666</v>
      </c>
      <c r="U2164" s="77" t="s">
        <v>85</v>
      </c>
      <c r="V2164" s="80" t="s">
        <v>681</v>
      </c>
      <c r="X2164" s="77" t="s">
        <v>682</v>
      </c>
      <c r="Y2164" s="78" t="s">
        <v>101</v>
      </c>
      <c r="AA2164" s="77" t="s">
        <v>3927</v>
      </c>
      <c r="AB2164" s="77" t="s">
        <v>2944</v>
      </c>
      <c r="AC2164" s="77" t="s">
        <v>90</v>
      </c>
      <c r="AD2164" s="77" t="s">
        <v>102</v>
      </c>
      <c r="AE2164" s="77" t="s">
        <v>3928</v>
      </c>
    </row>
    <row r="2165" spans="1:31" x14ac:dyDescent="0.3">
      <c r="A2165" s="77" t="s">
        <v>3939</v>
      </c>
      <c r="B2165" s="77" t="s">
        <v>2972</v>
      </c>
      <c r="G2165" s="77" t="s">
        <v>3926</v>
      </c>
      <c r="H2165" s="77" t="s">
        <v>77</v>
      </c>
      <c r="I2165" s="77" t="s">
        <v>2944</v>
      </c>
      <c r="J2165" s="77" t="s">
        <v>3039</v>
      </c>
      <c r="K2165" s="77" t="s">
        <v>2945</v>
      </c>
      <c r="L2165" s="77" t="s">
        <v>2966</v>
      </c>
      <c r="M2165" s="77" t="s">
        <v>82</v>
      </c>
      <c r="N2165" s="77" t="s">
        <v>83</v>
      </c>
      <c r="Q2165" s="77" t="s">
        <v>1279</v>
      </c>
      <c r="T2165" s="77" t="s">
        <v>1666</v>
      </c>
      <c r="U2165" s="77" t="s">
        <v>85</v>
      </c>
      <c r="V2165" s="80" t="s">
        <v>681</v>
      </c>
      <c r="X2165" s="77" t="s">
        <v>682</v>
      </c>
      <c r="Y2165" s="78" t="s">
        <v>101</v>
      </c>
      <c r="AA2165" s="77" t="s">
        <v>3927</v>
      </c>
      <c r="AB2165" s="77" t="s">
        <v>2944</v>
      </c>
      <c r="AC2165" s="77" t="s">
        <v>90</v>
      </c>
      <c r="AD2165" s="77" t="s">
        <v>102</v>
      </c>
      <c r="AE2165" s="77" t="s">
        <v>3928</v>
      </c>
    </row>
    <row r="2166" spans="1:31" x14ac:dyDescent="0.3">
      <c r="A2166" s="77" t="s">
        <v>3940</v>
      </c>
      <c r="B2166" s="77" t="s">
        <v>2974</v>
      </c>
      <c r="G2166" s="77" t="s">
        <v>3926</v>
      </c>
      <c r="H2166" s="77" t="s">
        <v>77</v>
      </c>
      <c r="I2166" s="77" t="s">
        <v>2944</v>
      </c>
      <c r="J2166" s="77" t="s">
        <v>3039</v>
      </c>
      <c r="K2166" s="77" t="s">
        <v>2945</v>
      </c>
      <c r="L2166" s="77" t="s">
        <v>2096</v>
      </c>
      <c r="M2166" s="77" t="s">
        <v>82</v>
      </c>
      <c r="N2166" s="77" t="s">
        <v>83</v>
      </c>
      <c r="Q2166" s="77" t="s">
        <v>1279</v>
      </c>
      <c r="T2166" s="77" t="s">
        <v>1666</v>
      </c>
      <c r="U2166" s="77" t="s">
        <v>85</v>
      </c>
      <c r="V2166" s="80" t="s">
        <v>231</v>
      </c>
      <c r="X2166" s="77" t="s">
        <v>232</v>
      </c>
      <c r="Y2166" s="78" t="s">
        <v>88</v>
      </c>
      <c r="AA2166" s="77" t="s">
        <v>3927</v>
      </c>
      <c r="AB2166" s="77" t="s">
        <v>2944</v>
      </c>
      <c r="AC2166" s="77" t="s">
        <v>90</v>
      </c>
      <c r="AD2166" s="77" t="s">
        <v>91</v>
      </c>
      <c r="AE2166" s="77" t="s">
        <v>3928</v>
      </c>
    </row>
    <row r="2167" spans="1:31" x14ac:dyDescent="0.3">
      <c r="A2167" s="77" t="s">
        <v>3941</v>
      </c>
      <c r="B2167" s="77" t="s">
        <v>2976</v>
      </c>
      <c r="G2167" s="77" t="s">
        <v>3926</v>
      </c>
      <c r="H2167" s="77" t="s">
        <v>77</v>
      </c>
      <c r="I2167" s="77" t="s">
        <v>2944</v>
      </c>
      <c r="J2167" s="77" t="s">
        <v>3039</v>
      </c>
      <c r="K2167" s="77" t="s">
        <v>2945</v>
      </c>
      <c r="L2167" s="77" t="s">
        <v>2114</v>
      </c>
      <c r="M2167" s="77" t="s">
        <v>82</v>
      </c>
      <c r="N2167" s="77" t="s">
        <v>83</v>
      </c>
      <c r="Q2167" s="77" t="s">
        <v>1279</v>
      </c>
      <c r="T2167" s="77" t="s">
        <v>1666</v>
      </c>
      <c r="U2167" s="77" t="s">
        <v>85</v>
      </c>
      <c r="V2167" s="80" t="s">
        <v>231</v>
      </c>
      <c r="X2167" s="77" t="s">
        <v>232</v>
      </c>
      <c r="Y2167" s="78" t="s">
        <v>88</v>
      </c>
      <c r="AA2167" s="77" t="s">
        <v>3927</v>
      </c>
      <c r="AB2167" s="77" t="s">
        <v>2944</v>
      </c>
      <c r="AC2167" s="77" t="s">
        <v>90</v>
      </c>
      <c r="AD2167" s="77" t="s">
        <v>91</v>
      </c>
      <c r="AE2167" s="77" t="s">
        <v>3928</v>
      </c>
    </row>
    <row r="2168" spans="1:31" x14ac:dyDescent="0.3">
      <c r="A2168" s="77" t="s">
        <v>3942</v>
      </c>
      <c r="B2168" s="77" t="s">
        <v>2978</v>
      </c>
      <c r="G2168" s="77" t="s">
        <v>3926</v>
      </c>
      <c r="H2168" s="77" t="s">
        <v>77</v>
      </c>
      <c r="I2168" s="77" t="s">
        <v>2944</v>
      </c>
      <c r="J2168" s="77" t="s">
        <v>3039</v>
      </c>
      <c r="K2168" s="77" t="s">
        <v>2945</v>
      </c>
      <c r="L2168" s="77" t="s">
        <v>2096</v>
      </c>
      <c r="M2168" s="77" t="s">
        <v>82</v>
      </c>
      <c r="N2168" s="77" t="s">
        <v>83</v>
      </c>
      <c r="Q2168" s="77" t="s">
        <v>1279</v>
      </c>
      <c r="T2168" s="77" t="s">
        <v>1666</v>
      </c>
      <c r="U2168" s="77" t="s">
        <v>85</v>
      </c>
      <c r="V2168" s="80" t="s">
        <v>231</v>
      </c>
      <c r="X2168" s="77" t="s">
        <v>232</v>
      </c>
      <c r="Y2168" s="78" t="s">
        <v>88</v>
      </c>
      <c r="AA2168" s="77" t="s">
        <v>3927</v>
      </c>
      <c r="AB2168" s="77" t="s">
        <v>2944</v>
      </c>
      <c r="AC2168" s="77" t="s">
        <v>90</v>
      </c>
      <c r="AD2168" s="77" t="s">
        <v>91</v>
      </c>
      <c r="AE2168" s="77" t="s">
        <v>3928</v>
      </c>
    </row>
    <row r="2169" spans="1:31" x14ac:dyDescent="0.3">
      <c r="A2169" s="77" t="s">
        <v>3943</v>
      </c>
      <c r="B2169" s="77" t="s">
        <v>2980</v>
      </c>
      <c r="G2169" s="77" t="s">
        <v>3926</v>
      </c>
      <c r="H2169" s="77" t="s">
        <v>77</v>
      </c>
      <c r="I2169" s="77" t="s">
        <v>2944</v>
      </c>
      <c r="J2169" s="77" t="s">
        <v>3039</v>
      </c>
      <c r="K2169" s="77" t="s">
        <v>2945</v>
      </c>
      <c r="L2169" s="77" t="s">
        <v>2114</v>
      </c>
      <c r="M2169" s="77" t="s">
        <v>82</v>
      </c>
      <c r="N2169" s="77" t="s">
        <v>83</v>
      </c>
      <c r="Q2169" s="77" t="s">
        <v>1279</v>
      </c>
      <c r="T2169" s="77" t="s">
        <v>1666</v>
      </c>
      <c r="U2169" s="77" t="s">
        <v>85</v>
      </c>
      <c r="V2169" s="80" t="s">
        <v>231</v>
      </c>
      <c r="X2169" s="77" t="s">
        <v>232</v>
      </c>
      <c r="Y2169" s="78" t="s">
        <v>88</v>
      </c>
      <c r="AA2169" s="77" t="s">
        <v>3927</v>
      </c>
      <c r="AB2169" s="77" t="s">
        <v>2944</v>
      </c>
      <c r="AC2169" s="77" t="s">
        <v>90</v>
      </c>
      <c r="AD2169" s="77" t="s">
        <v>91</v>
      </c>
      <c r="AE2169" s="77" t="s">
        <v>3928</v>
      </c>
    </row>
    <row r="2170" spans="1:31" x14ac:dyDescent="0.3">
      <c r="A2170" s="77" t="s">
        <v>3944</v>
      </c>
      <c r="B2170" s="77" t="s">
        <v>2982</v>
      </c>
      <c r="G2170" s="77" t="s">
        <v>3926</v>
      </c>
      <c r="H2170" s="77" t="s">
        <v>77</v>
      </c>
      <c r="I2170" s="77" t="s">
        <v>2944</v>
      </c>
      <c r="J2170" s="77" t="s">
        <v>3039</v>
      </c>
      <c r="K2170" s="77" t="s">
        <v>2945</v>
      </c>
      <c r="L2170" s="77" t="s">
        <v>2096</v>
      </c>
      <c r="M2170" s="77" t="s">
        <v>82</v>
      </c>
      <c r="N2170" s="77" t="s">
        <v>83</v>
      </c>
      <c r="Q2170" s="77" t="s">
        <v>1279</v>
      </c>
      <c r="T2170" s="77" t="s">
        <v>1666</v>
      </c>
      <c r="U2170" s="77" t="s">
        <v>85</v>
      </c>
      <c r="V2170" s="80" t="s">
        <v>231</v>
      </c>
      <c r="X2170" s="77" t="s">
        <v>232</v>
      </c>
      <c r="Y2170" s="78" t="s">
        <v>88</v>
      </c>
      <c r="AA2170" s="77" t="s">
        <v>3927</v>
      </c>
      <c r="AB2170" s="77" t="s">
        <v>2944</v>
      </c>
      <c r="AC2170" s="77" t="s">
        <v>90</v>
      </c>
      <c r="AD2170" s="77" t="s">
        <v>91</v>
      </c>
      <c r="AE2170" s="77" t="s">
        <v>3928</v>
      </c>
    </row>
    <row r="2171" spans="1:31" x14ac:dyDescent="0.3">
      <c r="A2171" s="77" t="s">
        <v>3945</v>
      </c>
      <c r="B2171" s="77" t="s">
        <v>2984</v>
      </c>
      <c r="G2171" s="77" t="s">
        <v>3926</v>
      </c>
      <c r="H2171" s="77" t="s">
        <v>77</v>
      </c>
      <c r="I2171" s="77" t="s">
        <v>2944</v>
      </c>
      <c r="J2171" s="77" t="s">
        <v>3039</v>
      </c>
      <c r="K2171" s="77" t="s">
        <v>2945</v>
      </c>
      <c r="L2171" s="77" t="s">
        <v>2114</v>
      </c>
      <c r="M2171" s="77" t="s">
        <v>82</v>
      </c>
      <c r="N2171" s="77" t="s">
        <v>83</v>
      </c>
      <c r="Q2171" s="77" t="s">
        <v>1279</v>
      </c>
      <c r="T2171" s="77" t="s">
        <v>1666</v>
      </c>
      <c r="U2171" s="77" t="s">
        <v>85</v>
      </c>
      <c r="V2171" s="80" t="s">
        <v>231</v>
      </c>
      <c r="X2171" s="77" t="s">
        <v>232</v>
      </c>
      <c r="Y2171" s="78" t="s">
        <v>88</v>
      </c>
      <c r="AA2171" s="77" t="s">
        <v>3927</v>
      </c>
      <c r="AB2171" s="77" t="s">
        <v>2944</v>
      </c>
      <c r="AC2171" s="77" t="s">
        <v>90</v>
      </c>
      <c r="AD2171" s="77" t="s">
        <v>91</v>
      </c>
      <c r="AE2171" s="77" t="s">
        <v>3928</v>
      </c>
    </row>
    <row r="2172" spans="1:31" x14ac:dyDescent="0.3">
      <c r="A2172" s="77" t="s">
        <v>3946</v>
      </c>
      <c r="B2172" s="77" t="s">
        <v>2986</v>
      </c>
      <c r="G2172" s="77" t="s">
        <v>3926</v>
      </c>
      <c r="H2172" s="77" t="s">
        <v>77</v>
      </c>
      <c r="I2172" s="77" t="s">
        <v>2944</v>
      </c>
      <c r="J2172" s="77" t="s">
        <v>3039</v>
      </c>
      <c r="K2172" s="77" t="s">
        <v>2945</v>
      </c>
      <c r="L2172" s="77" t="s">
        <v>2987</v>
      </c>
      <c r="M2172" s="77" t="s">
        <v>82</v>
      </c>
      <c r="N2172" s="77" t="s">
        <v>83</v>
      </c>
      <c r="Q2172" s="77" t="s">
        <v>1279</v>
      </c>
      <c r="T2172" s="77" t="s">
        <v>1666</v>
      </c>
      <c r="U2172" s="77" t="s">
        <v>85</v>
      </c>
      <c r="V2172" s="80" t="s">
        <v>211</v>
      </c>
      <c r="X2172" s="77" t="s">
        <v>212</v>
      </c>
      <c r="Y2172" s="78" t="s">
        <v>88</v>
      </c>
      <c r="AA2172" s="77" t="s">
        <v>3927</v>
      </c>
      <c r="AB2172" s="77" t="s">
        <v>2944</v>
      </c>
      <c r="AC2172" s="77" t="s">
        <v>90</v>
      </c>
      <c r="AD2172" s="77" t="s">
        <v>91</v>
      </c>
      <c r="AE2172" s="77" t="s">
        <v>3928</v>
      </c>
    </row>
    <row r="2173" spans="1:31" x14ac:dyDescent="0.3">
      <c r="A2173" s="77" t="s">
        <v>3947</v>
      </c>
      <c r="B2173" s="77" t="s">
        <v>2989</v>
      </c>
      <c r="G2173" s="77" t="s">
        <v>3926</v>
      </c>
      <c r="H2173" s="77" t="s">
        <v>77</v>
      </c>
      <c r="I2173" s="77" t="s">
        <v>2944</v>
      </c>
      <c r="J2173" s="77" t="s">
        <v>3039</v>
      </c>
      <c r="K2173" s="77" t="s">
        <v>2945</v>
      </c>
      <c r="L2173" s="77" t="s">
        <v>2990</v>
      </c>
      <c r="M2173" s="77" t="s">
        <v>82</v>
      </c>
      <c r="N2173" s="77" t="s">
        <v>83</v>
      </c>
      <c r="Q2173" s="77" t="s">
        <v>1279</v>
      </c>
      <c r="T2173" s="77" t="s">
        <v>1666</v>
      </c>
      <c r="U2173" s="77" t="s">
        <v>85</v>
      </c>
      <c r="V2173" s="80" t="s">
        <v>216</v>
      </c>
      <c r="X2173" s="77" t="s">
        <v>217</v>
      </c>
      <c r="Y2173" s="78" t="s">
        <v>88</v>
      </c>
      <c r="AA2173" s="77" t="s">
        <v>3927</v>
      </c>
      <c r="AB2173" s="77" t="s">
        <v>2944</v>
      </c>
      <c r="AC2173" s="77" t="s">
        <v>90</v>
      </c>
      <c r="AD2173" s="77" t="s">
        <v>91</v>
      </c>
      <c r="AE2173" s="77" t="s">
        <v>3928</v>
      </c>
    </row>
    <row r="2174" spans="1:31" x14ac:dyDescent="0.3">
      <c r="A2174" s="77" t="s">
        <v>3948</v>
      </c>
      <c r="B2174" s="77" t="s">
        <v>2992</v>
      </c>
      <c r="G2174" s="77" t="s">
        <v>3926</v>
      </c>
      <c r="H2174" s="77" t="s">
        <v>77</v>
      </c>
      <c r="I2174" s="77" t="s">
        <v>2944</v>
      </c>
      <c r="J2174" s="77" t="s">
        <v>3039</v>
      </c>
      <c r="K2174" s="77" t="s">
        <v>2945</v>
      </c>
      <c r="L2174" s="77" t="s">
        <v>2993</v>
      </c>
      <c r="M2174" s="77" t="s">
        <v>82</v>
      </c>
      <c r="N2174" s="77" t="s">
        <v>83</v>
      </c>
      <c r="Q2174" s="77" t="s">
        <v>1279</v>
      </c>
      <c r="T2174" s="77" t="s">
        <v>1666</v>
      </c>
      <c r="U2174" s="77" t="s">
        <v>85</v>
      </c>
      <c r="V2174" s="80" t="s">
        <v>221</v>
      </c>
      <c r="X2174" s="77" t="s">
        <v>222</v>
      </c>
      <c r="Y2174" s="78" t="s">
        <v>101</v>
      </c>
      <c r="AA2174" s="77" t="s">
        <v>3927</v>
      </c>
      <c r="AB2174" s="77" t="s">
        <v>2944</v>
      </c>
      <c r="AC2174" s="77" t="s">
        <v>90</v>
      </c>
      <c r="AD2174" s="77" t="s">
        <v>102</v>
      </c>
      <c r="AE2174" s="77" t="s">
        <v>3928</v>
      </c>
    </row>
    <row r="2175" spans="1:31" x14ac:dyDescent="0.3">
      <c r="A2175" s="77" t="s">
        <v>3949</v>
      </c>
      <c r="B2175" s="77" t="s">
        <v>2995</v>
      </c>
      <c r="G2175" s="77" t="s">
        <v>3926</v>
      </c>
      <c r="H2175" s="77" t="s">
        <v>77</v>
      </c>
      <c r="I2175" s="77" t="s">
        <v>2944</v>
      </c>
      <c r="J2175" s="77" t="s">
        <v>3039</v>
      </c>
      <c r="K2175" s="77" t="s">
        <v>2945</v>
      </c>
      <c r="L2175" s="77" t="s">
        <v>2996</v>
      </c>
      <c r="M2175" s="77" t="s">
        <v>82</v>
      </c>
      <c r="N2175" s="77" t="s">
        <v>83</v>
      </c>
      <c r="Q2175" s="77" t="s">
        <v>1279</v>
      </c>
      <c r="T2175" s="77" t="s">
        <v>1666</v>
      </c>
      <c r="U2175" s="77" t="s">
        <v>85</v>
      </c>
      <c r="V2175" s="80" t="s">
        <v>226</v>
      </c>
      <c r="X2175" s="77" t="s">
        <v>227</v>
      </c>
      <c r="Y2175" s="78" t="s">
        <v>101</v>
      </c>
      <c r="AA2175" s="77" t="s">
        <v>3927</v>
      </c>
      <c r="AB2175" s="77" t="s">
        <v>2944</v>
      </c>
      <c r="AC2175" s="77" t="s">
        <v>90</v>
      </c>
      <c r="AD2175" s="77" t="s">
        <v>102</v>
      </c>
      <c r="AE2175" s="77" t="s">
        <v>3928</v>
      </c>
    </row>
    <row r="2176" spans="1:31" x14ac:dyDescent="0.3">
      <c r="A2176" s="77" t="s">
        <v>3950</v>
      </c>
      <c r="B2176" s="77" t="s">
        <v>2998</v>
      </c>
      <c r="G2176" s="77" t="s">
        <v>3926</v>
      </c>
      <c r="H2176" s="77" t="s">
        <v>77</v>
      </c>
      <c r="I2176" s="77" t="s">
        <v>2944</v>
      </c>
      <c r="J2176" s="77" t="s">
        <v>3039</v>
      </c>
      <c r="K2176" s="77" t="s">
        <v>2945</v>
      </c>
      <c r="L2176" s="77" t="s">
        <v>2117</v>
      </c>
      <c r="M2176" s="77" t="s">
        <v>82</v>
      </c>
      <c r="N2176" s="77" t="s">
        <v>83</v>
      </c>
      <c r="Q2176" s="77" t="s">
        <v>1279</v>
      </c>
      <c r="T2176" s="77" t="s">
        <v>1666</v>
      </c>
      <c r="U2176" s="77" t="s">
        <v>85</v>
      </c>
      <c r="V2176" s="80" t="s">
        <v>365</v>
      </c>
      <c r="X2176" s="77" t="s">
        <v>366</v>
      </c>
      <c r="Y2176" s="78" t="s">
        <v>88</v>
      </c>
      <c r="AA2176" s="77" t="s">
        <v>3927</v>
      </c>
      <c r="AB2176" s="77" t="s">
        <v>2944</v>
      </c>
      <c r="AC2176" s="77" t="s">
        <v>90</v>
      </c>
      <c r="AD2176" s="77" t="s">
        <v>91</v>
      </c>
      <c r="AE2176" s="77" t="s">
        <v>3928</v>
      </c>
    </row>
    <row r="2177" spans="1:31" x14ac:dyDescent="0.3">
      <c r="A2177" s="77" t="s">
        <v>3951</v>
      </c>
      <c r="B2177" s="77" t="s">
        <v>3000</v>
      </c>
      <c r="G2177" s="77" t="s">
        <v>3926</v>
      </c>
      <c r="H2177" s="77" t="s">
        <v>77</v>
      </c>
      <c r="I2177" s="77" t="s">
        <v>2944</v>
      </c>
      <c r="J2177" s="77" t="s">
        <v>3039</v>
      </c>
      <c r="K2177" s="77" t="s">
        <v>2945</v>
      </c>
      <c r="L2177" s="77" t="s">
        <v>2126</v>
      </c>
      <c r="M2177" s="77" t="s">
        <v>82</v>
      </c>
      <c r="N2177" s="77" t="s">
        <v>83</v>
      </c>
      <c r="Q2177" s="77" t="s">
        <v>1279</v>
      </c>
      <c r="T2177" s="77" t="s">
        <v>1666</v>
      </c>
      <c r="U2177" s="77" t="s">
        <v>85</v>
      </c>
      <c r="V2177" s="80" t="s">
        <v>370</v>
      </c>
      <c r="X2177" s="77" t="s">
        <v>371</v>
      </c>
      <c r="Y2177" s="78" t="s">
        <v>88</v>
      </c>
      <c r="AA2177" s="77" t="s">
        <v>3927</v>
      </c>
      <c r="AB2177" s="77" t="s">
        <v>2944</v>
      </c>
      <c r="AC2177" s="77" t="s">
        <v>90</v>
      </c>
      <c r="AD2177" s="77" t="s">
        <v>91</v>
      </c>
      <c r="AE2177" s="77" t="s">
        <v>3928</v>
      </c>
    </row>
    <row r="2178" spans="1:31" x14ac:dyDescent="0.3">
      <c r="A2178" s="77" t="s">
        <v>3952</v>
      </c>
      <c r="B2178" s="77" t="s">
        <v>3002</v>
      </c>
      <c r="G2178" s="77" t="s">
        <v>3926</v>
      </c>
      <c r="H2178" s="77" t="s">
        <v>77</v>
      </c>
      <c r="I2178" s="77" t="s">
        <v>2944</v>
      </c>
      <c r="J2178" s="77" t="s">
        <v>3039</v>
      </c>
      <c r="K2178" s="77" t="s">
        <v>2945</v>
      </c>
      <c r="L2178" s="77" t="s">
        <v>2135</v>
      </c>
      <c r="M2178" s="77" t="s">
        <v>82</v>
      </c>
      <c r="N2178" s="77" t="s">
        <v>83</v>
      </c>
      <c r="Q2178" s="77" t="s">
        <v>1279</v>
      </c>
      <c r="T2178" s="77" t="s">
        <v>1666</v>
      </c>
      <c r="U2178" s="77" t="s">
        <v>85</v>
      </c>
      <c r="V2178" s="80" t="s">
        <v>375</v>
      </c>
      <c r="X2178" s="77" t="s">
        <v>376</v>
      </c>
      <c r="Y2178" s="78" t="s">
        <v>101</v>
      </c>
      <c r="AA2178" s="77" t="s">
        <v>3927</v>
      </c>
      <c r="AB2178" s="77" t="s">
        <v>2944</v>
      </c>
      <c r="AC2178" s="77" t="s">
        <v>90</v>
      </c>
      <c r="AD2178" s="77" t="s">
        <v>102</v>
      </c>
      <c r="AE2178" s="77" t="s">
        <v>3928</v>
      </c>
    </row>
    <row r="2179" spans="1:31" x14ac:dyDescent="0.3">
      <c r="A2179" s="77" t="s">
        <v>3953</v>
      </c>
      <c r="B2179" s="77" t="s">
        <v>3004</v>
      </c>
      <c r="G2179" s="77" t="s">
        <v>3926</v>
      </c>
      <c r="H2179" s="77" t="s">
        <v>77</v>
      </c>
      <c r="I2179" s="77" t="s">
        <v>2944</v>
      </c>
      <c r="J2179" s="77" t="s">
        <v>3039</v>
      </c>
      <c r="K2179" s="77" t="s">
        <v>2945</v>
      </c>
      <c r="L2179" s="77" t="s">
        <v>2144</v>
      </c>
      <c r="M2179" s="77" t="s">
        <v>82</v>
      </c>
      <c r="N2179" s="77" t="s">
        <v>83</v>
      </c>
      <c r="Q2179" s="77" t="s">
        <v>1279</v>
      </c>
      <c r="T2179" s="77" t="s">
        <v>1666</v>
      </c>
      <c r="U2179" s="77" t="s">
        <v>85</v>
      </c>
      <c r="V2179" s="80" t="s">
        <v>380</v>
      </c>
      <c r="X2179" s="77" t="s">
        <v>381</v>
      </c>
      <c r="Y2179" s="78" t="s">
        <v>101</v>
      </c>
      <c r="AA2179" s="77" t="s">
        <v>3927</v>
      </c>
      <c r="AB2179" s="77" t="s">
        <v>2944</v>
      </c>
      <c r="AC2179" s="77" t="s">
        <v>90</v>
      </c>
      <c r="AD2179" s="77" t="s">
        <v>102</v>
      </c>
      <c r="AE2179" s="77" t="s">
        <v>3928</v>
      </c>
    </row>
    <row r="2180" spans="1:31" x14ac:dyDescent="0.3">
      <c r="A2180" s="77" t="s">
        <v>3954</v>
      </c>
      <c r="B2180" s="77" t="s">
        <v>3006</v>
      </c>
      <c r="G2180" s="77" t="s">
        <v>3926</v>
      </c>
      <c r="H2180" s="77" t="s">
        <v>77</v>
      </c>
      <c r="I2180" s="77" t="s">
        <v>2944</v>
      </c>
      <c r="J2180" s="77" t="s">
        <v>3039</v>
      </c>
      <c r="K2180" s="77" t="s">
        <v>2945</v>
      </c>
      <c r="L2180" s="77" t="s">
        <v>2153</v>
      </c>
      <c r="M2180" s="77" t="s">
        <v>82</v>
      </c>
      <c r="N2180" s="77" t="s">
        <v>83</v>
      </c>
      <c r="Q2180" s="77" t="s">
        <v>1279</v>
      </c>
      <c r="T2180" s="77" t="s">
        <v>1666</v>
      </c>
      <c r="U2180" s="77" t="s">
        <v>85</v>
      </c>
      <c r="V2180" s="80" t="s">
        <v>189</v>
      </c>
      <c r="X2180" s="77" t="s">
        <v>190</v>
      </c>
      <c r="Y2180" s="78" t="s">
        <v>88</v>
      </c>
      <c r="AA2180" s="77" t="s">
        <v>3927</v>
      </c>
      <c r="AB2180" s="77" t="s">
        <v>2944</v>
      </c>
      <c r="AC2180" s="77" t="s">
        <v>90</v>
      </c>
      <c r="AD2180" s="77" t="s">
        <v>91</v>
      </c>
      <c r="AE2180" s="77" t="s">
        <v>3928</v>
      </c>
    </row>
    <row r="2181" spans="1:31" x14ac:dyDescent="0.3">
      <c r="A2181" s="77" t="s">
        <v>3955</v>
      </c>
      <c r="B2181" s="77" t="s">
        <v>3008</v>
      </c>
      <c r="G2181" s="77" t="s">
        <v>3926</v>
      </c>
      <c r="H2181" s="77" t="s">
        <v>77</v>
      </c>
      <c r="I2181" s="77" t="s">
        <v>2944</v>
      </c>
      <c r="J2181" s="77" t="s">
        <v>3039</v>
      </c>
      <c r="K2181" s="77" t="s">
        <v>2945</v>
      </c>
      <c r="L2181" s="77" t="s">
        <v>2166</v>
      </c>
      <c r="M2181" s="77" t="s">
        <v>82</v>
      </c>
      <c r="N2181" s="77" t="s">
        <v>83</v>
      </c>
      <c r="Q2181" s="77" t="s">
        <v>1279</v>
      </c>
      <c r="T2181" s="77" t="s">
        <v>1666</v>
      </c>
      <c r="U2181" s="77" t="s">
        <v>85</v>
      </c>
      <c r="V2181" s="80" t="s">
        <v>196</v>
      </c>
      <c r="X2181" s="77" t="s">
        <v>197</v>
      </c>
      <c r="Y2181" s="78" t="s">
        <v>88</v>
      </c>
      <c r="AA2181" s="77" t="s">
        <v>3927</v>
      </c>
      <c r="AB2181" s="77" t="s">
        <v>2944</v>
      </c>
      <c r="AC2181" s="77" t="s">
        <v>90</v>
      </c>
      <c r="AD2181" s="77" t="s">
        <v>91</v>
      </c>
      <c r="AE2181" s="77" t="s">
        <v>3928</v>
      </c>
    </row>
    <row r="2182" spans="1:31" x14ac:dyDescent="0.3">
      <c r="A2182" s="77" t="s">
        <v>3956</v>
      </c>
      <c r="B2182" s="77" t="s">
        <v>3010</v>
      </c>
      <c r="G2182" s="77" t="s">
        <v>3926</v>
      </c>
      <c r="H2182" s="77" t="s">
        <v>77</v>
      </c>
      <c r="I2182" s="77" t="s">
        <v>2944</v>
      </c>
      <c r="J2182" s="77" t="s">
        <v>3039</v>
      </c>
      <c r="K2182" s="77" t="s">
        <v>2945</v>
      </c>
      <c r="L2182" s="77" t="s">
        <v>2179</v>
      </c>
      <c r="M2182" s="77" t="s">
        <v>82</v>
      </c>
      <c r="N2182" s="77" t="s">
        <v>83</v>
      </c>
      <c r="Q2182" s="77" t="s">
        <v>1279</v>
      </c>
      <c r="T2182" s="77" t="s">
        <v>1666</v>
      </c>
      <c r="U2182" s="77" t="s">
        <v>85</v>
      </c>
      <c r="V2182" s="80" t="s">
        <v>201</v>
      </c>
      <c r="X2182" s="77" t="s">
        <v>202</v>
      </c>
      <c r="Y2182" s="78" t="s">
        <v>101</v>
      </c>
      <c r="AA2182" s="77" t="s">
        <v>3927</v>
      </c>
      <c r="AB2182" s="77" t="s">
        <v>2944</v>
      </c>
      <c r="AC2182" s="77" t="s">
        <v>90</v>
      </c>
      <c r="AD2182" s="77" t="s">
        <v>102</v>
      </c>
      <c r="AE2182" s="77" t="s">
        <v>3928</v>
      </c>
    </row>
    <row r="2183" spans="1:31" x14ac:dyDescent="0.3">
      <c r="A2183" s="77" t="s">
        <v>3957</v>
      </c>
      <c r="B2183" s="77" t="s">
        <v>3012</v>
      </c>
      <c r="G2183" s="77" t="s">
        <v>3926</v>
      </c>
      <c r="H2183" s="77" t="s">
        <v>77</v>
      </c>
      <c r="I2183" s="77" t="s">
        <v>2944</v>
      </c>
      <c r="J2183" s="77" t="s">
        <v>3039</v>
      </c>
      <c r="K2183" s="77" t="s">
        <v>2945</v>
      </c>
      <c r="L2183" s="77" t="s">
        <v>2192</v>
      </c>
      <c r="M2183" s="77" t="s">
        <v>82</v>
      </c>
      <c r="N2183" s="77" t="s">
        <v>83</v>
      </c>
      <c r="Q2183" s="77" t="s">
        <v>1279</v>
      </c>
      <c r="T2183" s="77" t="s">
        <v>1666</v>
      </c>
      <c r="U2183" s="77" t="s">
        <v>85</v>
      </c>
      <c r="V2183" s="80" t="s">
        <v>206</v>
      </c>
      <c r="X2183" s="77" t="s">
        <v>207</v>
      </c>
      <c r="Y2183" s="78" t="s">
        <v>101</v>
      </c>
      <c r="AA2183" s="77" t="s">
        <v>3927</v>
      </c>
      <c r="AB2183" s="77" t="s">
        <v>2944</v>
      </c>
      <c r="AC2183" s="77" t="s">
        <v>90</v>
      </c>
      <c r="AD2183" s="77" t="s">
        <v>102</v>
      </c>
      <c r="AE2183" s="77" t="s">
        <v>3928</v>
      </c>
    </row>
    <row r="2184" spans="1:31" x14ac:dyDescent="0.3">
      <c r="A2184" s="77" t="s">
        <v>3958</v>
      </c>
      <c r="B2184" s="77" t="s">
        <v>3014</v>
      </c>
      <c r="G2184" s="77" t="s">
        <v>3926</v>
      </c>
      <c r="H2184" s="77" t="s">
        <v>77</v>
      </c>
      <c r="I2184" s="77" t="s">
        <v>2944</v>
      </c>
      <c r="J2184" s="77" t="s">
        <v>3039</v>
      </c>
      <c r="K2184" s="77" t="s">
        <v>2945</v>
      </c>
      <c r="L2184" s="77" t="s">
        <v>3015</v>
      </c>
      <c r="M2184" s="77" t="s">
        <v>82</v>
      </c>
      <c r="N2184" s="77" t="s">
        <v>83</v>
      </c>
      <c r="Q2184" s="77" t="s">
        <v>1279</v>
      </c>
      <c r="T2184" s="77" t="s">
        <v>1666</v>
      </c>
      <c r="U2184" s="77" t="s">
        <v>85</v>
      </c>
      <c r="V2184" s="80" t="s">
        <v>105</v>
      </c>
      <c r="X2184" s="77" t="s">
        <v>106</v>
      </c>
      <c r="Y2184" s="78" t="s">
        <v>101</v>
      </c>
      <c r="AA2184" s="77" t="s">
        <v>3927</v>
      </c>
      <c r="AB2184" s="77" t="s">
        <v>2944</v>
      </c>
      <c r="AC2184" s="77" t="s">
        <v>90</v>
      </c>
      <c r="AD2184" s="77" t="s">
        <v>102</v>
      </c>
      <c r="AE2184" s="77" t="s">
        <v>3928</v>
      </c>
    </row>
    <row r="2185" spans="1:31" x14ac:dyDescent="0.3">
      <c r="A2185" s="77" t="s">
        <v>3959</v>
      </c>
      <c r="B2185" s="77" t="s">
        <v>3017</v>
      </c>
      <c r="G2185" s="77" t="s">
        <v>3926</v>
      </c>
      <c r="H2185" s="77" t="s">
        <v>77</v>
      </c>
      <c r="I2185" s="77" t="s">
        <v>2944</v>
      </c>
      <c r="J2185" s="77" t="s">
        <v>3039</v>
      </c>
      <c r="K2185" s="77" t="s">
        <v>2945</v>
      </c>
      <c r="L2185" s="77" t="s">
        <v>3018</v>
      </c>
      <c r="M2185" s="77" t="s">
        <v>82</v>
      </c>
      <c r="N2185" s="77" t="s">
        <v>83</v>
      </c>
      <c r="Q2185" s="77" t="s">
        <v>1279</v>
      </c>
      <c r="T2185" s="77" t="s">
        <v>1666</v>
      </c>
      <c r="U2185" s="77" t="s">
        <v>85</v>
      </c>
      <c r="V2185" s="80" t="s">
        <v>105</v>
      </c>
      <c r="X2185" s="77" t="s">
        <v>106</v>
      </c>
      <c r="Y2185" s="78" t="s">
        <v>101</v>
      </c>
      <c r="AA2185" s="77" t="s">
        <v>3927</v>
      </c>
      <c r="AB2185" s="77" t="s">
        <v>2944</v>
      </c>
      <c r="AC2185" s="77" t="s">
        <v>90</v>
      </c>
      <c r="AD2185" s="77" t="s">
        <v>102</v>
      </c>
      <c r="AE2185" s="77" t="s">
        <v>3928</v>
      </c>
    </row>
    <row r="2186" spans="1:31" x14ac:dyDescent="0.3">
      <c r="A2186" s="77" t="s">
        <v>3960</v>
      </c>
      <c r="B2186" s="77" t="s">
        <v>3020</v>
      </c>
      <c r="G2186" s="77" t="s">
        <v>3926</v>
      </c>
      <c r="H2186" s="77" t="s">
        <v>77</v>
      </c>
      <c r="I2186" s="77" t="s">
        <v>2944</v>
      </c>
      <c r="J2186" s="77" t="s">
        <v>3039</v>
      </c>
      <c r="K2186" s="77" t="s">
        <v>2945</v>
      </c>
      <c r="L2186" s="77" t="s">
        <v>3018</v>
      </c>
      <c r="M2186" s="77" t="s">
        <v>82</v>
      </c>
      <c r="N2186" s="77" t="s">
        <v>83</v>
      </c>
      <c r="Q2186" s="77" t="s">
        <v>1279</v>
      </c>
      <c r="T2186" s="77" t="s">
        <v>1666</v>
      </c>
      <c r="U2186" s="77" t="s">
        <v>85</v>
      </c>
      <c r="V2186" s="80" t="s">
        <v>105</v>
      </c>
      <c r="X2186" s="77" t="s">
        <v>106</v>
      </c>
      <c r="Y2186" s="78" t="s">
        <v>101</v>
      </c>
      <c r="AA2186" s="77" t="s">
        <v>3927</v>
      </c>
      <c r="AB2186" s="77" t="s">
        <v>2944</v>
      </c>
      <c r="AC2186" s="77" t="s">
        <v>90</v>
      </c>
      <c r="AD2186" s="77" t="s">
        <v>102</v>
      </c>
      <c r="AE2186" s="77" t="s">
        <v>3928</v>
      </c>
    </row>
    <row r="2187" spans="1:31" x14ac:dyDescent="0.3">
      <c r="A2187" s="77" t="s">
        <v>3961</v>
      </c>
      <c r="B2187" s="77" t="s">
        <v>3022</v>
      </c>
      <c r="G2187" s="77" t="s">
        <v>3926</v>
      </c>
      <c r="H2187" s="77" t="s">
        <v>77</v>
      </c>
      <c r="I2187" s="77" t="s">
        <v>2944</v>
      </c>
      <c r="J2187" s="77" t="s">
        <v>3039</v>
      </c>
      <c r="K2187" s="77" t="s">
        <v>2945</v>
      </c>
      <c r="L2187" s="77" t="s">
        <v>3018</v>
      </c>
      <c r="M2187" s="77" t="s">
        <v>82</v>
      </c>
      <c r="N2187" s="77" t="s">
        <v>83</v>
      </c>
      <c r="Q2187" s="77" t="s">
        <v>1279</v>
      </c>
      <c r="T2187" s="77" t="s">
        <v>1666</v>
      </c>
      <c r="U2187" s="77" t="s">
        <v>85</v>
      </c>
      <c r="V2187" s="80" t="s">
        <v>105</v>
      </c>
      <c r="X2187" s="77" t="s">
        <v>106</v>
      </c>
      <c r="Y2187" s="78" t="s">
        <v>101</v>
      </c>
      <c r="AA2187" s="77" t="s">
        <v>3927</v>
      </c>
      <c r="AB2187" s="77" t="s">
        <v>2944</v>
      </c>
      <c r="AC2187" s="77" t="s">
        <v>90</v>
      </c>
      <c r="AD2187" s="77" t="s">
        <v>102</v>
      </c>
      <c r="AE2187" s="77" t="s">
        <v>3928</v>
      </c>
    </row>
    <row r="2188" spans="1:31" x14ac:dyDescent="0.3">
      <c r="A2188" s="77" t="s">
        <v>3962</v>
      </c>
      <c r="B2188" s="77" t="s">
        <v>3024</v>
      </c>
      <c r="G2188" s="77" t="s">
        <v>3926</v>
      </c>
      <c r="H2188" s="77" t="s">
        <v>77</v>
      </c>
      <c r="I2188" s="77" t="s">
        <v>2944</v>
      </c>
      <c r="J2188" s="77" t="s">
        <v>3039</v>
      </c>
      <c r="K2188" s="77" t="s">
        <v>2945</v>
      </c>
      <c r="L2188" s="77" t="s">
        <v>3025</v>
      </c>
      <c r="M2188" s="77" t="s">
        <v>82</v>
      </c>
      <c r="N2188" s="77" t="s">
        <v>83</v>
      </c>
      <c r="Q2188" s="77" t="s">
        <v>1279</v>
      </c>
      <c r="T2188" s="77" t="s">
        <v>1666</v>
      </c>
      <c r="U2188" s="77" t="s">
        <v>85</v>
      </c>
      <c r="V2188" s="80" t="s">
        <v>105</v>
      </c>
      <c r="X2188" s="77" t="s">
        <v>106</v>
      </c>
      <c r="Y2188" s="78" t="s">
        <v>101</v>
      </c>
      <c r="AA2188" s="77" t="s">
        <v>3927</v>
      </c>
      <c r="AB2188" s="77" t="s">
        <v>2944</v>
      </c>
      <c r="AC2188" s="77" t="s">
        <v>90</v>
      </c>
      <c r="AD2188" s="77" t="s">
        <v>102</v>
      </c>
      <c r="AE2188" s="77" t="s">
        <v>3928</v>
      </c>
    </row>
    <row r="2189" spans="1:31" x14ac:dyDescent="0.3">
      <c r="A2189" s="77" t="s">
        <v>3963</v>
      </c>
      <c r="B2189" s="77" t="s">
        <v>3027</v>
      </c>
      <c r="G2189" s="77" t="s">
        <v>3926</v>
      </c>
      <c r="H2189" s="77" t="s">
        <v>77</v>
      </c>
      <c r="I2189" s="77" t="s">
        <v>2944</v>
      </c>
      <c r="J2189" s="77" t="s">
        <v>3039</v>
      </c>
      <c r="K2189" s="77" t="s">
        <v>2945</v>
      </c>
      <c r="L2189" s="77" t="s">
        <v>3025</v>
      </c>
      <c r="M2189" s="77" t="s">
        <v>82</v>
      </c>
      <c r="N2189" s="77" t="s">
        <v>83</v>
      </c>
      <c r="Q2189" s="77" t="s">
        <v>1279</v>
      </c>
      <c r="T2189" s="77" t="s">
        <v>1666</v>
      </c>
      <c r="U2189" s="77" t="s">
        <v>85</v>
      </c>
      <c r="V2189" s="80" t="s">
        <v>105</v>
      </c>
      <c r="X2189" s="77" t="s">
        <v>106</v>
      </c>
      <c r="Y2189" s="78" t="s">
        <v>101</v>
      </c>
      <c r="AA2189" s="77" t="s">
        <v>3927</v>
      </c>
      <c r="AB2189" s="77" t="s">
        <v>2944</v>
      </c>
      <c r="AC2189" s="77" t="s">
        <v>90</v>
      </c>
      <c r="AD2189" s="77" t="s">
        <v>102</v>
      </c>
      <c r="AE2189" s="77" t="s">
        <v>3928</v>
      </c>
    </row>
    <row r="2190" spans="1:31" x14ac:dyDescent="0.3">
      <c r="A2190" s="77" t="s">
        <v>3964</v>
      </c>
      <c r="B2190" s="77" t="s">
        <v>3029</v>
      </c>
      <c r="G2190" s="77" t="s">
        <v>3926</v>
      </c>
      <c r="H2190" s="77" t="s">
        <v>77</v>
      </c>
      <c r="I2190" s="77" t="s">
        <v>2944</v>
      </c>
      <c r="J2190" s="77" t="s">
        <v>3039</v>
      </c>
      <c r="K2190" s="77" t="s">
        <v>2945</v>
      </c>
      <c r="L2190" s="77" t="s">
        <v>2265</v>
      </c>
      <c r="M2190" s="77" t="s">
        <v>82</v>
      </c>
      <c r="N2190" s="77" t="s">
        <v>83</v>
      </c>
      <c r="Q2190" s="77" t="s">
        <v>1279</v>
      </c>
      <c r="T2190" s="77" t="s">
        <v>1666</v>
      </c>
      <c r="U2190" s="77" t="s">
        <v>85</v>
      </c>
      <c r="V2190" s="80" t="s">
        <v>325</v>
      </c>
      <c r="X2190" s="77" t="s">
        <v>326</v>
      </c>
      <c r="Y2190" s="78" t="s">
        <v>101</v>
      </c>
      <c r="AA2190" s="77" t="s">
        <v>3927</v>
      </c>
      <c r="AB2190" s="77" t="s">
        <v>2944</v>
      </c>
      <c r="AC2190" s="77" t="s">
        <v>90</v>
      </c>
      <c r="AD2190" s="77" t="s">
        <v>327</v>
      </c>
      <c r="AE2190" s="77" t="s">
        <v>3928</v>
      </c>
    </row>
    <row r="2191" spans="1:31" x14ac:dyDescent="0.3">
      <c r="A2191" s="77" t="s">
        <v>3965</v>
      </c>
      <c r="B2191" s="77" t="s">
        <v>3031</v>
      </c>
      <c r="G2191" s="77" t="s">
        <v>3926</v>
      </c>
      <c r="H2191" s="77" t="s">
        <v>77</v>
      </c>
      <c r="I2191" s="77" t="s">
        <v>2944</v>
      </c>
      <c r="J2191" s="77" t="s">
        <v>3039</v>
      </c>
      <c r="K2191" s="77" t="s">
        <v>2945</v>
      </c>
      <c r="L2191" s="77" t="s">
        <v>2416</v>
      </c>
      <c r="M2191" s="77" t="s">
        <v>82</v>
      </c>
      <c r="N2191" s="77" t="s">
        <v>83</v>
      </c>
      <c r="Q2191" s="77" t="s">
        <v>1279</v>
      </c>
      <c r="T2191" s="77" t="s">
        <v>1666</v>
      </c>
      <c r="U2191" s="77" t="s">
        <v>85</v>
      </c>
      <c r="V2191" s="80" t="s">
        <v>896</v>
      </c>
      <c r="X2191" s="77" t="s">
        <v>897</v>
      </c>
      <c r="Y2191" s="78" t="s">
        <v>88</v>
      </c>
      <c r="AA2191" s="77" t="s">
        <v>3927</v>
      </c>
      <c r="AB2191" s="77" t="s">
        <v>2944</v>
      </c>
      <c r="AC2191" s="77" t="s">
        <v>90</v>
      </c>
      <c r="AD2191" s="77" t="s">
        <v>91</v>
      </c>
      <c r="AE2191" s="77" t="s">
        <v>3928</v>
      </c>
    </row>
    <row r="2192" spans="1:31" x14ac:dyDescent="0.3">
      <c r="A2192" s="77" t="s">
        <v>3966</v>
      </c>
      <c r="B2192" s="77" t="s">
        <v>3033</v>
      </c>
      <c r="G2192" s="77" t="s">
        <v>3926</v>
      </c>
      <c r="H2192" s="77" t="s">
        <v>77</v>
      </c>
      <c r="I2192" s="77" t="s">
        <v>2944</v>
      </c>
      <c r="J2192" s="77" t="s">
        <v>3039</v>
      </c>
      <c r="K2192" s="77" t="s">
        <v>2945</v>
      </c>
      <c r="L2192" s="77" t="s">
        <v>1662</v>
      </c>
      <c r="M2192" s="77" t="s">
        <v>82</v>
      </c>
      <c r="N2192" s="77" t="s">
        <v>83</v>
      </c>
      <c r="Q2192" s="77" t="s">
        <v>1279</v>
      </c>
      <c r="T2192" s="77" t="s">
        <v>1666</v>
      </c>
      <c r="U2192" s="77" t="s">
        <v>85</v>
      </c>
      <c r="V2192" s="80" t="s">
        <v>272</v>
      </c>
      <c r="X2192" s="77" t="s">
        <v>273</v>
      </c>
      <c r="Y2192" s="78" t="s">
        <v>101</v>
      </c>
      <c r="AA2192" s="77" t="s">
        <v>3927</v>
      </c>
      <c r="AB2192" s="77" t="s">
        <v>2944</v>
      </c>
      <c r="AC2192" s="77" t="s">
        <v>90</v>
      </c>
      <c r="AD2192" s="77" t="s">
        <v>274</v>
      </c>
      <c r="AE2192" s="77" t="s">
        <v>3928</v>
      </c>
    </row>
    <row r="2193" spans="1:31" x14ac:dyDescent="0.3">
      <c r="A2193" s="77" t="s">
        <v>3967</v>
      </c>
      <c r="B2193" s="77" t="s">
        <v>3035</v>
      </c>
      <c r="G2193" s="77" t="s">
        <v>3926</v>
      </c>
      <c r="H2193" s="77" t="s">
        <v>77</v>
      </c>
      <c r="I2193" s="77" t="s">
        <v>2944</v>
      </c>
      <c r="J2193" s="77" t="s">
        <v>3039</v>
      </c>
      <c r="K2193" s="77" t="s">
        <v>2945</v>
      </c>
      <c r="L2193" s="77" t="s">
        <v>2445</v>
      </c>
      <c r="M2193" s="77" t="s">
        <v>82</v>
      </c>
      <c r="N2193" s="77" t="s">
        <v>83</v>
      </c>
      <c r="Q2193" s="77" t="s">
        <v>1279</v>
      </c>
      <c r="T2193" s="77" t="s">
        <v>1666</v>
      </c>
      <c r="U2193" s="77" t="s">
        <v>85</v>
      </c>
      <c r="V2193" s="80" t="s">
        <v>272</v>
      </c>
      <c r="X2193" s="77" t="s">
        <v>273</v>
      </c>
      <c r="Y2193" s="78" t="s">
        <v>101</v>
      </c>
      <c r="AA2193" s="77" t="s">
        <v>3927</v>
      </c>
      <c r="AB2193" s="77" t="s">
        <v>2944</v>
      </c>
      <c r="AC2193" s="77" t="s">
        <v>90</v>
      </c>
      <c r="AD2193" s="77" t="s">
        <v>274</v>
      </c>
      <c r="AE2193" s="77" t="s">
        <v>3928</v>
      </c>
    </row>
  </sheetData>
  <autoFilter ref="A1:AG2193" xr:uid="{00000000-0001-0000-0000-000000000000}">
    <filterColumn colId="2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Plan</vt:lpstr>
      <vt:lpstr>Manpower</vt:lpstr>
      <vt:lpstr>Sheet1</vt:lpstr>
      <vt:lpstr>EIT CMT 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Sumesh NAIR</dc:creator>
  <cp:keywords/>
  <dc:description/>
  <cp:lastModifiedBy>Sumesh NAIR</cp:lastModifiedBy>
  <cp:revision/>
  <dcterms:created xsi:type="dcterms:W3CDTF">2026-07-11T11:54:44Z</dcterms:created>
  <dcterms:modified xsi:type="dcterms:W3CDTF">2026-07-13T21:15:51Z</dcterms:modified>
  <cp:category/>
  <cp:contentStatus/>
</cp:coreProperties>
</file>